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itulasi" sheetId="1" r:id="rId5"/>
    <sheet state="visible" name="Single Allocation" sheetId="2" r:id="rId6"/>
    <sheet state="visible" name="Multiple Allocation" sheetId="3" r:id="rId7"/>
    <sheet state="visible" name="Copy of Multiple Allocation" sheetId="4" r:id="rId8"/>
    <sheet state="visible" name="Incomplete_SA" sheetId="5" r:id="rId9"/>
    <sheet state="visible" name="Incomplete_MA" sheetId="6" r:id="rId10"/>
    <sheet state="visible" name="Cycle Hub_SA" sheetId="7" r:id="rId11"/>
    <sheet state="visible" name="Cycle Hub_MA" sheetId="8" r:id="rId12"/>
    <sheet state="visible" name="Copy of Cycle Hub_MA" sheetId="9" r:id="rId13"/>
    <sheet state="visible" name="Hubline_SA" sheetId="10" r:id="rId14"/>
    <sheet state="visible" name="Hubline_MA" sheetId="11" r:id="rId15"/>
    <sheet state="visible" name="Flow" sheetId="12" r:id="rId16"/>
    <sheet state="visible" name="Sheet4" sheetId="13" r:id="rId17"/>
    <sheet state="visible" name="Data jarak " sheetId="14" r:id="rId18"/>
    <sheet state="hidden" name="Copy of Data jarak " sheetId="15" r:id="rId19"/>
  </sheets>
  <definedNames/>
  <calcPr/>
</workbook>
</file>

<file path=xl/sharedStrings.xml><?xml version="1.0" encoding="utf-8"?>
<sst xmlns="http://schemas.openxmlformats.org/spreadsheetml/2006/main" count="8986" uniqueCount="142">
  <si>
    <t>Tipe Model</t>
  </si>
  <si>
    <t>Fungsi Tujuan</t>
  </si>
  <si>
    <t>GAP</t>
  </si>
  <si>
    <t>Cplex</t>
  </si>
  <si>
    <t>Gsheet</t>
  </si>
  <si>
    <t>Complete</t>
  </si>
  <si>
    <t>Single Allocation</t>
  </si>
  <si>
    <t>Multiple Allocation</t>
  </si>
  <si>
    <t>Incomplete</t>
  </si>
  <si>
    <t>CycleHub</t>
  </si>
  <si>
    <t>HubLine</t>
  </si>
  <si>
    <t>Objective Function</t>
  </si>
  <si>
    <t>Cost spoke-hub</t>
  </si>
  <si>
    <t>cost hub-hub</t>
  </si>
  <si>
    <t>Total</t>
  </si>
  <si>
    <t>C</t>
  </si>
  <si>
    <t>Alpha</t>
  </si>
  <si>
    <t>Hub</t>
  </si>
  <si>
    <t>Assignemnt</t>
  </si>
  <si>
    <t>Flow Hub to Hub</t>
  </si>
  <si>
    <t>Flow Spoke to Hub</t>
  </si>
  <si>
    <t>Node</t>
  </si>
  <si>
    <t>is_hub</t>
  </si>
  <si>
    <t>Origin</t>
  </si>
  <si>
    <t>Value</t>
  </si>
  <si>
    <t>Hub1</t>
  </si>
  <si>
    <t>Hub2</t>
  </si>
  <si>
    <t>Flow</t>
  </si>
  <si>
    <t xml:space="preserve">Dist </t>
  </si>
  <si>
    <t>Cost</t>
  </si>
  <si>
    <t>Destination</t>
  </si>
  <si>
    <t>P1</t>
  </si>
  <si>
    <t>P4</t>
  </si>
  <si>
    <t>P6</t>
  </si>
  <si>
    <t>P2</t>
  </si>
  <si>
    <t>P8</t>
  </si>
  <si>
    <t>P3</t>
  </si>
  <si>
    <t>P10</t>
  </si>
  <si>
    <t>P5</t>
  </si>
  <si>
    <t>P7</t>
  </si>
  <si>
    <t>P9</t>
  </si>
  <si>
    <t>Validasi Routing</t>
  </si>
  <si>
    <t>Pelabuhan Asal</t>
  </si>
  <si>
    <t>Pelabuhan Tujuan</t>
  </si>
  <si>
    <t xml:space="preserve">Hub Awal </t>
  </si>
  <si>
    <t xml:space="preserve">Antar Hub </t>
  </si>
  <si>
    <t>Hub Akhir</t>
  </si>
  <si>
    <t xml:space="preserve">Status </t>
  </si>
  <si>
    <t>Ada</t>
  </si>
  <si>
    <t>Valid</t>
  </si>
  <si>
    <t>Obj 1</t>
  </si>
  <si>
    <t>Obj 2</t>
  </si>
  <si>
    <t>Obj 3</t>
  </si>
  <si>
    <t>Cs</t>
  </si>
  <si>
    <t>valid</t>
  </si>
  <si>
    <t>Assignment</t>
  </si>
  <si>
    <t>Flow(Yikm)</t>
  </si>
  <si>
    <t>Flow(Xijm)</t>
  </si>
  <si>
    <t>Dist</t>
  </si>
  <si>
    <t>destination</t>
  </si>
  <si>
    <t>Tidak</t>
  </si>
  <si>
    <t>average 3</t>
  </si>
  <si>
    <t>P11</t>
  </si>
  <si>
    <t>P13</t>
  </si>
  <si>
    <t>P12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</si>
  <si>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</si>
  <si>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</si>
  <si>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</si>
  <si>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</si>
  <si>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</si>
  <si>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</si>
  <si>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</si>
  <si>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</si>
  <si>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</si>
  <si>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</si>
  <si>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</si>
  <si>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Yikm</t>
  </si>
  <si>
    <t>Oi</t>
  </si>
  <si>
    <t>Obj1</t>
  </si>
  <si>
    <t>Di</t>
  </si>
  <si>
    <t>obj2</t>
  </si>
  <si>
    <t>Validate Flow</t>
  </si>
  <si>
    <t>Wij</t>
  </si>
  <si>
    <t>Eij</t>
  </si>
  <si>
    <t>Aijk</t>
  </si>
  <si>
    <t>Bijk</t>
  </si>
  <si>
    <t>Ykm</t>
  </si>
  <si>
    <t>Xijkl</t>
  </si>
  <si>
    <t>Pelabuhan A</t>
  </si>
  <si>
    <t>Pelabuhan T</t>
  </si>
  <si>
    <t>Flow Teus</t>
  </si>
  <si>
    <t>Hub_1</t>
  </si>
  <si>
    <t>Hub_2</t>
  </si>
  <si>
    <t>y_km</t>
  </si>
  <si>
    <t>Flow Xikm</t>
  </si>
  <si>
    <t>z_ik</t>
  </si>
  <si>
    <t>Dist (i-k)</t>
  </si>
  <si>
    <t>Origin_i</t>
  </si>
  <si>
    <t>Hub_from_k</t>
  </si>
  <si>
    <t>Hub_to_m</t>
  </si>
  <si>
    <t>x_ikm</t>
  </si>
  <si>
    <t>dist_km</t>
  </si>
  <si>
    <t>DIst (k-m)</t>
  </si>
  <si>
    <t>Flow(Xikm)</t>
  </si>
  <si>
    <t>dist</t>
  </si>
  <si>
    <t>Y_ikm</t>
  </si>
  <si>
    <t>H</t>
  </si>
  <si>
    <t>S</t>
  </si>
  <si>
    <t>cost</t>
  </si>
  <si>
    <t>cost spoke edge</t>
  </si>
  <si>
    <t>Hub_from</t>
  </si>
  <si>
    <t>Hub_to</t>
  </si>
  <si>
    <t>InterHUb</t>
  </si>
  <si>
    <t>OF</t>
  </si>
  <si>
    <t>P1-P6-P8-P10</t>
  </si>
  <si>
    <t>ALPHA</t>
  </si>
  <si>
    <t>P6-P8</t>
  </si>
  <si>
    <t>P8-P6</t>
  </si>
  <si>
    <t>HUB</t>
  </si>
  <si>
    <t>ARCH-HUB</t>
  </si>
  <si>
    <t>ASSIGNMENT</t>
  </si>
  <si>
    <t>FLOW</t>
  </si>
  <si>
    <t xml:space="preserve">Cost origin </t>
  </si>
  <si>
    <t>Cost Destination</t>
  </si>
  <si>
    <t>Destination_j</t>
  </si>
  <si>
    <t>x2_ijkm</t>
  </si>
  <si>
    <t>flow_ij</t>
  </si>
  <si>
    <t>VALIDATE</t>
  </si>
  <si>
    <t>Obj2</t>
  </si>
  <si>
    <t>Obj3</t>
  </si>
  <si>
    <t>Origin-Hub</t>
  </si>
  <si>
    <t>Inter-Hub</t>
  </si>
  <si>
    <t>Hub-Destination</t>
  </si>
  <si>
    <t>Hub_k</t>
  </si>
  <si>
    <t>u_ijk</t>
  </si>
  <si>
    <t>dist_ik</t>
  </si>
  <si>
    <t>Validate</t>
  </si>
  <si>
    <t>VAlidate cost</t>
  </si>
  <si>
    <t>Hub_m</t>
  </si>
  <si>
    <t>x_ijm</t>
  </si>
  <si>
    <t>dist_mj</t>
  </si>
  <si>
    <t>Flow (Tones)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</si>
</sst>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0%"/>
    <numFmt numFmtId="165" formatCode="&quot;$&quot;#,##0.00"/>
    <numFmt numFmtId="166" formatCode="0.0000"/>
    <numFmt numFmtId="167" formatCode="0.0"/>
    <numFmt numFmtId="168" formatCode="0.0000000"/>
  </numFmts>
  <fonts count="10">
    <font>
      <sz val="10.0"/>
      <color rgb="FF000000"/>
      <name val="Arial"/>
      <scheme val="minor"/>
    </font>
    <font>
      <color theme="1"/>
      <name val="Arial"/>
    </font>
    <font/>
    <font>
      <sz val="11.0"/>
      <color theme="1"/>
      <name val="Calibri"/>
    </font>
    <font>
      <color theme="1"/>
      <name val="Arial"/>
      <scheme val="minor"/>
    </font>
    <font>
      <b/>
      <sz val="14.0"/>
      <color theme="1"/>
      <name val="Arial"/>
      <scheme val="minor"/>
    </font>
    <font>
      <sz val="11.0"/>
      <color rgb="FF000000"/>
      <name val="Calibri"/>
    </font>
    <font>
      <b/>
      <sz val="11.0"/>
      <color theme="1"/>
      <name val="Calibri"/>
    </font>
    <font>
      <sz val="11.0"/>
      <color rgb="FFB5CEA8"/>
      <name val="Consolas"/>
    </font>
    <font>
      <sz val="11.0"/>
      <color rgb="FF000000"/>
      <name val="&quot;Aptos Narrow&quot;"/>
    </font>
  </fonts>
  <fills count="12">
    <fill>
      <patternFill patternType="none"/>
    </fill>
    <fill>
      <patternFill patternType="lightGray"/>
    </fill>
    <fill>
      <patternFill patternType="solid">
        <fgColor rgb="FF121314"/>
        <bgColor rgb="FF121314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D6DCE4"/>
        <bgColor rgb="FFD6DCE4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vertical="center"/>
    </xf>
    <xf borderId="3" fillId="0" fontId="2" numFmtId="0" xfId="0" applyBorder="1" applyFont="1"/>
    <xf borderId="4" fillId="0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1" numFmtId="0" xfId="0" applyAlignment="1" applyBorder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6" fillId="0" fontId="1" numFmtId="0" xfId="0" applyAlignment="1" applyBorder="1" applyFont="1">
      <alignment horizontal="center"/>
    </xf>
    <xf borderId="1" fillId="0" fontId="1" numFmtId="3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1" fillId="0" fontId="3" numFmtId="3" xfId="0" applyAlignment="1" applyBorder="1" applyFont="1" applyNumberFormat="1">
      <alignment horizontal="center" vertical="bottom"/>
    </xf>
    <xf borderId="1" fillId="0" fontId="4" numFmtId="3" xfId="0" applyAlignment="1" applyBorder="1" applyFont="1" applyNumberForma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4" numFmtId="4" xfId="0" applyAlignment="1" applyFont="1" applyNumberFormat="1">
      <alignment horizontal="center" vertical="center"/>
    </xf>
    <xf borderId="0" fillId="0" fontId="4" numFmtId="4" xfId="0" applyAlignment="1" applyFont="1" applyNumberForma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/>
    </xf>
    <xf borderId="0" fillId="0" fontId="4" numFmtId="4" xfId="0" applyFont="1" applyNumberFormat="1"/>
    <xf borderId="0" fillId="0" fontId="4" numFmtId="4" xfId="0" applyAlignment="1" applyFont="1" applyNumberFormat="1">
      <alignment horizontal="center"/>
    </xf>
    <xf borderId="4" fillId="0" fontId="5" numFmtId="0" xfId="0" applyAlignment="1" applyBorder="1" applyFont="1">
      <alignment horizontal="center" readingOrder="0" vertical="center"/>
    </xf>
    <xf borderId="10" fillId="0" fontId="2" numFmtId="0" xfId="0" applyBorder="1" applyFont="1"/>
    <xf borderId="1" fillId="0" fontId="4" numFmtId="0" xfId="0" applyAlignment="1" applyBorder="1" applyFont="1">
      <alignment horizontal="center" readingOrder="0" vertical="center"/>
    </xf>
    <xf borderId="0" fillId="0" fontId="4" numFmtId="4" xfId="0" applyAlignment="1" applyFont="1" applyNumberFormat="1">
      <alignment horizontal="center" readingOrder="0"/>
    </xf>
    <xf borderId="0" fillId="0" fontId="6" numFmtId="165" xfId="0" applyAlignment="1" applyFont="1" applyNumberFormat="1">
      <alignment horizontal="right" readingOrder="0" shrinkToFit="0" vertical="bottom" wrapText="0"/>
    </xf>
    <xf borderId="1" fillId="0" fontId="7" numFmtId="0" xfId="0" applyAlignment="1" applyBorder="1" applyFont="1">
      <alignment horizontal="center" readingOrder="0" shrinkToFit="0" vertical="top" wrapText="0"/>
    </xf>
    <xf borderId="0" fillId="0" fontId="7" numFmtId="0" xfId="0" applyAlignment="1" applyFont="1">
      <alignment horizontal="center" readingOrder="0" shrinkToFit="0" vertical="top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4" numFmtId="166" xfId="0" applyAlignment="1" applyFont="1" applyNumberFormat="1">
      <alignment horizontal="center" vertical="center"/>
    </xf>
    <xf borderId="0" fillId="0" fontId="7" numFmtId="4" xfId="0" applyAlignment="1" applyFont="1" applyNumberFormat="1">
      <alignment horizontal="center" readingOrder="0" shrinkToFit="0" vertical="top" wrapText="0"/>
    </xf>
    <xf borderId="0" fillId="0" fontId="6" numFmtId="4" xfId="0" applyAlignment="1" applyFont="1" applyNumberFormat="1">
      <alignment readingOrder="0" shrinkToFit="0" vertical="bottom" wrapText="0"/>
    </xf>
    <xf borderId="0" fillId="0" fontId="6" numFmtId="4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readingOrder="0"/>
    </xf>
    <xf borderId="0" fillId="2" fontId="8" numFmtId="4" xfId="0" applyAlignment="1" applyFill="1" applyFont="1" applyNumberFormat="1">
      <alignment readingOrder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4" numFmtId="0" xfId="0" applyFont="1"/>
    <xf borderId="0" fillId="0" fontId="6" numFmtId="0" xfId="0" applyAlignment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/>
    </xf>
    <xf borderId="6" fillId="0" fontId="4" numFmtId="0" xfId="0" applyAlignment="1" applyBorder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1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3" fontId="7" numFmtId="0" xfId="0" applyAlignment="1" applyBorder="1" applyFont="1">
      <alignment horizontal="center" readingOrder="0" shrinkToFit="0" vertical="top" wrapText="0"/>
    </xf>
    <xf borderId="0" fillId="3" fontId="7" numFmtId="0" xfId="0" applyAlignment="1" applyFont="1">
      <alignment horizontal="center" readingOrder="0" shrinkToFit="0" vertical="top" wrapText="0"/>
    </xf>
    <xf borderId="1" fillId="0" fontId="6" numFmtId="0" xfId="0" applyAlignment="1" applyBorder="1" applyFont="1">
      <alignment horizontal="center" readingOrder="0" shrinkToFit="0" vertical="bottom" wrapText="0"/>
    </xf>
    <xf borderId="1" fillId="4" fontId="3" numFmtId="0" xfId="0" applyAlignment="1" applyBorder="1" applyFill="1" applyFont="1">
      <alignment horizontal="center" vertical="center"/>
    </xf>
    <xf borderId="0" fillId="0" fontId="3" numFmtId="4" xfId="0" applyAlignment="1" applyFont="1" applyNumberFormat="1">
      <alignment horizontal="center" readingOrder="0" vertical="center"/>
    </xf>
    <xf borderId="1" fillId="3" fontId="6" numFmtId="0" xfId="0" applyAlignment="1" applyBorder="1" applyFont="1">
      <alignment horizontal="center" readingOrder="0" shrinkToFit="0" vertical="bottom" wrapText="0"/>
    </xf>
    <xf borderId="0" fillId="3" fontId="6" numFmtId="166" xfId="0" applyAlignment="1" applyFont="1" applyNumberFormat="1">
      <alignment horizontal="center" readingOrder="0" shrinkToFit="0" vertical="bottom" wrapText="0"/>
    </xf>
    <xf borderId="0" fillId="3" fontId="4" numFmtId="4" xfId="0" applyAlignment="1" applyFont="1" applyNumberFormat="1">
      <alignment horizontal="center"/>
    </xf>
    <xf borderId="0" fillId="3" fontId="6" numFmtId="0" xfId="0" applyAlignment="1" applyFont="1">
      <alignment horizontal="center" readingOrder="0" shrinkToFit="0" vertical="bottom" wrapText="0"/>
    </xf>
    <xf borderId="0" fillId="0" fontId="6" numFmtId="166" xfId="0" applyAlignment="1" applyFont="1" applyNumberFormat="1">
      <alignment horizontal="center" readingOrder="0" shrinkToFit="0" vertical="bottom" wrapText="0"/>
    </xf>
    <xf borderId="0" fillId="0" fontId="3" numFmtId="4" xfId="0" applyAlignment="1" applyFont="1" applyNumberFormat="1">
      <alignment horizontal="center" vertical="center"/>
    </xf>
    <xf borderId="1" fillId="5" fontId="3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6" fontId="3" numFmtId="0" xfId="0" applyAlignment="1" applyBorder="1" applyFill="1" applyFont="1">
      <alignment horizontal="center" vertical="center"/>
    </xf>
    <xf borderId="1" fillId="7" fontId="3" numFmtId="0" xfId="0" applyAlignment="1" applyBorder="1" applyFill="1" applyFont="1">
      <alignment horizontal="center" vertical="center"/>
    </xf>
    <xf borderId="1" fillId="8" fontId="3" numFmtId="0" xfId="0" applyAlignment="1" applyBorder="1" applyFill="1" applyFont="1">
      <alignment horizontal="center" vertical="center"/>
    </xf>
    <xf borderId="1" fillId="9" fontId="3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/>
    </xf>
    <xf borderId="1" fillId="10" fontId="3" numFmtId="0" xfId="0" applyAlignment="1" applyBorder="1" applyFill="1" applyFont="1">
      <alignment horizontal="center" vertical="center"/>
    </xf>
    <xf borderId="1" fillId="11" fontId="3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6" fillId="6" fontId="3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vertical="center"/>
    </xf>
    <xf borderId="0" fillId="0" fontId="6" numFmtId="167" xfId="0" applyAlignment="1" applyFont="1" applyNumberFormat="1">
      <alignment horizontal="right" readingOrder="0" shrinkToFit="0" vertical="bottom" wrapText="0"/>
    </xf>
    <xf borderId="0" fillId="0" fontId="4" numFmtId="166" xfId="0" applyAlignment="1" applyFont="1" applyNumberFormat="1">
      <alignment horizontal="center" readingOrder="0" vertical="center"/>
    </xf>
    <xf borderId="1" fillId="0" fontId="7" numFmtId="3" xfId="0" applyAlignment="1" applyBorder="1" applyFont="1" applyNumberFormat="1">
      <alignment horizontal="center" readingOrder="0" shrinkToFit="0" vertical="top" wrapText="0"/>
    </xf>
    <xf borderId="0" fillId="0" fontId="6" numFmtId="3" xfId="0" applyAlignment="1" applyFont="1" applyNumberFormat="1">
      <alignment horizontal="center" readingOrder="0" shrinkToFit="0" vertical="bottom" wrapText="0"/>
    </xf>
    <xf borderId="0" fillId="0" fontId="4" numFmtId="11" xfId="0" applyAlignment="1" applyFont="1" applyNumberFormat="1">
      <alignment horizontal="center" readingOrder="0" vertical="center"/>
    </xf>
    <xf borderId="0" fillId="0" fontId="4" numFmtId="11" xfId="0" applyAlignment="1" applyFont="1" applyNumberFormat="1">
      <alignment readingOrder="0"/>
    </xf>
    <xf borderId="0" fillId="0" fontId="6" numFmtId="11" xfId="0" applyAlignment="1" applyFont="1" applyNumberFormat="1">
      <alignment readingOrder="0" shrinkToFit="0" vertical="bottom" wrapText="0"/>
    </xf>
    <xf borderId="0" fillId="0" fontId="4" numFmtId="3" xfId="0" applyAlignment="1" applyFont="1" applyNumberFormat="1">
      <alignment horizontal="center" vertical="center"/>
    </xf>
    <xf borderId="0" fillId="0" fontId="4" numFmtId="4" xfId="0" applyAlignment="1" applyFont="1" applyNumberFormat="1">
      <alignment readingOrder="0"/>
    </xf>
    <xf borderId="0" fillId="0" fontId="4" numFmtId="168" xfId="0" applyAlignment="1" applyFont="1" applyNumberFormat="1">
      <alignment horizontal="center" vertical="center"/>
    </xf>
    <xf borderId="0" fillId="4" fontId="3" numFmtId="0" xfId="0" applyAlignment="1" applyFont="1">
      <alignment horizontal="center" vertical="center"/>
    </xf>
    <xf borderId="0" fillId="5" fontId="3" numFmtId="0" xfId="0" applyAlignment="1" applyFont="1">
      <alignment horizontal="center" vertical="center"/>
    </xf>
    <xf borderId="0" fillId="0" fontId="4" numFmtId="0" xfId="0" applyFont="1"/>
    <xf borderId="0" fillId="6" fontId="3" numFmtId="0" xfId="0" applyAlignment="1" applyFont="1">
      <alignment horizontal="center" vertical="center"/>
    </xf>
    <xf borderId="0" fillId="7" fontId="3" numFmtId="0" xfId="0" applyAlignment="1" applyFont="1">
      <alignment horizontal="center" vertical="center"/>
    </xf>
    <xf borderId="0" fillId="8" fontId="3" numFmtId="0" xfId="0" applyAlignment="1" applyFont="1">
      <alignment horizontal="center" vertical="center"/>
    </xf>
    <xf borderId="0" fillId="9" fontId="3" numFmtId="0" xfId="0" applyAlignment="1" applyFont="1">
      <alignment horizontal="center" vertical="center"/>
    </xf>
    <xf borderId="0" fillId="10" fontId="3" numFmtId="0" xfId="0" applyAlignment="1" applyFont="1">
      <alignment horizontal="center" vertical="center"/>
    </xf>
    <xf borderId="0" fillId="11" fontId="3" numFmtId="0" xfId="0" applyAlignment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11" fillId="0" fontId="3" numFmtId="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9" numFmtId="0" xfId="0" applyAlignment="1" applyFont="1">
      <alignment horizontal="right" readingOrder="0" shrinkToFit="0" vertical="bottom" wrapText="0"/>
    </xf>
    <xf borderId="1" fillId="4" fontId="6" numFmtId="0" xfId="0" applyAlignment="1" applyBorder="1" applyFont="1">
      <alignment horizontal="center" readingOrder="0"/>
    </xf>
    <xf borderId="1" fillId="4" fontId="6" numFmtId="3" xfId="0" applyAlignment="1" applyBorder="1" applyFont="1" applyNumberFormat="1">
      <alignment horizontal="center" readingOrder="0" shrinkToFit="0" vertical="bottom" wrapText="0"/>
    </xf>
    <xf borderId="1" fillId="5" fontId="6" numFmtId="0" xfId="0" applyAlignment="1" applyBorder="1" applyFont="1">
      <alignment horizontal="center" readingOrder="0"/>
    </xf>
    <xf borderId="1" fillId="6" fontId="6" numFmtId="0" xfId="0" applyAlignment="1" applyBorder="1" applyFont="1">
      <alignment horizontal="center" readingOrder="0"/>
    </xf>
    <xf borderId="1" fillId="7" fontId="6" numFmtId="0" xfId="0" applyAlignment="1" applyBorder="1" applyFont="1">
      <alignment horizontal="center" readingOrder="0"/>
    </xf>
    <xf borderId="1" fillId="8" fontId="6" numFmtId="0" xfId="0" applyAlignment="1" applyBorder="1" applyFont="1">
      <alignment horizontal="center" readingOrder="0"/>
    </xf>
    <xf borderId="1" fillId="9" fontId="6" numFmtId="0" xfId="0" applyAlignment="1" applyBorder="1" applyFont="1">
      <alignment horizontal="center" readingOrder="0"/>
    </xf>
    <xf borderId="1" fillId="10" fontId="6" numFmtId="0" xfId="0" applyAlignment="1" applyBorder="1" applyFont="1">
      <alignment horizontal="center" readingOrder="0"/>
    </xf>
    <xf borderId="1" fillId="11" fontId="6" numFmtId="0" xfId="0" applyAlignment="1" applyBorder="1" applyFont="1">
      <alignment horizontal="center" readingOrder="0"/>
    </xf>
    <xf borderId="1" fillId="4" fontId="6" numFmtId="0" xfId="0" applyAlignment="1" applyBorder="1" applyFont="1">
      <alignment horizontal="center"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9" numFmtId="166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/>
      <c r="B3" s="2"/>
      <c r="C3" s="1"/>
      <c r="D3" s="1"/>
      <c r="E3" s="1"/>
      <c r="F3" s="1"/>
    </row>
    <row r="4">
      <c r="A4" s="3" t="s">
        <v>0</v>
      </c>
      <c r="B4" s="4"/>
      <c r="C4" s="5" t="s">
        <v>1</v>
      </c>
      <c r="D4" s="6"/>
      <c r="E4" s="7" t="s">
        <v>2</v>
      </c>
    </row>
    <row r="5">
      <c r="A5" s="8"/>
      <c r="B5" s="9"/>
      <c r="C5" s="5" t="s">
        <v>3</v>
      </c>
      <c r="D5" s="5" t="s">
        <v>4</v>
      </c>
      <c r="E5" s="10"/>
    </row>
    <row r="6">
      <c r="A6" s="11" t="s">
        <v>5</v>
      </c>
      <c r="B6" s="1" t="s">
        <v>6</v>
      </c>
      <c r="C6" s="12">
        <v>1.2787558415E10</v>
      </c>
      <c r="D6" s="12">
        <f>'Single Allocation'!G2</f>
        <v>12787557674</v>
      </c>
      <c r="E6" s="13">
        <f t="shared" ref="E6:E13" si="1">(C6-D6)/C6</f>
        <v>0.0000000579513644</v>
      </c>
    </row>
    <row r="7">
      <c r="A7" s="10"/>
      <c r="B7" s="1" t="s">
        <v>7</v>
      </c>
      <c r="C7" s="12">
        <v>1.2313570417E10</v>
      </c>
      <c r="D7" s="12">
        <f>'Multiple Allocation'!G2</f>
        <v>12313569957</v>
      </c>
      <c r="E7" s="13">
        <f t="shared" si="1"/>
        <v>0.00000003736912454</v>
      </c>
    </row>
    <row r="8">
      <c r="A8" s="11" t="s">
        <v>8</v>
      </c>
      <c r="B8" s="1" t="s">
        <v>6</v>
      </c>
      <c r="C8" s="14">
        <v>1.2787558415E10</v>
      </c>
      <c r="D8" s="14">
        <f>Incomplete_SA!J2</f>
        <v>12787557674</v>
      </c>
      <c r="E8" s="13">
        <f t="shared" si="1"/>
        <v>0.0000000579513644</v>
      </c>
    </row>
    <row r="9">
      <c r="A9" s="10"/>
      <c r="B9" s="1" t="s">
        <v>7</v>
      </c>
      <c r="C9" s="15">
        <v>1.5310629059E10</v>
      </c>
      <c r="D9" s="12">
        <f>Incomplete_MA!I2</f>
        <v>15310627814</v>
      </c>
      <c r="E9" s="13">
        <f t="shared" si="1"/>
        <v>0.0000000812863915</v>
      </c>
    </row>
    <row r="10">
      <c r="A10" s="11" t="s">
        <v>9</v>
      </c>
      <c r="B10" s="1" t="s">
        <v>6</v>
      </c>
      <c r="C10" s="12">
        <v>1.2951617044E10</v>
      </c>
      <c r="D10" s="12">
        <f>'Cycle Hub_SA'!E2</f>
        <v>12951616463</v>
      </c>
      <c r="E10" s="13">
        <f t="shared" si="1"/>
        <v>0.00000004489692578</v>
      </c>
    </row>
    <row r="11">
      <c r="A11" s="10"/>
      <c r="B11" s="1" t="s">
        <v>7</v>
      </c>
      <c r="C11" s="12">
        <v>1.2313570417E10</v>
      </c>
      <c r="D11" s="12">
        <f>'Cycle Hub_MA'!G2</f>
        <v>12313570446</v>
      </c>
      <c r="E11" s="13">
        <f t="shared" si="1"/>
        <v>-0.000000002323179017</v>
      </c>
    </row>
    <row r="12">
      <c r="A12" s="11" t="s">
        <v>10</v>
      </c>
      <c r="B12" s="1" t="s">
        <v>6</v>
      </c>
      <c r="C12" s="12">
        <v>1.3080397914E10</v>
      </c>
      <c r="D12" s="12">
        <f>Hubline_SA!H2</f>
        <v>13080397928</v>
      </c>
      <c r="E12" s="13">
        <f t="shared" si="1"/>
        <v>-0.000000001032562225</v>
      </c>
    </row>
    <row r="13">
      <c r="A13" s="10"/>
      <c r="B13" s="1" t="s">
        <v>7</v>
      </c>
      <c r="C13" s="12">
        <v>1.2579311845E10</v>
      </c>
      <c r="D13" s="12">
        <f>Hubline_MA!I2</f>
        <v>12579311845</v>
      </c>
      <c r="E13" s="13">
        <f t="shared" si="1"/>
        <v>0</v>
      </c>
    </row>
  </sheetData>
  <mergeCells count="7">
    <mergeCell ref="A4:B5"/>
    <mergeCell ref="C4:D4"/>
    <mergeCell ref="E4:E5"/>
    <mergeCell ref="A6:A7"/>
    <mergeCell ref="A8:A9"/>
    <mergeCell ref="A10:A11"/>
    <mergeCell ref="A12:A1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4.5"/>
    <col customWidth="1" min="5" max="5" width="12.63"/>
    <col customWidth="1" min="6" max="6" width="13.88"/>
    <col customWidth="1" min="7" max="7" width="17.25"/>
    <col customWidth="1" min="9" max="9" width="18.0"/>
    <col customWidth="1" min="23" max="23" width="19.13"/>
    <col customWidth="1" min="24" max="24" width="14.5"/>
  </cols>
  <sheetData>
    <row r="1">
      <c r="B1" s="16"/>
      <c r="C1" s="16"/>
      <c r="D1" s="17" t="s">
        <v>11</v>
      </c>
      <c r="E1" s="18" t="s">
        <v>12</v>
      </c>
      <c r="F1" s="18" t="s">
        <v>13</v>
      </c>
      <c r="G1" s="18" t="s">
        <v>14</v>
      </c>
      <c r="H1" s="16"/>
      <c r="I1" s="18" t="s">
        <v>3</v>
      </c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</row>
    <row r="2">
      <c r="A2" s="16"/>
      <c r="B2" s="16"/>
      <c r="C2" s="18"/>
      <c r="E2" s="19">
        <f>sum(U8:U17)</f>
        <v>4530757568</v>
      </c>
      <c r="F2" s="19">
        <f>sum(M8:M37)</f>
        <v>8256800106</v>
      </c>
      <c r="G2" s="19">
        <f>sum(E2:F2)</f>
        <v>12787557674</v>
      </c>
      <c r="H2" s="16"/>
      <c r="I2" s="20">
        <v>1.2787558415E10</v>
      </c>
      <c r="J2" s="19">
        <f>G2-I2</f>
        <v>-741.0564575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</row>
    <row r="3">
      <c r="A3" s="18" t="s">
        <v>15</v>
      </c>
      <c r="B3" s="18">
        <v>15.0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</row>
    <row r="4">
      <c r="A4" s="18" t="s">
        <v>16</v>
      </c>
      <c r="B4" s="18">
        <v>0.75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</row>
    <row r="5">
      <c r="A5" s="18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</row>
    <row r="6">
      <c r="A6" s="21" t="s">
        <v>17</v>
      </c>
      <c r="C6" s="16"/>
      <c r="D6" s="21" t="s">
        <v>18</v>
      </c>
      <c r="G6" s="18"/>
      <c r="H6" s="21" t="s">
        <v>19</v>
      </c>
      <c r="N6" s="16"/>
      <c r="O6" s="21" t="s">
        <v>20</v>
      </c>
      <c r="V6" s="16"/>
      <c r="AC6" s="21"/>
    </row>
    <row r="7">
      <c r="A7" s="18" t="s">
        <v>21</v>
      </c>
      <c r="B7" s="18" t="s">
        <v>22</v>
      </c>
      <c r="C7" s="16"/>
      <c r="D7" s="18" t="s">
        <v>23</v>
      </c>
      <c r="E7" s="18" t="s">
        <v>17</v>
      </c>
      <c r="F7" s="18" t="s">
        <v>24</v>
      </c>
      <c r="G7" s="18"/>
      <c r="H7" s="18" t="s">
        <v>23</v>
      </c>
      <c r="I7" s="18" t="s">
        <v>25</v>
      </c>
      <c r="J7" s="18" t="s">
        <v>26</v>
      </c>
      <c r="K7" s="18" t="s">
        <v>27</v>
      </c>
      <c r="L7" s="18" t="s">
        <v>28</v>
      </c>
      <c r="M7" s="22" t="s">
        <v>29</v>
      </c>
      <c r="N7" s="23"/>
      <c r="O7" s="18" t="s">
        <v>23</v>
      </c>
      <c r="P7" s="18" t="s">
        <v>17</v>
      </c>
      <c r="Q7" s="18" t="s">
        <v>24</v>
      </c>
      <c r="R7" s="20" t="s">
        <v>23</v>
      </c>
      <c r="S7" s="20" t="s">
        <v>30</v>
      </c>
      <c r="T7" s="18" t="s">
        <v>28</v>
      </c>
      <c r="U7" s="18" t="s">
        <v>29</v>
      </c>
      <c r="V7" s="16"/>
      <c r="AC7" s="16"/>
    </row>
    <row r="8">
      <c r="A8" s="18" t="s">
        <v>31</v>
      </c>
      <c r="B8" s="18">
        <v>0.0</v>
      </c>
      <c r="C8" s="16"/>
      <c r="D8" s="18" t="s">
        <v>31</v>
      </c>
      <c r="E8" s="18" t="s">
        <v>32</v>
      </c>
      <c r="F8" s="18">
        <v>1.0</v>
      </c>
      <c r="G8" s="18"/>
      <c r="H8" s="18" t="s">
        <v>31</v>
      </c>
      <c r="I8" s="18" t="s">
        <v>32</v>
      </c>
      <c r="J8" s="18" t="s">
        <v>33</v>
      </c>
      <c r="K8" s="20">
        <v>12280.84</v>
      </c>
      <c r="L8" s="19">
        <f t="array" ref="L8">XLOOKUP(I8, 'Data jarak '!$A$2:$A$11, XLOOKUP(J8, 'Data jarak '!$B$1:$K$1, 'Data jarak '!$B$2:$K$11))</f>
        <v>525.4495</v>
      </c>
      <c r="M8" s="24">
        <f t="shared" ref="M8:M37" si="1">$B$3*$B$4*K8*L8</f>
        <v>72595813.92</v>
      </c>
      <c r="N8" s="20"/>
      <c r="O8" s="18" t="s">
        <v>31</v>
      </c>
      <c r="P8" s="18" t="s">
        <v>32</v>
      </c>
      <c r="Q8" s="18">
        <v>1.0</v>
      </c>
      <c r="R8" s="20">
        <f>vlookup(O8, Sheet4!$G$1:$I$11,2,0)</f>
        <v>125092.16</v>
      </c>
      <c r="S8" s="20">
        <f>vlookup(O8, Sheet4!$G$1:$I$11,3,0)</f>
        <v>73644.52</v>
      </c>
      <c r="T8" s="19">
        <f t="array" ref="T8">XLOOKUP(O8, 'Data jarak '!$A$2:$A$11, XLOOKUP(P8, 'Data jarak '!$B$1:$K$1, 'Data jarak '!$B$2:$K$11))</f>
        <v>909.2041</v>
      </c>
      <c r="U8" s="19">
        <f t="shared" ref="U8:U17" si="2">$B$3*T8*(R8+S8)</f>
        <v>2710383064</v>
      </c>
      <c r="V8" s="16"/>
      <c r="AC8" s="16"/>
    </row>
    <row r="9">
      <c r="A9" s="18" t="s">
        <v>34</v>
      </c>
      <c r="B9" s="18">
        <v>0.0</v>
      </c>
      <c r="C9" s="16"/>
      <c r="D9" s="18" t="s">
        <v>34</v>
      </c>
      <c r="E9" s="18" t="s">
        <v>32</v>
      </c>
      <c r="F9" s="18">
        <v>1.0</v>
      </c>
      <c r="G9" s="18"/>
      <c r="H9" s="18" t="s">
        <v>31</v>
      </c>
      <c r="I9" s="18" t="s">
        <v>32</v>
      </c>
      <c r="J9" s="18" t="s">
        <v>35</v>
      </c>
      <c r="K9" s="20">
        <v>29375.52</v>
      </c>
      <c r="L9" s="19">
        <f t="array" ref="L9">XLOOKUP(I9, 'Data jarak '!$A$2:$A$11, XLOOKUP(J9, 'Data jarak '!$B$1:$K$1, 'Data jarak '!$B$2:$K$11))</f>
        <v>918.1315</v>
      </c>
      <c r="M9" s="24">
        <f t="shared" si="1"/>
        <v>303419140.2</v>
      </c>
      <c r="N9" s="20"/>
      <c r="O9" s="18" t="s">
        <v>34</v>
      </c>
      <c r="P9" s="18" t="s">
        <v>32</v>
      </c>
      <c r="Q9" s="18">
        <v>1.0</v>
      </c>
      <c r="R9" s="20">
        <f>vlookup(O9, Sheet4!$G$1:$I$11,2,0)</f>
        <v>30992.74</v>
      </c>
      <c r="S9" s="20">
        <f>vlookup(O9, Sheet4!$G$1:$I$11,3,0)</f>
        <v>21308.78</v>
      </c>
      <c r="T9" s="19">
        <f t="array" ref="T9">XLOOKUP(O9, 'Data jarak '!$A$2:$A$11, XLOOKUP(P9, 'Data jarak '!$B$1:$K$1, 'Data jarak '!$B$2:$K$11))</f>
        <v>563.3406</v>
      </c>
      <c r="U9" s="19">
        <f t="shared" si="2"/>
        <v>441953544.9</v>
      </c>
      <c r="V9" s="16"/>
      <c r="AC9" s="16"/>
    </row>
    <row r="10">
      <c r="A10" s="18" t="s">
        <v>36</v>
      </c>
      <c r="B10" s="18">
        <v>0.0</v>
      </c>
      <c r="C10" s="16"/>
      <c r="D10" s="18" t="s">
        <v>36</v>
      </c>
      <c r="E10" s="18" t="s">
        <v>33</v>
      </c>
      <c r="F10" s="18">
        <v>1.0</v>
      </c>
      <c r="G10" s="18"/>
      <c r="H10" s="18" t="s">
        <v>31</v>
      </c>
      <c r="I10" s="18" t="s">
        <v>32</v>
      </c>
      <c r="J10" s="18" t="s">
        <v>37</v>
      </c>
      <c r="K10" s="20">
        <v>70439.32</v>
      </c>
      <c r="L10" s="19">
        <f t="array" ref="L10">XLOOKUP(I10, 'Data jarak '!$A$2:$A$11, XLOOKUP(J10, 'Data jarak '!$B$1:$K$1, 'Data jarak '!$B$2:$K$11))</f>
        <v>1535.299</v>
      </c>
      <c r="M10" s="24">
        <f t="shared" si="1"/>
        <v>1216635948</v>
      </c>
      <c r="N10" s="20"/>
      <c r="O10" s="18" t="s">
        <v>36</v>
      </c>
      <c r="P10" s="18" t="s">
        <v>33</v>
      </c>
      <c r="Q10" s="18">
        <v>1.0</v>
      </c>
      <c r="R10" s="20">
        <f>vlookup(O10, Sheet4!$G$1:$I$11,2,0)</f>
        <v>27365.36</v>
      </c>
      <c r="S10" s="20">
        <f>vlookup(O10, Sheet4!$G$1:$I$11,3,0)</f>
        <v>48760.24</v>
      </c>
      <c r="T10" s="19">
        <f t="array" ref="T10">XLOOKUP(O10, 'Data jarak '!$A$2:$A$11, XLOOKUP(P10, 'Data jarak '!$B$1:$K$1, 'Data jarak '!$B$2:$K$11))</f>
        <v>397.4792</v>
      </c>
      <c r="U10" s="19">
        <f t="shared" si="2"/>
        <v>453875138.8</v>
      </c>
      <c r="V10" s="16"/>
      <c r="AC10" s="16"/>
    </row>
    <row r="11">
      <c r="A11" s="18" t="s">
        <v>32</v>
      </c>
      <c r="B11" s="18">
        <v>1.0</v>
      </c>
      <c r="C11" s="16"/>
      <c r="D11" s="18" t="s">
        <v>32</v>
      </c>
      <c r="E11" s="18" t="s">
        <v>32</v>
      </c>
      <c r="F11" s="18">
        <v>1.0</v>
      </c>
      <c r="G11" s="18"/>
      <c r="H11" s="18" t="s">
        <v>34</v>
      </c>
      <c r="I11" s="18" t="s">
        <v>32</v>
      </c>
      <c r="J11" s="18" t="s">
        <v>33</v>
      </c>
      <c r="K11" s="20">
        <v>8739.64</v>
      </c>
      <c r="L11" s="19">
        <f t="array" ref="L11">XLOOKUP(I11, 'Data jarak '!$A$2:$A$11, XLOOKUP(J11, 'Data jarak '!$B$1:$K$1, 'Data jarak '!$B$2:$K$11))</f>
        <v>525.4495</v>
      </c>
      <c r="M11" s="24">
        <f t="shared" si="1"/>
        <v>51662694.02</v>
      </c>
      <c r="N11" s="20"/>
      <c r="O11" s="18" t="s">
        <v>32</v>
      </c>
      <c r="P11" s="18" t="s">
        <v>32</v>
      </c>
      <c r="Q11" s="18">
        <v>1.0</v>
      </c>
      <c r="R11" s="20">
        <f>vlookup(O11, Sheet4!$G$1:$I$11,2,0)</f>
        <v>50914.96</v>
      </c>
      <c r="S11" s="20">
        <f>vlookup(O11, Sheet4!$G$1:$I$11,3,0)</f>
        <v>147517.64</v>
      </c>
      <c r="T11" s="19">
        <f t="array" ref="T11">XLOOKUP(O11, 'Data jarak '!$A$2:$A$11, XLOOKUP(P11, 'Data jarak '!$B$1:$K$1, 'Data jarak '!$B$2:$K$11))</f>
        <v>0</v>
      </c>
      <c r="U11" s="19">
        <f t="shared" si="2"/>
        <v>0</v>
      </c>
      <c r="V11" s="16"/>
      <c r="AC11" s="16"/>
    </row>
    <row r="12">
      <c r="A12" s="18" t="s">
        <v>38</v>
      </c>
      <c r="B12" s="18">
        <v>0.0</v>
      </c>
      <c r="C12" s="16"/>
      <c r="D12" s="18" t="s">
        <v>38</v>
      </c>
      <c r="E12" s="18" t="s">
        <v>33</v>
      </c>
      <c r="F12" s="18">
        <v>1.0</v>
      </c>
      <c r="G12" s="18"/>
      <c r="H12" s="18" t="s">
        <v>34</v>
      </c>
      <c r="I12" s="18" t="s">
        <v>32</v>
      </c>
      <c r="J12" s="18" t="s">
        <v>35</v>
      </c>
      <c r="K12" s="20">
        <v>12354.38</v>
      </c>
      <c r="L12" s="19">
        <f t="array" ref="L12">XLOOKUP(I12, 'Data jarak '!$A$2:$A$11, XLOOKUP(J12, 'Data jarak '!$B$1:$K$1, 'Data jarak '!$B$2:$K$11))</f>
        <v>918.1315</v>
      </c>
      <c r="M12" s="24">
        <f t="shared" si="1"/>
        <v>127608136.2</v>
      </c>
      <c r="N12" s="20"/>
      <c r="O12" s="18" t="s">
        <v>38</v>
      </c>
      <c r="P12" s="18" t="s">
        <v>33</v>
      </c>
      <c r="Q12" s="18">
        <v>1.0</v>
      </c>
      <c r="R12" s="20">
        <f>vlookup(O12, Sheet4!$G$1:$I$11,2,0)</f>
        <v>40906.08</v>
      </c>
      <c r="S12" s="20">
        <f>vlookup(O12, Sheet4!$G$1:$I$11,3,0)</f>
        <v>49314.56</v>
      </c>
      <c r="T12" s="19">
        <f t="array" ref="T12">XLOOKUP(O12, 'Data jarak '!$A$2:$A$11, XLOOKUP(P12, 'Data jarak '!$B$1:$K$1, 'Data jarak '!$B$2:$K$11))</f>
        <v>176.4669</v>
      </c>
      <c r="U12" s="19">
        <f t="shared" si="2"/>
        <v>238814349.9</v>
      </c>
      <c r="V12" s="16"/>
      <c r="AC12" s="16"/>
    </row>
    <row r="13">
      <c r="A13" s="18" t="s">
        <v>33</v>
      </c>
      <c r="B13" s="18">
        <v>1.0</v>
      </c>
      <c r="C13" s="16"/>
      <c r="D13" s="18" t="s">
        <v>33</v>
      </c>
      <c r="E13" s="18" t="s">
        <v>33</v>
      </c>
      <c r="F13" s="18">
        <v>1.0</v>
      </c>
      <c r="G13" s="18"/>
      <c r="H13" s="18" t="s">
        <v>34</v>
      </c>
      <c r="I13" s="18" t="s">
        <v>32</v>
      </c>
      <c r="J13" s="18" t="s">
        <v>37</v>
      </c>
      <c r="K13" s="20">
        <v>4136.76</v>
      </c>
      <c r="L13" s="19">
        <f t="array" ref="L13">XLOOKUP(I13, 'Data jarak '!$A$2:$A$11, XLOOKUP(J13, 'Data jarak '!$B$1:$K$1, 'Data jarak '!$B$2:$K$11))</f>
        <v>1535.299</v>
      </c>
      <c r="M13" s="24">
        <f t="shared" si="1"/>
        <v>71450589.28</v>
      </c>
      <c r="N13" s="20"/>
      <c r="O13" s="18" t="s">
        <v>33</v>
      </c>
      <c r="P13" s="18" t="s">
        <v>33</v>
      </c>
      <c r="Q13" s="18">
        <v>1.0</v>
      </c>
      <c r="R13" s="20">
        <f>vlookup(O13, Sheet4!$G$1:$I$11,2,0)</f>
        <v>64470.2</v>
      </c>
      <c r="S13" s="20">
        <f>vlookup(O13, Sheet4!$G$1:$I$11,3,0)</f>
        <v>187313.74</v>
      </c>
      <c r="T13" s="19">
        <f t="array" ref="T13">XLOOKUP(O13, 'Data jarak '!$A$2:$A$11, XLOOKUP(P13, 'Data jarak '!$B$1:$K$1, 'Data jarak '!$B$2:$K$11))</f>
        <v>0</v>
      </c>
      <c r="U13" s="19">
        <f t="shared" si="2"/>
        <v>0</v>
      </c>
      <c r="V13" s="16"/>
      <c r="W13" s="16"/>
      <c r="X13" s="16"/>
      <c r="Y13" s="16"/>
      <c r="Z13" s="16"/>
      <c r="AA13" s="16"/>
      <c r="AB13" s="16"/>
      <c r="AC13" s="16"/>
    </row>
    <row r="14">
      <c r="A14" s="18" t="s">
        <v>39</v>
      </c>
      <c r="B14" s="18">
        <v>0.0</v>
      </c>
      <c r="C14" s="16"/>
      <c r="D14" s="18" t="s">
        <v>39</v>
      </c>
      <c r="E14" s="18" t="s">
        <v>35</v>
      </c>
      <c r="F14" s="18">
        <v>1.0</v>
      </c>
      <c r="G14" s="18"/>
      <c r="H14" s="18" t="s">
        <v>36</v>
      </c>
      <c r="I14" s="18" t="s">
        <v>33</v>
      </c>
      <c r="J14" s="18" t="s">
        <v>32</v>
      </c>
      <c r="K14" s="20">
        <v>3746.21</v>
      </c>
      <c r="L14" s="19">
        <f t="array" ref="L14">XLOOKUP(I14, 'Data jarak '!$A$2:$A$11, XLOOKUP(J14, 'Data jarak '!$B$1:$K$1, 'Data jarak '!$B$2:$K$11))</f>
        <v>525.4495</v>
      </c>
      <c r="M14" s="24">
        <f t="shared" si="1"/>
        <v>22144996.93</v>
      </c>
      <c r="N14" s="20"/>
      <c r="O14" s="18" t="s">
        <v>39</v>
      </c>
      <c r="P14" s="18" t="s">
        <v>35</v>
      </c>
      <c r="Q14" s="18">
        <v>1.0</v>
      </c>
      <c r="R14" s="20">
        <f>vlookup(O14, Sheet4!$G$1:$I$11,2,0)</f>
        <v>75267.84</v>
      </c>
      <c r="S14" s="20">
        <f>vlookup(O14, Sheet4!$G$1:$I$11,3,0)</f>
        <v>44041.76</v>
      </c>
      <c r="T14" s="19">
        <f t="array" ref="T14">XLOOKUP(O14, 'Data jarak '!$A$2:$A$11, XLOOKUP(P14, 'Data jarak '!$B$1:$K$1, 'Data jarak '!$B$2:$K$11))</f>
        <v>186.18</v>
      </c>
      <c r="U14" s="19">
        <f t="shared" si="2"/>
        <v>333195919.9</v>
      </c>
      <c r="V14" s="16"/>
      <c r="W14" s="16"/>
      <c r="X14" s="16"/>
      <c r="Y14" s="16"/>
      <c r="Z14" s="16"/>
      <c r="AA14" s="16"/>
      <c r="AB14" s="16"/>
      <c r="AC14" s="16"/>
    </row>
    <row r="15">
      <c r="A15" s="18" t="s">
        <v>35</v>
      </c>
      <c r="B15" s="18">
        <v>1.0</v>
      </c>
      <c r="C15" s="16"/>
      <c r="D15" s="18" t="s">
        <v>35</v>
      </c>
      <c r="E15" s="18" t="s">
        <v>35</v>
      </c>
      <c r="F15" s="18">
        <v>1.0</v>
      </c>
      <c r="G15" s="18"/>
      <c r="H15" s="18" t="s">
        <v>36</v>
      </c>
      <c r="I15" s="18" t="s">
        <v>33</v>
      </c>
      <c r="J15" s="18" t="s">
        <v>35</v>
      </c>
      <c r="K15" s="20">
        <v>16362.59</v>
      </c>
      <c r="L15" s="19">
        <f t="array" ref="L15">XLOOKUP(I15, 'Data jarak '!$A$2:$A$11, XLOOKUP(J15, 'Data jarak '!$B$1:$K$1, 'Data jarak '!$B$2:$K$11))</f>
        <v>475.5078</v>
      </c>
      <c r="M15" s="24">
        <f t="shared" si="1"/>
        <v>87531065.7</v>
      </c>
      <c r="N15" s="20"/>
      <c r="O15" s="18" t="s">
        <v>35</v>
      </c>
      <c r="P15" s="18" t="s">
        <v>35</v>
      </c>
      <c r="Q15" s="18">
        <v>1.0</v>
      </c>
      <c r="R15" s="20">
        <f>vlookup(O15, Sheet4!$G$1:$I$11,2,0)</f>
        <v>420950.02</v>
      </c>
      <c r="S15" s="20">
        <f>vlookup(O15, Sheet4!$G$1:$I$11,3,0)</f>
        <v>176319.88</v>
      </c>
      <c r="T15" s="19">
        <f t="array" ref="T15">XLOOKUP(O15, 'Data jarak '!$A$2:$A$11, XLOOKUP(P15, 'Data jarak '!$B$1:$K$1, 'Data jarak '!$B$2:$K$11))</f>
        <v>0</v>
      </c>
      <c r="U15" s="19">
        <f t="shared" si="2"/>
        <v>0</v>
      </c>
      <c r="V15" s="16"/>
      <c r="W15" s="16"/>
      <c r="X15" s="16"/>
      <c r="Y15" s="16"/>
      <c r="Z15" s="16"/>
      <c r="AA15" s="16"/>
      <c r="AB15" s="16"/>
      <c r="AC15" s="16"/>
    </row>
    <row r="16">
      <c r="A16" s="18" t="s">
        <v>40</v>
      </c>
      <c r="B16" s="18">
        <v>0.0</v>
      </c>
      <c r="C16" s="16"/>
      <c r="D16" s="18" t="s">
        <v>40</v>
      </c>
      <c r="E16" s="18" t="s">
        <v>35</v>
      </c>
      <c r="F16" s="18">
        <v>1.0</v>
      </c>
      <c r="G16" s="18"/>
      <c r="H16" s="18" t="s">
        <v>36</v>
      </c>
      <c r="I16" s="18" t="s">
        <v>33</v>
      </c>
      <c r="J16" s="18" t="s">
        <v>37</v>
      </c>
      <c r="K16" s="20">
        <v>2415.04</v>
      </c>
      <c r="L16" s="19">
        <f t="array" ref="L16">XLOOKUP(I16, 'Data jarak '!$A$2:$A$11, XLOOKUP(J16, 'Data jarak '!$B$1:$K$1, 'Data jarak '!$B$2:$K$11))</f>
        <v>1024.79</v>
      </c>
      <c r="M16" s="24">
        <f t="shared" si="1"/>
        <v>27842724.47</v>
      </c>
      <c r="N16" s="20"/>
      <c r="O16" s="18" t="s">
        <v>40</v>
      </c>
      <c r="P16" s="18" t="s">
        <v>35</v>
      </c>
      <c r="Q16" s="18">
        <v>1.0</v>
      </c>
      <c r="R16" s="20">
        <f>vlookup(O16, Sheet4!$G$1:$I$11,2,0)</f>
        <v>13888.29</v>
      </c>
      <c r="S16" s="20">
        <f>vlookup(O16, Sheet4!$G$1:$I$11,3,0)</f>
        <v>44428.77</v>
      </c>
      <c r="T16" s="19">
        <f t="array" ref="T16">XLOOKUP(O16, 'Data jarak '!$A$2:$A$11, XLOOKUP(P16, 'Data jarak '!$B$1:$K$1, 'Data jarak '!$B$2:$K$11))</f>
        <v>403.0102</v>
      </c>
      <c r="U16" s="19">
        <f t="shared" si="2"/>
        <v>352535550.2</v>
      </c>
      <c r="V16" s="16"/>
      <c r="W16" s="16"/>
      <c r="X16" s="16"/>
      <c r="Y16" s="16"/>
      <c r="Z16" s="16"/>
      <c r="AA16" s="16"/>
      <c r="AB16" s="16"/>
      <c r="AC16" s="16"/>
    </row>
    <row r="17">
      <c r="A17" s="18" t="s">
        <v>37</v>
      </c>
      <c r="B17" s="18">
        <v>1.0</v>
      </c>
      <c r="C17" s="16"/>
      <c r="D17" s="18" t="s">
        <v>37</v>
      </c>
      <c r="E17" s="18" t="s">
        <v>37</v>
      </c>
      <c r="F17" s="18">
        <v>1.0</v>
      </c>
      <c r="G17" s="18"/>
      <c r="H17" s="18" t="s">
        <v>32</v>
      </c>
      <c r="I17" s="18" t="s">
        <v>32</v>
      </c>
      <c r="J17" s="18" t="s">
        <v>33</v>
      </c>
      <c r="K17" s="20">
        <v>11585.16</v>
      </c>
      <c r="L17" s="19">
        <f t="array" ref="L17">XLOOKUP(I17, 'Data jarak '!$A$2:$A$11, XLOOKUP(J17, 'Data jarak '!$B$1:$K$1, 'Data jarak '!$B$2:$K$11))</f>
        <v>525.4495</v>
      </c>
      <c r="M17" s="24">
        <f t="shared" si="1"/>
        <v>68483435.96</v>
      </c>
      <c r="N17" s="20"/>
      <c r="O17" s="18" t="s">
        <v>37</v>
      </c>
      <c r="P17" s="18" t="s">
        <v>37</v>
      </c>
      <c r="Q17" s="18">
        <v>1.0</v>
      </c>
      <c r="R17" s="20">
        <f>vlookup(O17, Sheet4!$G$1:$I$11,2,0)</f>
        <v>156335.24</v>
      </c>
      <c r="S17" s="20">
        <f>vlookup(O17, Sheet4!$G$1:$I$11,3,0)</f>
        <v>213533</v>
      </c>
      <c r="T17" s="19">
        <f t="array" ref="T17">XLOOKUP(O17, 'Data jarak '!$A$2:$A$11, XLOOKUP(P17, 'Data jarak '!$B$1:$K$1, 'Data jarak '!$B$2:$K$11))</f>
        <v>0</v>
      </c>
      <c r="U17" s="19">
        <f t="shared" si="2"/>
        <v>0</v>
      </c>
      <c r="V17" s="16"/>
      <c r="W17" s="16"/>
      <c r="X17" s="16"/>
      <c r="Y17" s="16"/>
      <c r="Z17" s="16"/>
      <c r="AA17" s="16"/>
      <c r="AB17" s="16"/>
      <c r="AC17" s="16"/>
    </row>
    <row r="18">
      <c r="A18" s="16"/>
      <c r="B18" s="16"/>
      <c r="C18" s="16"/>
      <c r="D18" s="16"/>
      <c r="E18" s="18"/>
      <c r="F18" s="18"/>
      <c r="G18" s="16"/>
      <c r="H18" s="18" t="s">
        <v>32</v>
      </c>
      <c r="I18" s="18" t="s">
        <v>32</v>
      </c>
      <c r="J18" s="18" t="s">
        <v>35</v>
      </c>
      <c r="K18" s="20">
        <v>21227.17</v>
      </c>
      <c r="L18" s="19">
        <f t="array" ref="L18">XLOOKUP(I18, 'Data jarak '!$A$2:$A$11, XLOOKUP(J18, 'Data jarak '!$B$1:$K$1, 'Data jarak '!$B$2:$K$11))</f>
        <v>918.1315</v>
      </c>
      <c r="M18" s="24">
        <f t="shared" si="1"/>
        <v>219255001.1</v>
      </c>
      <c r="N18" s="19"/>
      <c r="O18" s="19"/>
      <c r="P18" s="19"/>
      <c r="Q18" s="19"/>
      <c r="R18" s="19"/>
      <c r="S18" s="19"/>
      <c r="T18" s="16"/>
      <c r="U18" s="16"/>
      <c r="V18" s="16"/>
      <c r="W18" s="16"/>
      <c r="X18" s="16"/>
      <c r="Y18" s="16"/>
      <c r="Z18" s="16"/>
      <c r="AA18" s="16"/>
      <c r="AB18" s="16"/>
      <c r="AC18" s="16"/>
    </row>
    <row r="19">
      <c r="A19" s="16"/>
      <c r="B19" s="16"/>
      <c r="C19" s="16"/>
      <c r="D19" s="16"/>
      <c r="E19" s="18"/>
      <c r="F19" s="18"/>
      <c r="G19" s="16"/>
      <c r="H19" s="18" t="s">
        <v>32</v>
      </c>
      <c r="I19" s="18" t="s">
        <v>32</v>
      </c>
      <c r="J19" s="18" t="s">
        <v>37</v>
      </c>
      <c r="K19" s="20">
        <v>12387.4</v>
      </c>
      <c r="L19" s="19">
        <f t="array" ref="L19">XLOOKUP(I19, 'Data jarak '!$A$2:$A$11, XLOOKUP(J19, 'Data jarak '!$B$1:$K$1, 'Data jarak '!$B$2:$K$11))</f>
        <v>1535.299</v>
      </c>
      <c r="M19" s="24">
        <f t="shared" si="1"/>
        <v>213956581.9</v>
      </c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</row>
    <row r="20">
      <c r="A20" s="25" t="s">
        <v>41</v>
      </c>
      <c r="B20" s="26"/>
      <c r="C20" s="26"/>
      <c r="D20" s="26"/>
      <c r="E20" s="26"/>
      <c r="F20" s="6"/>
      <c r="H20" s="22" t="s">
        <v>38</v>
      </c>
      <c r="I20" s="22" t="s">
        <v>33</v>
      </c>
      <c r="J20" s="22" t="s">
        <v>32</v>
      </c>
      <c r="K20" s="20">
        <v>6239.84</v>
      </c>
      <c r="L20" s="19">
        <f t="array" ref="L20">XLOOKUP(I20, 'Data jarak '!$A$2:$A$11, XLOOKUP(J20, 'Data jarak '!$B$1:$K$1, 'Data jarak '!$B$2:$K$11))</f>
        <v>525.4495</v>
      </c>
      <c r="M20" s="24">
        <f t="shared" si="1"/>
        <v>36885609.09</v>
      </c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>
      <c r="A21" s="27" t="s">
        <v>42</v>
      </c>
      <c r="B21" s="27" t="s">
        <v>43</v>
      </c>
      <c r="C21" s="27" t="s">
        <v>44</v>
      </c>
      <c r="D21" s="27" t="s">
        <v>45</v>
      </c>
      <c r="E21" s="27" t="s">
        <v>46</v>
      </c>
      <c r="F21" s="27" t="s">
        <v>47</v>
      </c>
      <c r="H21" s="22" t="s">
        <v>38</v>
      </c>
      <c r="I21" s="22" t="s">
        <v>33</v>
      </c>
      <c r="J21" s="22" t="s">
        <v>35</v>
      </c>
      <c r="K21" s="20">
        <v>22533.08</v>
      </c>
      <c r="L21" s="19">
        <f t="array" ref="L21">XLOOKUP(I21, 'Data jarak '!$A$2:$A$11, XLOOKUP(J21, 'Data jarak '!$B$1:$K$1, 'Data jarak '!$B$2:$K$11))</f>
        <v>475.5078</v>
      </c>
      <c r="M21" s="24">
        <f t="shared" si="1"/>
        <v>120539872.1</v>
      </c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</row>
    <row r="22">
      <c r="A22" s="27" t="s">
        <v>31</v>
      </c>
      <c r="B22" s="27" t="s">
        <v>37</v>
      </c>
      <c r="C22" s="27" t="s">
        <v>32</v>
      </c>
      <c r="D22" s="27" t="s">
        <v>48</v>
      </c>
      <c r="E22" s="27" t="s">
        <v>37</v>
      </c>
      <c r="F22" s="27" t="s">
        <v>49</v>
      </c>
      <c r="H22" s="22" t="s">
        <v>38</v>
      </c>
      <c r="I22" s="22" t="s">
        <v>33</v>
      </c>
      <c r="J22" s="22" t="s">
        <v>37</v>
      </c>
      <c r="K22" s="20">
        <v>5911.52</v>
      </c>
      <c r="L22" s="19">
        <f t="array" ref="L22">XLOOKUP(I22, 'Data jarak '!$A$2:$A$11, XLOOKUP(J22, 'Data jarak '!$B$1:$K$1, 'Data jarak '!$B$2:$K$11))</f>
        <v>1024.79</v>
      </c>
      <c r="M22" s="24">
        <f t="shared" si="1"/>
        <v>68153249.03</v>
      </c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>
      <c r="A23" s="27" t="s">
        <v>36</v>
      </c>
      <c r="B23" s="27" t="s">
        <v>35</v>
      </c>
      <c r="C23" s="27" t="s">
        <v>33</v>
      </c>
      <c r="D23" s="27" t="s">
        <v>48</v>
      </c>
      <c r="E23" s="27" t="s">
        <v>35</v>
      </c>
      <c r="F23" s="27" t="s">
        <v>49</v>
      </c>
      <c r="H23" s="22" t="s">
        <v>33</v>
      </c>
      <c r="I23" s="22" t="s">
        <v>33</v>
      </c>
      <c r="J23" s="22" t="s">
        <v>32</v>
      </c>
      <c r="K23" s="20">
        <v>14860.53</v>
      </c>
      <c r="L23" s="19">
        <f t="array" ref="L23">XLOOKUP(I23, 'Data jarak '!$A$2:$A$11, XLOOKUP(J23, 'Data jarak '!$B$1:$K$1, 'Data jarak '!$B$2:$K$11))</f>
        <v>525.4495</v>
      </c>
      <c r="M23" s="24">
        <f t="shared" si="1"/>
        <v>87845153.16</v>
      </c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>
      <c r="A24" s="27" t="s">
        <v>38</v>
      </c>
      <c r="B24" s="27" t="s">
        <v>33</v>
      </c>
      <c r="C24" s="27" t="s">
        <v>33</v>
      </c>
      <c r="D24" s="27" t="s">
        <v>48</v>
      </c>
      <c r="E24" s="27" t="s">
        <v>33</v>
      </c>
      <c r="F24" s="27" t="s">
        <v>49</v>
      </c>
      <c r="H24" s="22" t="s">
        <v>33</v>
      </c>
      <c r="I24" s="22" t="s">
        <v>33</v>
      </c>
      <c r="J24" s="22" t="s">
        <v>35</v>
      </c>
      <c r="K24" s="20">
        <v>38057.03</v>
      </c>
      <c r="L24" s="19">
        <f t="array" ref="L24">XLOOKUP(I24, 'Data jarak '!$A$2:$A$11, XLOOKUP(J24, 'Data jarak '!$B$1:$K$1, 'Data jarak '!$B$2:$K$11))</f>
        <v>475.5078</v>
      </c>
      <c r="M24" s="24">
        <f t="shared" si="1"/>
        <v>203584664.4</v>
      </c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</row>
    <row r="25">
      <c r="A25" s="27" t="s">
        <v>39</v>
      </c>
      <c r="B25" s="27" t="s">
        <v>32</v>
      </c>
      <c r="C25" s="27" t="s">
        <v>35</v>
      </c>
      <c r="D25" s="27" t="s">
        <v>48</v>
      </c>
      <c r="E25" s="27" t="s">
        <v>32</v>
      </c>
      <c r="F25" s="27" t="s">
        <v>49</v>
      </c>
      <c r="H25" s="22" t="s">
        <v>33</v>
      </c>
      <c r="I25" s="22" t="s">
        <v>33</v>
      </c>
      <c r="J25" s="22" t="s">
        <v>37</v>
      </c>
      <c r="K25" s="20">
        <v>6665.76</v>
      </c>
      <c r="L25" s="19">
        <f t="array" ref="L25">XLOOKUP(I25, 'Data jarak '!$A$2:$A$11, XLOOKUP(J25, 'Data jarak '!$B$1:$K$1, 'Data jarak '!$B$2:$K$11))</f>
        <v>1024.79</v>
      </c>
      <c r="M25" s="24">
        <f t="shared" si="1"/>
        <v>76848797.14</v>
      </c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</row>
    <row r="26">
      <c r="A26" s="27" t="s">
        <v>40</v>
      </c>
      <c r="B26" s="27" t="s">
        <v>34</v>
      </c>
      <c r="C26" s="27" t="s">
        <v>35</v>
      </c>
      <c r="D26" s="27" t="s">
        <v>48</v>
      </c>
      <c r="E26" s="27" t="s">
        <v>32</v>
      </c>
      <c r="F26" s="27" t="s">
        <v>49</v>
      </c>
      <c r="H26" s="22" t="s">
        <v>39</v>
      </c>
      <c r="I26" s="22" t="s">
        <v>35</v>
      </c>
      <c r="J26" s="22" t="s">
        <v>32</v>
      </c>
      <c r="K26" s="20">
        <v>12683.13</v>
      </c>
      <c r="L26" s="19">
        <f t="array" ref="L26">XLOOKUP(I26, 'Data jarak '!$A$2:$A$11, XLOOKUP(J26, 'Data jarak '!$B$1:$K$1, 'Data jarak '!$B$2:$K$11))</f>
        <v>918.1315</v>
      </c>
      <c r="M26" s="24">
        <f t="shared" si="1"/>
        <v>131003788.2</v>
      </c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</row>
    <row r="27">
      <c r="H27" s="22" t="s">
        <v>39</v>
      </c>
      <c r="I27" s="22" t="s">
        <v>35</v>
      </c>
      <c r="J27" s="22" t="s">
        <v>33</v>
      </c>
      <c r="K27" s="20">
        <v>35520.88</v>
      </c>
      <c r="L27" s="19">
        <f t="array" ref="L27">XLOOKUP(I27, 'Data jarak '!$A$2:$A$11, XLOOKUP(J27, 'Data jarak '!$B$1:$K$1, 'Data jarak '!$B$2:$K$11))</f>
        <v>475.5078</v>
      </c>
      <c r="M27" s="24">
        <f t="shared" si="1"/>
        <v>190017624.4</v>
      </c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</row>
    <row r="28">
      <c r="H28" s="22" t="s">
        <v>39</v>
      </c>
      <c r="I28" s="22" t="s">
        <v>35</v>
      </c>
      <c r="J28" s="22" t="s">
        <v>37</v>
      </c>
      <c r="K28" s="20">
        <v>8546.4</v>
      </c>
      <c r="L28" s="19">
        <f t="array" ref="L28">XLOOKUP(I28, 'Data jarak '!$A$2:$A$11, XLOOKUP(J28, 'Data jarak '!$B$1:$K$1, 'Data jarak '!$B$2:$K$11))</f>
        <v>658.2451</v>
      </c>
      <c r="M28" s="24">
        <f t="shared" si="1"/>
        <v>63288291.63</v>
      </c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</row>
    <row r="29">
      <c r="H29" s="22" t="s">
        <v>35</v>
      </c>
      <c r="I29" s="22" t="s">
        <v>35</v>
      </c>
      <c r="J29" s="22" t="s">
        <v>32</v>
      </c>
      <c r="K29" s="20">
        <v>109854.74</v>
      </c>
      <c r="L29" s="19">
        <f t="array" ref="L29">XLOOKUP(I29, 'Data jarak '!$A$2:$A$11, XLOOKUP(J29, 'Data jarak '!$B$1:$K$1, 'Data jarak '!$B$2:$K$11))</f>
        <v>918.1315</v>
      </c>
      <c r="M29" s="24">
        <f t="shared" si="1"/>
        <v>1134687344</v>
      </c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</row>
    <row r="30">
      <c r="H30" s="22" t="s">
        <v>35</v>
      </c>
      <c r="I30" s="22" t="s">
        <v>35</v>
      </c>
      <c r="J30" s="22" t="s">
        <v>33</v>
      </c>
      <c r="K30" s="20">
        <v>169368.44</v>
      </c>
      <c r="L30" s="19">
        <f t="array" ref="L30">XLOOKUP(I30, 'Data jarak '!$A$2:$A$11, XLOOKUP(J30, 'Data jarak '!$B$1:$K$1, 'Data jarak '!$B$2:$K$11))</f>
        <v>475.5078</v>
      </c>
      <c r="M30" s="24">
        <f t="shared" si="1"/>
        <v>906030160.8</v>
      </c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</row>
    <row r="31">
      <c r="G31" s="16"/>
      <c r="H31" s="22" t="s">
        <v>35</v>
      </c>
      <c r="I31" s="22" t="s">
        <v>35</v>
      </c>
      <c r="J31" s="22" t="s">
        <v>37</v>
      </c>
      <c r="K31" s="20">
        <v>101245.44</v>
      </c>
      <c r="L31" s="19">
        <f t="array" ref="L31">XLOOKUP(I31, 'Data jarak '!$A$2:$A$11, XLOOKUP(J31, 'Data jarak '!$B$1:$K$1, 'Data jarak '!$B$2:$K$11))</f>
        <v>658.2451</v>
      </c>
      <c r="M31" s="24">
        <f t="shared" si="1"/>
        <v>749748541.2</v>
      </c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</row>
    <row r="32">
      <c r="A32" s="20"/>
      <c r="B32" s="20"/>
      <c r="C32" s="20"/>
      <c r="D32" s="19"/>
      <c r="E32" s="19"/>
      <c r="F32" s="19"/>
      <c r="G32" s="16"/>
      <c r="H32" s="18" t="s">
        <v>40</v>
      </c>
      <c r="I32" s="18" t="s">
        <v>35</v>
      </c>
      <c r="J32" s="18" t="s">
        <v>32</v>
      </c>
      <c r="K32" s="20">
        <v>3351.92</v>
      </c>
      <c r="L32" s="19">
        <f t="array" ref="L32">XLOOKUP(I32, 'Data jarak '!$A$2:$A$11, XLOOKUP(J32, 'Data jarak '!$B$1:$K$1, 'Data jarak '!$B$2:$K$11))</f>
        <v>918.1315</v>
      </c>
      <c r="M32" s="24">
        <f t="shared" si="1"/>
        <v>34621912.55</v>
      </c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</row>
    <row r="33">
      <c r="A33" s="20"/>
      <c r="B33" s="20"/>
      <c r="C33" s="28"/>
      <c r="D33" s="19"/>
      <c r="E33" s="19"/>
      <c r="F33" s="19"/>
      <c r="G33" s="16"/>
      <c r="H33" s="18" t="s">
        <v>40</v>
      </c>
      <c r="I33" s="18" t="s">
        <v>35</v>
      </c>
      <c r="J33" s="18" t="s">
        <v>33</v>
      </c>
      <c r="K33" s="20">
        <v>3799.76</v>
      </c>
      <c r="L33" s="19">
        <f t="array" ref="L33">XLOOKUP(I33, 'Data jarak '!$A$2:$A$11, XLOOKUP(J33, 'Data jarak '!$B$1:$K$1, 'Data jarak '!$B$2:$K$11))</f>
        <v>475.5078</v>
      </c>
      <c r="M33" s="24">
        <f t="shared" si="1"/>
        <v>20326674.58</v>
      </c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</row>
    <row r="34">
      <c r="A34" s="20"/>
      <c r="B34" s="20"/>
      <c r="C34" s="28"/>
      <c r="D34" s="19"/>
      <c r="E34" s="19"/>
      <c r="F34" s="19"/>
      <c r="G34" s="16"/>
      <c r="H34" s="18" t="s">
        <v>40</v>
      </c>
      <c r="I34" s="18" t="s">
        <v>35</v>
      </c>
      <c r="J34" s="18" t="s">
        <v>37</v>
      </c>
      <c r="K34" s="20">
        <v>1785.4</v>
      </c>
      <c r="L34" s="19">
        <f t="array" ref="L34">XLOOKUP(I34, 'Data jarak '!$A$2:$A$11, XLOOKUP(J34, 'Data jarak '!$B$1:$K$1, 'Data jarak '!$B$2:$K$11))</f>
        <v>658.2451</v>
      </c>
      <c r="M34" s="24">
        <f t="shared" si="1"/>
        <v>13221346.52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</row>
    <row r="35">
      <c r="A35" s="20"/>
      <c r="B35" s="20"/>
      <c r="C35" s="28"/>
      <c r="D35" s="19"/>
      <c r="E35" s="19"/>
      <c r="F35" s="19"/>
      <c r="G35" s="16"/>
      <c r="H35" s="18" t="s">
        <v>37</v>
      </c>
      <c r="I35" s="18" t="s">
        <v>37</v>
      </c>
      <c r="J35" s="18" t="s">
        <v>32</v>
      </c>
      <c r="K35" s="20">
        <v>67260.9</v>
      </c>
      <c r="L35" s="19">
        <f t="array" ref="L35">XLOOKUP(I35, 'Data jarak '!$A$2:$A$11, XLOOKUP(J35, 'Data jarak '!$B$1:$K$1, 'Data jarak '!$B$2:$K$11))</f>
        <v>1535.299</v>
      </c>
      <c r="M35" s="24">
        <f t="shared" si="1"/>
        <v>1161737916</v>
      </c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</row>
    <row r="36">
      <c r="A36" s="20"/>
      <c r="B36" s="20"/>
      <c r="C36" s="28"/>
      <c r="D36" s="19"/>
      <c r="E36" s="19"/>
      <c r="F36" s="19"/>
      <c r="G36" s="16"/>
      <c r="H36" s="18" t="s">
        <v>37</v>
      </c>
      <c r="I36" s="18" t="s">
        <v>37</v>
      </c>
      <c r="J36" s="18" t="s">
        <v>33</v>
      </c>
      <c r="K36" s="20">
        <v>28143.8</v>
      </c>
      <c r="L36" s="19">
        <f t="array" ref="L36">XLOOKUP(I36, 'Data jarak '!$A$2:$A$11, XLOOKUP(J36, 'Data jarak '!$B$1:$K$1, 'Data jarak '!$B$2:$K$11))</f>
        <v>1024.79</v>
      </c>
      <c r="M36" s="24">
        <f t="shared" si="1"/>
        <v>324466704</v>
      </c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</row>
    <row r="37">
      <c r="A37" s="20"/>
      <c r="B37" s="20"/>
      <c r="C37" s="28"/>
      <c r="D37" s="19"/>
      <c r="E37" s="19"/>
      <c r="F37" s="19"/>
      <c r="G37" s="16"/>
      <c r="H37" s="18" t="s">
        <v>37</v>
      </c>
      <c r="I37" s="18" t="s">
        <v>37</v>
      </c>
      <c r="J37" s="18" t="s">
        <v>35</v>
      </c>
      <c r="K37" s="20">
        <v>60930.54</v>
      </c>
      <c r="L37" s="19">
        <f t="array" ref="L37">XLOOKUP(I37, 'Data jarak '!$A$2:$A$11, XLOOKUP(J37, 'Data jarak '!$B$1:$K$1, 'Data jarak '!$B$2:$K$11))</f>
        <v>658.2451</v>
      </c>
      <c r="M37" s="24">
        <f t="shared" si="1"/>
        <v>451206330.7</v>
      </c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</row>
    <row r="38">
      <c r="A38" s="20"/>
      <c r="B38" s="20"/>
      <c r="C38" s="28"/>
      <c r="D38" s="19"/>
      <c r="E38" s="19"/>
      <c r="F38" s="19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</row>
    <row r="39">
      <c r="A39" s="20"/>
      <c r="B39" s="20"/>
      <c r="C39" s="28"/>
      <c r="D39" s="19"/>
      <c r="E39" s="19"/>
      <c r="F39" s="19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</row>
    <row r="40">
      <c r="A40" s="20"/>
      <c r="B40" s="20"/>
      <c r="C40" s="28"/>
      <c r="D40" s="19"/>
      <c r="E40" s="19"/>
      <c r="F40" s="19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</row>
    <row r="41">
      <c r="A41" s="20"/>
      <c r="B41" s="20"/>
      <c r="C41" s="28"/>
      <c r="D41" s="19"/>
      <c r="E41" s="19"/>
      <c r="F41" s="19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</row>
    <row r="42">
      <c r="A42" s="20"/>
      <c r="B42" s="20"/>
      <c r="C42" s="28"/>
      <c r="D42" s="19"/>
      <c r="E42" s="19"/>
      <c r="F42" s="19"/>
      <c r="G42" s="16"/>
      <c r="H42" s="18" t="s">
        <v>31</v>
      </c>
      <c r="I42" s="18">
        <v>3.0</v>
      </c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</row>
    <row r="100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</row>
    <row r="1002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</row>
  </sheetData>
  <mergeCells count="6">
    <mergeCell ref="D1:D2"/>
    <mergeCell ref="A6:B6"/>
    <mergeCell ref="D6:F6"/>
    <mergeCell ref="H6:M6"/>
    <mergeCell ref="O6:U6"/>
    <mergeCell ref="A20:F2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7.5"/>
    <col customWidth="1" min="3" max="3" width="14.75"/>
    <col customWidth="1" min="4" max="4" width="15.63"/>
    <col customWidth="1" min="7" max="7" width="14.88"/>
    <col customWidth="1" min="12" max="12" width="15.88"/>
  </cols>
  <sheetData>
    <row r="1">
      <c r="A1" s="18"/>
      <c r="B1" s="18"/>
      <c r="C1" s="16"/>
      <c r="D1" s="18" t="s">
        <v>50</v>
      </c>
      <c r="E1" s="18" t="s">
        <v>51</v>
      </c>
      <c r="F1" s="18" t="s">
        <v>52</v>
      </c>
      <c r="G1" s="16"/>
      <c r="H1" s="16"/>
      <c r="I1" s="18" t="s">
        <v>3</v>
      </c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>
      <c r="A2" s="16"/>
      <c r="B2" s="16"/>
      <c r="C2" s="18" t="s">
        <v>11</v>
      </c>
      <c r="D2" s="19">
        <f>sum(H8:H23)</f>
        <v>1557482847</v>
      </c>
      <c r="E2" s="19">
        <f>sum(Q8:Q31)</f>
        <v>8314943468</v>
      </c>
      <c r="F2" s="20">
        <f>sum(X8:X97)</f>
        <v>2441143641</v>
      </c>
      <c r="G2" s="19">
        <f>sum(D2:F2)</f>
        <v>12313569957</v>
      </c>
      <c r="H2" s="19"/>
      <c r="I2" s="29">
        <v>1.2313570417E10</v>
      </c>
      <c r="J2" s="19">
        <f>G2-I2</f>
        <v>-460.1473465</v>
      </c>
      <c r="K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</row>
    <row r="3">
      <c r="A3" s="18" t="s">
        <v>53</v>
      </c>
      <c r="B3" s="18">
        <v>15.0</v>
      </c>
      <c r="D3" s="16"/>
      <c r="E3" s="16"/>
      <c r="F3" s="16"/>
      <c r="G3" s="18" t="s">
        <v>54</v>
      </c>
      <c r="H3" s="18"/>
      <c r="I3" s="18"/>
      <c r="J3" s="18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</row>
    <row r="4">
      <c r="A4" s="18" t="s">
        <v>16</v>
      </c>
      <c r="B4" s="18">
        <v>0.75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</row>
    <row r="5">
      <c r="A5" s="18"/>
      <c r="B5" s="18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</row>
    <row r="6">
      <c r="A6" s="21" t="s">
        <v>17</v>
      </c>
      <c r="C6" s="16"/>
      <c r="D6" s="21" t="s">
        <v>55</v>
      </c>
      <c r="G6" s="16"/>
      <c r="H6" s="16"/>
      <c r="I6" s="16"/>
      <c r="J6" s="16"/>
      <c r="K6" s="21" t="s">
        <v>56</v>
      </c>
      <c r="O6" s="21"/>
      <c r="P6" s="21"/>
      <c r="Q6" s="21"/>
      <c r="R6" s="16"/>
      <c r="S6" s="21" t="s">
        <v>57</v>
      </c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7">
      <c r="A7" s="30" t="s">
        <v>21</v>
      </c>
      <c r="B7" s="30" t="s">
        <v>22</v>
      </c>
      <c r="C7" s="18"/>
      <c r="D7" s="30" t="s">
        <v>23</v>
      </c>
      <c r="E7" s="30" t="s">
        <v>17</v>
      </c>
      <c r="F7" s="30" t="s">
        <v>24</v>
      </c>
      <c r="G7" s="18" t="s">
        <v>58</v>
      </c>
      <c r="H7" s="18" t="s">
        <v>29</v>
      </c>
      <c r="I7" s="18"/>
      <c r="J7" s="18"/>
      <c r="K7" s="30" t="s">
        <v>23</v>
      </c>
      <c r="L7" s="30" t="s">
        <v>25</v>
      </c>
      <c r="M7" s="30" t="s">
        <v>26</v>
      </c>
      <c r="N7" s="30" t="s">
        <v>27</v>
      </c>
      <c r="O7" s="31"/>
      <c r="P7" s="31" t="s">
        <v>58</v>
      </c>
      <c r="Q7" s="31" t="s">
        <v>29</v>
      </c>
      <c r="R7" s="31"/>
      <c r="S7" s="30" t="s">
        <v>23</v>
      </c>
      <c r="T7" s="30" t="s">
        <v>59</v>
      </c>
      <c r="U7" s="30" t="s">
        <v>17</v>
      </c>
      <c r="V7" s="30" t="s">
        <v>27</v>
      </c>
      <c r="W7" s="18" t="s">
        <v>58</v>
      </c>
      <c r="X7" s="18" t="s">
        <v>29</v>
      </c>
      <c r="Y7" s="16"/>
      <c r="Z7" s="25" t="s">
        <v>41</v>
      </c>
      <c r="AA7" s="26"/>
      <c r="AB7" s="26"/>
      <c r="AC7" s="26"/>
      <c r="AD7" s="26"/>
      <c r="AE7" s="6"/>
      <c r="AF7" s="16"/>
      <c r="AG7" s="16"/>
      <c r="AH7" s="16"/>
    </row>
    <row r="8">
      <c r="A8" s="32" t="s">
        <v>31</v>
      </c>
      <c r="B8" s="33">
        <v>1.0</v>
      </c>
      <c r="C8" s="18"/>
      <c r="D8" s="32" t="s">
        <v>31</v>
      </c>
      <c r="E8" s="32" t="s">
        <v>31</v>
      </c>
      <c r="F8" s="33">
        <v>125092.16</v>
      </c>
      <c r="G8" s="34">
        <f t="array" ref="G8">XLOOKUP(D8, 'Data jarak '!$A$2:$A$11, XLOOKUP(E8, 'Data jarak '!$B$1:$K$1, 'Data jarak '!$B$2:$K$11))</f>
        <v>0</v>
      </c>
      <c r="H8" s="18">
        <f t="shared" ref="H8:H23" si="1">$B$3*F8*G8</f>
        <v>0</v>
      </c>
      <c r="I8" s="18"/>
      <c r="J8" s="18"/>
      <c r="K8" s="32" t="s">
        <v>31</v>
      </c>
      <c r="L8" s="32" t="s">
        <v>31</v>
      </c>
      <c r="M8" s="32" t="s">
        <v>33</v>
      </c>
      <c r="N8" s="33">
        <v>10334.68</v>
      </c>
      <c r="O8" s="33"/>
      <c r="P8" s="34">
        <f t="array" ref="P8">XLOOKUP(L8, 'Data jarak '!$A$2:$A$11, XLOOKUP(M8, 'Data jarak '!$B$1:$K$1, 'Data jarak '!$B$2:$K$11))</f>
        <v>1362.65</v>
      </c>
      <c r="Q8" s="33">
        <f t="shared" ref="Q8:Q31" si="2">$B$3*$B$4*N8*P8</f>
        <v>158428706.6</v>
      </c>
      <c r="R8" s="33"/>
      <c r="S8" s="32" t="s">
        <v>31</v>
      </c>
      <c r="T8" s="32" t="s">
        <v>34</v>
      </c>
      <c r="U8" s="32" t="s">
        <v>31</v>
      </c>
      <c r="V8" s="33">
        <v>1460.8</v>
      </c>
      <c r="W8" s="34">
        <f t="array" ref="W8">XLOOKUP(T8, 'Data jarak '!$A$2:$A$11, XLOOKUP(U8, 'Data jarak '!$B$1:$K$1, 'Data jarak '!$B$2:$K$11))</f>
        <v>404.8972</v>
      </c>
      <c r="X8" s="16">
        <f t="shared" ref="X8:X97" si="3">$B$3*V8*W8</f>
        <v>8872107.446</v>
      </c>
      <c r="Y8" s="16"/>
      <c r="Z8" s="27" t="s">
        <v>42</v>
      </c>
      <c r="AA8" s="27" t="s">
        <v>43</v>
      </c>
      <c r="AB8" s="27" t="s">
        <v>44</v>
      </c>
      <c r="AC8" s="27" t="s">
        <v>45</v>
      </c>
      <c r="AD8" s="27" t="s">
        <v>46</v>
      </c>
      <c r="AE8" s="27" t="s">
        <v>47</v>
      </c>
      <c r="AF8" s="16"/>
      <c r="AG8" s="16"/>
      <c r="AH8" s="16"/>
    </row>
    <row r="9">
      <c r="A9" s="32" t="s">
        <v>34</v>
      </c>
      <c r="B9" s="33">
        <v>0.0</v>
      </c>
      <c r="C9" s="18"/>
      <c r="D9" s="32" t="s">
        <v>34</v>
      </c>
      <c r="E9" s="32" t="s">
        <v>31</v>
      </c>
      <c r="F9" s="33">
        <v>5761.96</v>
      </c>
      <c r="G9" s="34">
        <f t="array" ref="G9">XLOOKUP(D9, 'Data jarak '!$A$2:$A$11, XLOOKUP(E9, 'Data jarak '!$B$1:$K$1, 'Data jarak '!$B$2:$K$11))</f>
        <v>404.8972</v>
      </c>
      <c r="H9" s="18">
        <f t="shared" si="1"/>
        <v>34995022.06</v>
      </c>
      <c r="I9" s="18"/>
      <c r="J9" s="18"/>
      <c r="K9" s="32" t="s">
        <v>31</v>
      </c>
      <c r="L9" s="32" t="s">
        <v>31</v>
      </c>
      <c r="M9" s="32" t="s">
        <v>35</v>
      </c>
      <c r="N9" s="33">
        <v>26992.84</v>
      </c>
      <c r="O9" s="33"/>
      <c r="P9" s="34">
        <f t="array" ref="P9">XLOOKUP(L9, 'Data jarak '!$A$2:$A$11, XLOOKUP(M9, 'Data jarak '!$B$1:$K$1, 'Data jarak '!$B$2:$K$11))</f>
        <v>1810.495</v>
      </c>
      <c r="Q9" s="33">
        <f t="shared" si="2"/>
        <v>549792020.9</v>
      </c>
      <c r="R9" s="33"/>
      <c r="S9" s="32" t="s">
        <v>31</v>
      </c>
      <c r="T9" s="32" t="s">
        <v>36</v>
      </c>
      <c r="U9" s="32" t="s">
        <v>31</v>
      </c>
      <c r="V9" s="33">
        <v>1864.4</v>
      </c>
      <c r="W9" s="34">
        <f t="array" ref="W9">XLOOKUP(T9, 'Data jarak '!$A$2:$A$11, XLOOKUP(U9, 'Data jarak '!$B$1:$K$1, 'Data jarak '!$B$2:$K$11))</f>
        <v>1061.869</v>
      </c>
      <c r="X9" s="16">
        <f t="shared" si="3"/>
        <v>29696228.45</v>
      </c>
      <c r="Y9" s="16"/>
      <c r="Z9" s="27" t="s">
        <v>31</v>
      </c>
      <c r="AA9" s="27" t="s">
        <v>37</v>
      </c>
      <c r="AB9" s="27" t="s">
        <v>32</v>
      </c>
      <c r="AC9" s="27" t="s">
        <v>48</v>
      </c>
      <c r="AD9" s="27" t="s">
        <v>37</v>
      </c>
      <c r="AE9" s="27" t="s">
        <v>49</v>
      </c>
      <c r="AF9" s="16"/>
      <c r="AG9" s="16"/>
      <c r="AH9" s="16"/>
    </row>
    <row r="10">
      <c r="A10" s="32" t="s">
        <v>36</v>
      </c>
      <c r="B10" s="33">
        <v>0.0</v>
      </c>
      <c r="C10" s="18"/>
      <c r="D10" s="32" t="s">
        <v>34</v>
      </c>
      <c r="E10" s="32" t="s">
        <v>33</v>
      </c>
      <c r="F10" s="33">
        <v>25230.78</v>
      </c>
      <c r="G10" s="34">
        <f t="array" ref="G10">XLOOKUP(D10, 'Data jarak '!$A$2:$A$11, XLOOKUP(E10, 'Data jarak '!$B$1:$K$1, 'Data jarak '!$B$2:$K$11))</f>
        <v>966.6815</v>
      </c>
      <c r="H10" s="18">
        <f t="shared" si="1"/>
        <v>365851923.8</v>
      </c>
      <c r="I10" s="18"/>
      <c r="J10" s="18"/>
      <c r="K10" s="32" t="s">
        <v>31</v>
      </c>
      <c r="L10" s="32" t="s">
        <v>31</v>
      </c>
      <c r="M10" s="32" t="s">
        <v>37</v>
      </c>
      <c r="N10" s="33">
        <v>70439.32</v>
      </c>
      <c r="O10" s="33"/>
      <c r="P10" s="34">
        <f t="array" ref="P10">XLOOKUP(L10, 'Data jarak '!$A$2:$A$11, XLOOKUP(M10, 'Data jarak '!$B$1:$K$1, 'Data jarak '!$B$2:$K$11))</f>
        <v>2382.411</v>
      </c>
      <c r="Q10" s="33">
        <f t="shared" si="2"/>
        <v>1887923372</v>
      </c>
      <c r="R10" s="33"/>
      <c r="S10" s="32" t="s">
        <v>31</v>
      </c>
      <c r="T10" s="32" t="s">
        <v>32</v>
      </c>
      <c r="U10" s="32" t="s">
        <v>31</v>
      </c>
      <c r="V10" s="33">
        <v>11535.68</v>
      </c>
      <c r="W10" s="34">
        <f t="array" ref="W10">XLOOKUP(T10, 'Data jarak '!$A$2:$A$11, XLOOKUP(U10, 'Data jarak '!$B$1:$K$1, 'Data jarak '!$B$2:$K$11))</f>
        <v>909.2041</v>
      </c>
      <c r="X10" s="16">
        <f t="shared" si="3"/>
        <v>157324313.3</v>
      </c>
      <c r="Y10" s="16"/>
      <c r="Z10" s="27" t="s">
        <v>36</v>
      </c>
      <c r="AA10" s="27" t="s">
        <v>35</v>
      </c>
      <c r="AB10" s="27" t="s">
        <v>35</v>
      </c>
      <c r="AC10" s="27" t="s">
        <v>60</v>
      </c>
      <c r="AD10" s="27" t="s">
        <v>35</v>
      </c>
      <c r="AE10" s="27" t="s">
        <v>49</v>
      </c>
      <c r="AF10" s="16"/>
      <c r="AG10" s="16"/>
      <c r="AH10" s="16"/>
    </row>
    <row r="11">
      <c r="A11" s="32" t="s">
        <v>32</v>
      </c>
      <c r="B11" s="33">
        <v>0.0</v>
      </c>
      <c r="C11" s="18"/>
      <c r="D11" s="32" t="s">
        <v>36</v>
      </c>
      <c r="E11" s="32" t="s">
        <v>31</v>
      </c>
      <c r="F11" s="33">
        <v>881.92</v>
      </c>
      <c r="G11" s="34">
        <f t="array" ref="G11">XLOOKUP(D11, 'Data jarak '!$A$2:$A$11, XLOOKUP(E11, 'Data jarak '!$B$1:$K$1, 'Data jarak '!$B$2:$K$11))</f>
        <v>1061.869</v>
      </c>
      <c r="H11" s="18">
        <f t="shared" si="1"/>
        <v>14047252.63</v>
      </c>
      <c r="I11" s="18"/>
      <c r="J11" s="18"/>
      <c r="K11" s="32" t="s">
        <v>34</v>
      </c>
      <c r="L11" s="32" t="s">
        <v>33</v>
      </c>
      <c r="M11" s="32" t="s">
        <v>35</v>
      </c>
      <c r="N11" s="33">
        <v>9718.65</v>
      </c>
      <c r="O11" s="33"/>
      <c r="P11" s="34">
        <f t="array" ref="P11">XLOOKUP(L11, 'Data jarak '!$A$2:$A$11, XLOOKUP(M11, 'Data jarak '!$B$1:$K$1, 'Data jarak '!$B$2:$K$11))</f>
        <v>475.5078</v>
      </c>
      <c r="Q11" s="33">
        <f t="shared" si="2"/>
        <v>51989556.16</v>
      </c>
      <c r="R11" s="33"/>
      <c r="S11" s="32" t="s">
        <v>31</v>
      </c>
      <c r="T11" s="32" t="s">
        <v>38</v>
      </c>
      <c r="U11" s="32" t="s">
        <v>31</v>
      </c>
      <c r="V11" s="33">
        <v>2464.44</v>
      </c>
      <c r="W11" s="34">
        <f t="array" ref="W11">XLOOKUP(T11, 'Data jarak '!$A$2:$A$11, XLOOKUP(U11, 'Data jarak '!$B$1:$K$1, 'Data jarak '!$B$2:$K$11))</f>
        <v>1187.826</v>
      </c>
      <c r="X11" s="16">
        <f t="shared" si="3"/>
        <v>43909888.61</v>
      </c>
      <c r="Y11" s="16"/>
      <c r="Z11" s="27" t="s">
        <v>38</v>
      </c>
      <c r="AA11" s="27" t="s">
        <v>33</v>
      </c>
      <c r="AB11" s="27" t="s">
        <v>33</v>
      </c>
      <c r="AC11" s="27" t="s">
        <v>60</v>
      </c>
      <c r="AD11" s="27" t="s">
        <v>33</v>
      </c>
      <c r="AE11" s="27" t="s">
        <v>49</v>
      </c>
      <c r="AF11" s="16"/>
      <c r="AG11" s="16"/>
      <c r="AH11" s="16"/>
    </row>
    <row r="12">
      <c r="A12" s="32" t="s">
        <v>38</v>
      </c>
      <c r="B12" s="33">
        <v>0.0</v>
      </c>
      <c r="C12" s="18"/>
      <c r="D12" s="32" t="s">
        <v>36</v>
      </c>
      <c r="E12" s="32" t="s">
        <v>33</v>
      </c>
      <c r="F12" s="33">
        <v>26483.44</v>
      </c>
      <c r="G12" s="34">
        <f t="array" ref="G12">XLOOKUP(D12, 'Data jarak '!$A$2:$A$11, XLOOKUP(E12, 'Data jarak '!$B$1:$K$1, 'Data jarak '!$B$2:$K$11))</f>
        <v>397.4792</v>
      </c>
      <c r="H12" s="18">
        <f t="shared" si="1"/>
        <v>157899248.2</v>
      </c>
      <c r="I12" s="18"/>
      <c r="J12" s="18"/>
      <c r="K12" s="32" t="s">
        <v>34</v>
      </c>
      <c r="L12" s="32" t="s">
        <v>33</v>
      </c>
      <c r="M12" s="32" t="s">
        <v>37</v>
      </c>
      <c r="N12" s="33">
        <v>4136.76</v>
      </c>
      <c r="O12" s="33"/>
      <c r="P12" s="34">
        <f t="array" ref="P12">XLOOKUP(L12, 'Data jarak '!$A$2:$A$11, XLOOKUP(M12, 'Data jarak '!$B$1:$K$1, 'Data jarak '!$B$2:$K$11))</f>
        <v>1024.79</v>
      </c>
      <c r="Q12" s="33">
        <f t="shared" si="2"/>
        <v>47692240.65</v>
      </c>
      <c r="R12" s="33"/>
      <c r="S12" s="32" t="s">
        <v>31</v>
      </c>
      <c r="T12" s="32" t="s">
        <v>33</v>
      </c>
      <c r="U12" s="32" t="s">
        <v>33</v>
      </c>
      <c r="V12" s="33">
        <v>7952.0</v>
      </c>
      <c r="W12" s="34">
        <f t="array" ref="W12">XLOOKUP(T12, 'Data jarak '!$A$2:$A$11, XLOOKUP(U12, 'Data jarak '!$B$1:$K$1, 'Data jarak '!$B$2:$K$11))</f>
        <v>0</v>
      </c>
      <c r="X12" s="16">
        <f t="shared" si="3"/>
        <v>0</v>
      </c>
      <c r="Y12" s="16"/>
      <c r="Z12" s="27" t="s">
        <v>39</v>
      </c>
      <c r="AA12" s="27" t="s">
        <v>32</v>
      </c>
      <c r="AB12" s="27" t="s">
        <v>32</v>
      </c>
      <c r="AC12" s="27" t="s">
        <v>60</v>
      </c>
      <c r="AD12" s="27" t="s">
        <v>32</v>
      </c>
      <c r="AE12" s="27" t="s">
        <v>49</v>
      </c>
      <c r="AF12" s="16"/>
      <c r="AG12" s="16"/>
      <c r="AH12" s="16"/>
    </row>
    <row r="13">
      <c r="A13" s="32" t="s">
        <v>33</v>
      </c>
      <c r="B13" s="33">
        <v>1.0</v>
      </c>
      <c r="C13" s="18"/>
      <c r="D13" s="32" t="s">
        <v>32</v>
      </c>
      <c r="E13" s="32" t="s">
        <v>31</v>
      </c>
      <c r="F13" s="33">
        <v>5715.23</v>
      </c>
      <c r="G13" s="34">
        <f t="array" ref="G13">XLOOKUP(D13, 'Data jarak '!$A$2:$A$11, XLOOKUP(E13, 'Data jarak '!$B$1:$K$1, 'Data jarak '!$B$2:$K$11))</f>
        <v>909.2041</v>
      </c>
      <c r="H13" s="18">
        <f t="shared" si="1"/>
        <v>77944658.23</v>
      </c>
      <c r="I13" s="18"/>
      <c r="J13" s="18"/>
      <c r="K13" s="32" t="s">
        <v>36</v>
      </c>
      <c r="L13" s="32" t="s">
        <v>33</v>
      </c>
      <c r="M13" s="32" t="s">
        <v>35</v>
      </c>
      <c r="N13" s="33">
        <v>5883.31</v>
      </c>
      <c r="O13" s="33"/>
      <c r="P13" s="34">
        <f t="array" ref="P13">XLOOKUP(L13, 'Data jarak '!$A$2:$A$11, XLOOKUP(M13, 'Data jarak '!$B$1:$K$1, 'Data jarak '!$B$2:$K$11))</f>
        <v>475.5078</v>
      </c>
      <c r="Q13" s="33">
        <f t="shared" si="2"/>
        <v>31472547.69</v>
      </c>
      <c r="R13" s="33"/>
      <c r="S13" s="32" t="s">
        <v>31</v>
      </c>
      <c r="T13" s="32" t="s">
        <v>39</v>
      </c>
      <c r="U13" s="32" t="s">
        <v>33</v>
      </c>
      <c r="V13" s="33">
        <v>2382.68</v>
      </c>
      <c r="W13" s="34">
        <f t="array" ref="W13">XLOOKUP(T13, 'Data jarak '!$A$2:$A$11, XLOOKUP(U13, 'Data jarak '!$B$1:$K$1, 'Data jarak '!$B$2:$K$11))</f>
        <v>356.1662</v>
      </c>
      <c r="X13" s="16">
        <f t="shared" si="3"/>
        <v>12729451.22</v>
      </c>
      <c r="Y13" s="16"/>
      <c r="Z13" s="27" t="s">
        <v>40</v>
      </c>
      <c r="AA13" s="27" t="s">
        <v>34</v>
      </c>
      <c r="AB13" s="27" t="s">
        <v>35</v>
      </c>
      <c r="AC13" s="27" t="s">
        <v>48</v>
      </c>
      <c r="AD13" s="27" t="s">
        <v>32</v>
      </c>
      <c r="AE13" s="27" t="s">
        <v>49</v>
      </c>
      <c r="AF13" s="16"/>
      <c r="AG13" s="16"/>
      <c r="AH13" s="16"/>
    </row>
    <row r="14">
      <c r="A14" s="32" t="s">
        <v>39</v>
      </c>
      <c r="B14" s="33">
        <v>0.0</v>
      </c>
      <c r="C14" s="18"/>
      <c r="D14" s="32" t="s">
        <v>32</v>
      </c>
      <c r="E14" s="32" t="s">
        <v>33</v>
      </c>
      <c r="F14" s="33">
        <v>45199.73</v>
      </c>
      <c r="G14" s="34">
        <f t="array" ref="G14">XLOOKUP(D14, 'Data jarak '!$A$2:$A$11, XLOOKUP(E14, 'Data jarak '!$B$1:$K$1, 'Data jarak '!$B$2:$K$11))</f>
        <v>525.4495</v>
      </c>
      <c r="H14" s="18">
        <f t="shared" si="1"/>
        <v>356252632.9</v>
      </c>
      <c r="I14" s="18"/>
      <c r="J14" s="18"/>
      <c r="K14" s="32" t="s">
        <v>36</v>
      </c>
      <c r="L14" s="32" t="s">
        <v>33</v>
      </c>
      <c r="M14" s="32" t="s">
        <v>37</v>
      </c>
      <c r="N14" s="33">
        <v>2415.04</v>
      </c>
      <c r="O14" s="33"/>
      <c r="P14" s="34">
        <f t="array" ref="P14">XLOOKUP(L14, 'Data jarak '!$A$2:$A$11, XLOOKUP(M14, 'Data jarak '!$B$1:$K$1, 'Data jarak '!$B$2:$K$11))</f>
        <v>1024.79</v>
      </c>
      <c r="Q14" s="33">
        <f t="shared" si="2"/>
        <v>27842724.47</v>
      </c>
      <c r="R14" s="16"/>
      <c r="S14" s="32" t="s">
        <v>31</v>
      </c>
      <c r="T14" s="32" t="s">
        <v>35</v>
      </c>
      <c r="U14" s="32" t="s">
        <v>35</v>
      </c>
      <c r="V14" s="33">
        <v>24726.24</v>
      </c>
      <c r="W14" s="34">
        <f t="array" ref="W14">XLOOKUP(T14, 'Data jarak '!$A$2:$A$11, XLOOKUP(U14, 'Data jarak '!$B$1:$K$1, 'Data jarak '!$B$2:$K$11))</f>
        <v>0</v>
      </c>
      <c r="X14" s="16">
        <f t="shared" si="3"/>
        <v>0</v>
      </c>
      <c r="Y14" s="16"/>
      <c r="Z14" s="16"/>
      <c r="AA14" s="16"/>
      <c r="AB14" s="16"/>
      <c r="AC14" s="16"/>
      <c r="AD14" s="16"/>
      <c r="AE14" s="16"/>
      <c r="AF14" s="16"/>
      <c r="AG14" s="16"/>
      <c r="AH14" s="16"/>
    </row>
    <row r="15">
      <c r="A15" s="32" t="s">
        <v>35</v>
      </c>
      <c r="B15" s="33">
        <v>1.0</v>
      </c>
      <c r="C15" s="18"/>
      <c r="D15" s="32" t="s">
        <v>38</v>
      </c>
      <c r="E15" s="32" t="s">
        <v>31</v>
      </c>
      <c r="F15" s="33">
        <v>1916.56</v>
      </c>
      <c r="G15" s="34">
        <f t="array" ref="G15">XLOOKUP(D15, 'Data jarak '!$A$2:$A$11, XLOOKUP(E15, 'Data jarak '!$B$1:$K$1, 'Data jarak '!$B$2:$K$11))</f>
        <v>1187.826</v>
      </c>
      <c r="H15" s="18">
        <f t="shared" si="1"/>
        <v>34148096.98</v>
      </c>
      <c r="I15" s="18"/>
      <c r="J15" s="18"/>
      <c r="K15" s="32" t="s">
        <v>32</v>
      </c>
      <c r="L15" s="32" t="s">
        <v>33</v>
      </c>
      <c r="M15" s="32" t="s">
        <v>35</v>
      </c>
      <c r="N15" s="33">
        <v>18203.37</v>
      </c>
      <c r="O15" s="33"/>
      <c r="P15" s="34">
        <f t="array" ref="P15">XLOOKUP(L15, 'Data jarak '!$A$2:$A$11, XLOOKUP(M15, 'Data jarak '!$B$1:$K$1, 'Data jarak '!$B$2:$K$11))</f>
        <v>475.5078</v>
      </c>
      <c r="Q15" s="33">
        <f t="shared" si="2"/>
        <v>97378249.74</v>
      </c>
      <c r="R15" s="18"/>
      <c r="S15" s="32" t="s">
        <v>31</v>
      </c>
      <c r="T15" s="32" t="s">
        <v>40</v>
      </c>
      <c r="U15" s="32" t="s">
        <v>35</v>
      </c>
      <c r="V15" s="33">
        <v>2266.6</v>
      </c>
      <c r="W15" s="34">
        <f t="array" ref="W15">XLOOKUP(T15, 'Data jarak '!$A$2:$A$11, XLOOKUP(U15, 'Data jarak '!$B$1:$K$1, 'Data jarak '!$B$2:$K$11))</f>
        <v>403.0102</v>
      </c>
      <c r="X15" s="16">
        <f t="shared" si="3"/>
        <v>13701943.79</v>
      </c>
      <c r="Y15" s="16"/>
      <c r="Z15" s="16"/>
      <c r="AA15" s="16"/>
      <c r="AB15" s="16"/>
      <c r="AC15" s="16"/>
      <c r="AD15" s="16"/>
      <c r="AE15" s="16"/>
      <c r="AF15" s="16"/>
      <c r="AG15" s="16"/>
      <c r="AH15" s="16"/>
    </row>
    <row r="16">
      <c r="A16" s="32" t="s">
        <v>40</v>
      </c>
      <c r="B16" s="33">
        <v>0.0</v>
      </c>
      <c r="C16" s="18"/>
      <c r="D16" s="32" t="s">
        <v>38</v>
      </c>
      <c r="E16" s="32" t="s">
        <v>33</v>
      </c>
      <c r="F16" s="33">
        <v>38989.52</v>
      </c>
      <c r="G16" s="34">
        <f t="array" ref="G16">XLOOKUP(D16, 'Data jarak '!$A$2:$A$11, XLOOKUP(E16, 'Data jarak '!$B$1:$K$1, 'Data jarak '!$B$2:$K$11))</f>
        <v>176.4669</v>
      </c>
      <c r="H16" s="18">
        <f t="shared" si="1"/>
        <v>103205395.9</v>
      </c>
      <c r="I16" s="18"/>
      <c r="J16" s="18"/>
      <c r="K16" s="32" t="s">
        <v>32</v>
      </c>
      <c r="L16" s="32" t="s">
        <v>33</v>
      </c>
      <c r="M16" s="32" t="s">
        <v>37</v>
      </c>
      <c r="N16" s="33">
        <v>12387.4</v>
      </c>
      <c r="O16" s="33"/>
      <c r="P16" s="34">
        <f t="array" ref="P16">XLOOKUP(L16, 'Data jarak '!$A$2:$A$11, XLOOKUP(M16, 'Data jarak '!$B$1:$K$1, 'Data jarak '!$B$2:$K$11))</f>
        <v>1024.79</v>
      </c>
      <c r="Q16" s="33">
        <f t="shared" si="2"/>
        <v>142812941</v>
      </c>
      <c r="R16" s="18"/>
      <c r="S16" s="32" t="s">
        <v>31</v>
      </c>
      <c r="T16" s="32" t="s">
        <v>37</v>
      </c>
      <c r="U16" s="32" t="s">
        <v>37</v>
      </c>
      <c r="V16" s="33">
        <v>70439.32</v>
      </c>
      <c r="W16" s="34">
        <f t="array" ref="W16">XLOOKUP(T16, 'Data jarak '!$A$2:$A$11, XLOOKUP(U16, 'Data jarak '!$B$1:$K$1, 'Data jarak '!$B$2:$K$11))</f>
        <v>0</v>
      </c>
      <c r="X16" s="16">
        <f t="shared" si="3"/>
        <v>0</v>
      </c>
      <c r="Y16" s="16"/>
      <c r="Z16" s="16"/>
      <c r="AA16" s="16"/>
      <c r="AB16" s="16"/>
      <c r="AC16" s="16"/>
      <c r="AD16" s="16"/>
      <c r="AE16" s="16"/>
      <c r="AF16" s="16"/>
      <c r="AG16" s="16"/>
      <c r="AH16" s="16"/>
    </row>
    <row r="17">
      <c r="A17" s="32" t="s">
        <v>37</v>
      </c>
      <c r="B17" s="33">
        <v>1.0</v>
      </c>
      <c r="C17" s="18"/>
      <c r="D17" s="32" t="s">
        <v>33</v>
      </c>
      <c r="E17" s="32" t="s">
        <v>33</v>
      </c>
      <c r="F17" s="33">
        <v>64470.2</v>
      </c>
      <c r="G17" s="34">
        <f t="array" ref="G17">XLOOKUP(D17, 'Data jarak '!$A$2:$A$11, XLOOKUP(E17, 'Data jarak '!$B$1:$K$1, 'Data jarak '!$B$2:$K$11))</f>
        <v>0</v>
      </c>
      <c r="H17" s="18">
        <f t="shared" si="1"/>
        <v>0</v>
      </c>
      <c r="I17" s="18"/>
      <c r="J17" s="18"/>
      <c r="K17" s="32" t="s">
        <v>38</v>
      </c>
      <c r="L17" s="32" t="s">
        <v>33</v>
      </c>
      <c r="M17" s="32" t="s">
        <v>35</v>
      </c>
      <c r="N17" s="33">
        <v>21555.56</v>
      </c>
      <c r="O17" s="33"/>
      <c r="P17" s="34">
        <f t="array" ref="P17">XLOOKUP(L17, 'Data jarak '!$A$2:$A$11, XLOOKUP(M17, 'Data jarak '!$B$1:$K$1, 'Data jarak '!$B$2:$K$11))</f>
        <v>475.5078</v>
      </c>
      <c r="Q17" s="33">
        <f t="shared" si="2"/>
        <v>115310665.3</v>
      </c>
      <c r="R17" s="18"/>
      <c r="S17" s="32" t="s">
        <v>34</v>
      </c>
      <c r="T17" s="32" t="s">
        <v>31</v>
      </c>
      <c r="U17" s="32" t="s">
        <v>31</v>
      </c>
      <c r="V17" s="33">
        <v>1517.87</v>
      </c>
      <c r="W17" s="34">
        <f t="array" ref="W17">XLOOKUP(T17, 'Data jarak '!$A$2:$A$11, XLOOKUP(U17, 'Data jarak '!$B$1:$K$1, 'Data jarak '!$B$2:$K$11))</f>
        <v>0</v>
      </c>
      <c r="X17" s="16">
        <f t="shared" si="3"/>
        <v>0</v>
      </c>
      <c r="Y17" s="16"/>
      <c r="Z17" s="16"/>
      <c r="AA17" s="16"/>
      <c r="AB17" s="16"/>
      <c r="AC17" s="16"/>
      <c r="AD17" s="16"/>
      <c r="AE17" s="16"/>
      <c r="AF17" s="16"/>
      <c r="AG17" s="16"/>
      <c r="AH17" s="16"/>
    </row>
    <row r="18">
      <c r="A18" s="16"/>
      <c r="B18" s="16"/>
      <c r="C18" s="16"/>
      <c r="D18" s="32" t="s">
        <v>39</v>
      </c>
      <c r="E18" s="32" t="s">
        <v>33</v>
      </c>
      <c r="F18" s="33">
        <v>48204.01</v>
      </c>
      <c r="G18" s="34">
        <f t="array" ref="G18">XLOOKUP(D18, 'Data jarak '!$A$2:$A$11, XLOOKUP(E18, 'Data jarak '!$B$1:$K$1, 'Data jarak '!$B$2:$K$11))</f>
        <v>356.1662</v>
      </c>
      <c r="H18" s="18">
        <f t="shared" si="1"/>
        <v>257529586</v>
      </c>
      <c r="I18" s="18"/>
      <c r="J18" s="18"/>
      <c r="K18" s="32" t="s">
        <v>38</v>
      </c>
      <c r="L18" s="32" t="s">
        <v>33</v>
      </c>
      <c r="M18" s="32" t="s">
        <v>37</v>
      </c>
      <c r="N18" s="33">
        <v>5911.52</v>
      </c>
      <c r="O18" s="33"/>
      <c r="P18" s="34">
        <f t="array" ref="P18">XLOOKUP(L18, 'Data jarak '!$A$2:$A$11, XLOOKUP(M18, 'Data jarak '!$B$1:$K$1, 'Data jarak '!$B$2:$K$11))</f>
        <v>1024.79</v>
      </c>
      <c r="Q18" s="33">
        <f t="shared" si="2"/>
        <v>68153249.03</v>
      </c>
      <c r="S18" s="32" t="s">
        <v>34</v>
      </c>
      <c r="T18" s="32" t="s">
        <v>36</v>
      </c>
      <c r="U18" s="32" t="s">
        <v>33</v>
      </c>
      <c r="V18" s="33">
        <v>1940.46</v>
      </c>
      <c r="W18" s="34">
        <f t="array" ref="W18">XLOOKUP(T18, 'Data jarak '!$A$2:$A$11, XLOOKUP(U18, 'Data jarak '!$B$1:$K$1, 'Data jarak '!$B$2:$K$11))</f>
        <v>397.4792</v>
      </c>
      <c r="X18" s="16">
        <f t="shared" si="3"/>
        <v>11569387.33</v>
      </c>
      <c r="Y18" s="16"/>
      <c r="Z18" s="16"/>
      <c r="AA18" s="16"/>
      <c r="AB18" s="16"/>
      <c r="AC18" s="16"/>
      <c r="AD18" s="16"/>
      <c r="AE18" s="16"/>
      <c r="AF18" s="16"/>
      <c r="AG18" s="16"/>
      <c r="AH18" s="16"/>
    </row>
    <row r="19">
      <c r="A19" s="16"/>
      <c r="B19" s="16"/>
      <c r="C19" s="16"/>
      <c r="D19" s="32" t="s">
        <v>39</v>
      </c>
      <c r="E19" s="32" t="s">
        <v>35</v>
      </c>
      <c r="F19" s="33">
        <v>27063.83</v>
      </c>
      <c r="G19" s="34">
        <f t="array" ref="G19">XLOOKUP(D19, 'Data jarak '!$A$2:$A$11, XLOOKUP(E19, 'Data jarak '!$B$1:$K$1, 'Data jarak '!$B$2:$K$11))</f>
        <v>186.18</v>
      </c>
      <c r="H19" s="18">
        <f t="shared" si="1"/>
        <v>75581158.04</v>
      </c>
      <c r="I19" s="18"/>
      <c r="J19" s="18"/>
      <c r="K19" s="32" t="s">
        <v>33</v>
      </c>
      <c r="L19" s="32" t="s">
        <v>33</v>
      </c>
      <c r="M19" s="32" t="s">
        <v>31</v>
      </c>
      <c r="N19" s="33">
        <v>2334.6</v>
      </c>
      <c r="O19" s="33"/>
      <c r="P19" s="34">
        <f t="array" ref="P19">XLOOKUP(L19, 'Data jarak '!$A$2:$A$11, XLOOKUP(M19, 'Data jarak '!$B$1:$K$1, 'Data jarak '!$B$2:$K$11))</f>
        <v>1362.65</v>
      </c>
      <c r="Q19" s="33">
        <f t="shared" si="2"/>
        <v>35788980.26</v>
      </c>
      <c r="R19" s="16"/>
      <c r="S19" s="32" t="s">
        <v>34</v>
      </c>
      <c r="T19" s="32" t="s">
        <v>32</v>
      </c>
      <c r="U19" s="32" t="s">
        <v>31</v>
      </c>
      <c r="V19" s="33">
        <v>4244.09</v>
      </c>
      <c r="W19" s="34">
        <f t="array" ref="W19">XLOOKUP(T19, 'Data jarak '!$A$2:$A$11, XLOOKUP(U19, 'Data jarak '!$B$1:$K$1, 'Data jarak '!$B$2:$K$11))</f>
        <v>909.2041</v>
      </c>
      <c r="X19" s="16">
        <f t="shared" si="3"/>
        <v>57881160.43</v>
      </c>
      <c r="Y19" s="16"/>
      <c r="Z19" s="16"/>
      <c r="AA19" s="16"/>
      <c r="AB19" s="16"/>
      <c r="AC19" s="16"/>
      <c r="AD19" s="16"/>
      <c r="AE19" s="16"/>
      <c r="AF19" s="16"/>
      <c r="AG19" s="16"/>
      <c r="AH19" s="16"/>
    </row>
    <row r="20">
      <c r="A20" s="35"/>
      <c r="B20" s="35"/>
      <c r="C20" s="35"/>
      <c r="D20" s="36" t="s">
        <v>35</v>
      </c>
      <c r="E20" s="36" t="s">
        <v>35</v>
      </c>
      <c r="F20" s="37">
        <v>420950.08</v>
      </c>
      <c r="G20" s="34">
        <f t="array" ref="G20">XLOOKUP(D20, 'Data jarak '!$A$2:$A$11, XLOOKUP(E20, 'Data jarak '!$B$1:$K$1, 'Data jarak '!$B$2:$K$11))</f>
        <v>0</v>
      </c>
      <c r="H20" s="18">
        <f t="shared" si="1"/>
        <v>0</v>
      </c>
      <c r="K20" s="32" t="s">
        <v>33</v>
      </c>
      <c r="L20" s="32" t="s">
        <v>33</v>
      </c>
      <c r="M20" s="32" t="s">
        <v>35</v>
      </c>
      <c r="N20" s="33">
        <v>35521.71</v>
      </c>
      <c r="O20" s="33"/>
      <c r="P20" s="34">
        <f t="array" ref="P20">XLOOKUP(L20, 'Data jarak '!$A$2:$A$11, XLOOKUP(M20, 'Data jarak '!$B$1:$K$1, 'Data jarak '!$B$2:$K$11))</f>
        <v>475.5078</v>
      </c>
      <c r="Q20" s="33">
        <f t="shared" si="2"/>
        <v>190022064.5</v>
      </c>
      <c r="R20" s="18"/>
      <c r="S20" s="32" t="s">
        <v>34</v>
      </c>
      <c r="T20" s="32" t="s">
        <v>38</v>
      </c>
      <c r="U20" s="32" t="s">
        <v>33</v>
      </c>
      <c r="V20" s="33">
        <v>547.44</v>
      </c>
      <c r="W20" s="34">
        <f t="array" ref="W20">XLOOKUP(T20, 'Data jarak '!$A$2:$A$11, XLOOKUP(U20, 'Data jarak '!$B$1:$K$1, 'Data jarak '!$B$2:$K$11))</f>
        <v>176.4669</v>
      </c>
      <c r="X20" s="16">
        <f t="shared" si="3"/>
        <v>1449075.596</v>
      </c>
      <c r="Y20" s="16"/>
      <c r="Z20" s="16"/>
      <c r="AA20" s="16"/>
      <c r="AB20" s="16"/>
      <c r="AC20" s="16"/>
      <c r="AD20" s="16"/>
      <c r="AE20" s="16"/>
      <c r="AF20" s="16"/>
      <c r="AG20" s="16"/>
      <c r="AH20" s="16"/>
    </row>
    <row r="21">
      <c r="A21" s="36"/>
      <c r="B21" s="36"/>
      <c r="C21" s="37"/>
      <c r="D21" s="36" t="s">
        <v>40</v>
      </c>
      <c r="E21" s="32" t="s">
        <v>35</v>
      </c>
      <c r="F21" s="37">
        <v>12102.89</v>
      </c>
      <c r="G21" s="34">
        <f t="array" ref="G21">XLOOKUP(D21, 'Data jarak '!$A$2:$A$11, XLOOKUP(E21, 'Data jarak '!$B$1:$K$1, 'Data jarak '!$B$2:$K$11))</f>
        <v>403.0102</v>
      </c>
      <c r="H21" s="18">
        <f t="shared" si="1"/>
        <v>73163821.79</v>
      </c>
      <c r="K21" s="32" t="s">
        <v>33</v>
      </c>
      <c r="L21" s="32" t="s">
        <v>33</v>
      </c>
      <c r="M21" s="32" t="s">
        <v>37</v>
      </c>
      <c r="N21" s="33">
        <v>6665.76</v>
      </c>
      <c r="O21" s="33"/>
      <c r="P21" s="34">
        <f t="array" ref="P21">XLOOKUP(L21, 'Data jarak '!$A$2:$A$11, XLOOKUP(M21, 'Data jarak '!$B$1:$K$1, 'Data jarak '!$B$2:$K$11))</f>
        <v>1024.79</v>
      </c>
      <c r="Q21" s="33">
        <f t="shared" si="2"/>
        <v>76848797.14</v>
      </c>
      <c r="R21" s="31"/>
      <c r="S21" s="32" t="s">
        <v>34</v>
      </c>
      <c r="T21" s="32" t="s">
        <v>33</v>
      </c>
      <c r="U21" s="32" t="s">
        <v>33</v>
      </c>
      <c r="V21" s="33">
        <v>6251.74</v>
      </c>
      <c r="W21" s="34">
        <f t="array" ref="W21">XLOOKUP(T21, 'Data jarak '!$A$2:$A$11, XLOOKUP(U21, 'Data jarak '!$B$1:$K$1, 'Data jarak '!$B$2:$K$11))</f>
        <v>0</v>
      </c>
      <c r="X21" s="16">
        <f t="shared" si="3"/>
        <v>0</v>
      </c>
      <c r="Y21" s="16"/>
      <c r="Z21" s="16"/>
      <c r="AA21" s="16"/>
      <c r="AB21" s="16"/>
      <c r="AC21" s="16"/>
      <c r="AD21" s="16"/>
      <c r="AE21" s="16"/>
      <c r="AF21" s="16"/>
      <c r="AG21" s="16"/>
      <c r="AH21" s="16"/>
    </row>
    <row r="22">
      <c r="A22" s="36"/>
      <c r="B22" s="36"/>
      <c r="C22" s="37"/>
      <c r="D22" s="36" t="s">
        <v>40</v>
      </c>
      <c r="E22" s="32" t="s">
        <v>37</v>
      </c>
      <c r="F22" s="37">
        <v>1785.4</v>
      </c>
      <c r="G22" s="34">
        <f t="array" ref="G22">XLOOKUP(D22, 'Data jarak '!$A$2:$A$11, XLOOKUP(E22, 'Data jarak '!$B$1:$K$1, 'Data jarak '!$B$2:$K$11))</f>
        <v>256.303</v>
      </c>
      <c r="H22" s="18">
        <f t="shared" si="1"/>
        <v>6864050.643</v>
      </c>
      <c r="K22" s="38" t="s">
        <v>39</v>
      </c>
      <c r="L22" s="32" t="s">
        <v>33</v>
      </c>
      <c r="M22" s="32" t="s">
        <v>31</v>
      </c>
      <c r="N22" s="32">
        <v>2873.96</v>
      </c>
      <c r="O22" s="32"/>
      <c r="P22" s="34">
        <f t="array" ref="P22">XLOOKUP(L22, 'Data jarak '!$A$2:$A$11, XLOOKUP(M22, 'Data jarak '!$B$1:$K$1, 'Data jarak '!$B$2:$K$11))</f>
        <v>1362.65</v>
      </c>
      <c r="Q22" s="33">
        <f t="shared" si="2"/>
        <v>44057267.93</v>
      </c>
      <c r="R22" s="33"/>
      <c r="S22" s="36" t="s">
        <v>34</v>
      </c>
      <c r="T22" s="32" t="s">
        <v>39</v>
      </c>
      <c r="U22" s="32" t="s">
        <v>33</v>
      </c>
      <c r="V22" s="33">
        <v>2635.73</v>
      </c>
      <c r="W22" s="34">
        <f t="array" ref="W22">XLOOKUP(T22, 'Data jarak '!$A$2:$A$11, XLOOKUP(U22, 'Data jarak '!$B$1:$K$1, 'Data jarak '!$B$2:$K$11))</f>
        <v>356.1662</v>
      </c>
      <c r="X22" s="16">
        <f t="shared" si="3"/>
        <v>14081369.07</v>
      </c>
      <c r="Y22" s="16"/>
      <c r="Z22" s="16"/>
      <c r="AA22" s="16"/>
      <c r="AB22" s="16"/>
      <c r="AC22" s="16"/>
      <c r="AD22" s="16"/>
      <c r="AE22" s="16"/>
      <c r="AF22" s="16"/>
      <c r="AG22" s="16"/>
      <c r="AH22" s="16"/>
    </row>
    <row r="23">
      <c r="A23" s="36"/>
      <c r="B23" s="36"/>
      <c r="C23" s="37"/>
      <c r="D23" s="36" t="s">
        <v>37</v>
      </c>
      <c r="E23" s="32" t="s">
        <v>37</v>
      </c>
      <c r="F23" s="37">
        <v>156335.24</v>
      </c>
      <c r="G23" s="34">
        <f t="array" ref="G23">XLOOKUP(D23, 'Data jarak '!$A$2:$A$11, XLOOKUP(E23, 'Data jarak '!$B$1:$K$1, 'Data jarak '!$B$2:$K$11))</f>
        <v>0</v>
      </c>
      <c r="H23" s="18">
        <f t="shared" si="1"/>
        <v>0</v>
      </c>
      <c r="K23" s="38" t="s">
        <v>39</v>
      </c>
      <c r="L23" s="32" t="s">
        <v>35</v>
      </c>
      <c r="M23" s="32" t="s">
        <v>37</v>
      </c>
      <c r="N23" s="32">
        <v>8546.4</v>
      </c>
      <c r="O23" s="32"/>
      <c r="P23" s="34">
        <f t="array" ref="P23">XLOOKUP(L23, 'Data jarak '!$A$2:$A$11, XLOOKUP(M23, 'Data jarak '!$B$1:$K$1, 'Data jarak '!$B$2:$K$11))</f>
        <v>658.2451</v>
      </c>
      <c r="Q23" s="33">
        <f t="shared" si="2"/>
        <v>63288291.63</v>
      </c>
      <c r="R23" s="33"/>
      <c r="S23" s="36" t="s">
        <v>34</v>
      </c>
      <c r="T23" s="32" t="s">
        <v>35</v>
      </c>
      <c r="U23" s="32" t="s">
        <v>35</v>
      </c>
      <c r="V23" s="33">
        <v>6039.82</v>
      </c>
      <c r="W23" s="34">
        <f t="array" ref="W23">XLOOKUP(T23, 'Data jarak '!$A$2:$A$11, XLOOKUP(U23, 'Data jarak '!$B$1:$K$1, 'Data jarak '!$B$2:$K$11))</f>
        <v>0</v>
      </c>
      <c r="X23" s="16">
        <f t="shared" si="3"/>
        <v>0</v>
      </c>
      <c r="Y23" s="16"/>
      <c r="Z23" s="16"/>
      <c r="AA23" s="16"/>
      <c r="AB23" s="16"/>
      <c r="AC23" s="16"/>
      <c r="AD23" s="16"/>
      <c r="AE23" s="16"/>
      <c r="AF23" s="16"/>
      <c r="AG23" s="16"/>
      <c r="AH23" s="16"/>
    </row>
    <row r="24">
      <c r="A24" s="36"/>
      <c r="B24" s="36"/>
      <c r="C24" s="37"/>
      <c r="D24" s="24"/>
      <c r="F24" s="20"/>
      <c r="K24" s="38" t="s">
        <v>35</v>
      </c>
      <c r="L24" s="32" t="s">
        <v>35</v>
      </c>
      <c r="M24" s="32" t="s">
        <v>31</v>
      </c>
      <c r="N24" s="32">
        <v>30724.48</v>
      </c>
      <c r="O24" s="32"/>
      <c r="P24" s="34">
        <f t="array" ref="P24">XLOOKUP(L24, 'Data jarak '!$A$2:$A$11, XLOOKUP(M24, 'Data jarak '!$B$1:$K$1, 'Data jarak '!$B$2:$K$11))</f>
        <v>1810.495</v>
      </c>
      <c r="Q24" s="33">
        <f t="shared" si="2"/>
        <v>625798320.9</v>
      </c>
      <c r="R24" s="33"/>
      <c r="S24" s="36" t="s">
        <v>34</v>
      </c>
      <c r="T24" s="32" t="s">
        <v>40</v>
      </c>
      <c r="U24" s="32" t="s">
        <v>35</v>
      </c>
      <c r="V24" s="33">
        <v>3678.83</v>
      </c>
      <c r="W24" s="34">
        <f t="array" ref="W24">XLOOKUP(T24, 'Data jarak '!$A$2:$A$11, XLOOKUP(U24, 'Data jarak '!$B$1:$K$1, 'Data jarak '!$B$2:$K$11))</f>
        <v>403.0102</v>
      </c>
      <c r="X24" s="16">
        <f t="shared" si="3"/>
        <v>22239090.21</v>
      </c>
      <c r="Y24" s="16"/>
      <c r="Z24" s="16"/>
      <c r="AA24" s="16"/>
      <c r="AB24" s="16"/>
      <c r="AC24" s="16"/>
      <c r="AD24" s="16"/>
      <c r="AE24" s="16"/>
      <c r="AF24" s="16"/>
      <c r="AG24" s="16"/>
      <c r="AH24" s="16"/>
    </row>
    <row r="25">
      <c r="A25" s="36"/>
      <c r="B25" s="36"/>
      <c r="C25" s="37"/>
      <c r="D25" s="24"/>
      <c r="F25" s="20"/>
      <c r="K25" s="38" t="s">
        <v>35</v>
      </c>
      <c r="L25" s="32" t="s">
        <v>35</v>
      </c>
      <c r="M25" s="32" t="s">
        <v>33</v>
      </c>
      <c r="N25" s="32">
        <v>248498.7</v>
      </c>
      <c r="O25" s="32"/>
      <c r="P25" s="34">
        <f t="array" ref="P25">XLOOKUP(L25, 'Data jarak '!$A$2:$A$11, XLOOKUP(M25, 'Data jarak '!$B$1:$K$1, 'Data jarak '!$B$2:$K$11))</f>
        <v>475.5078</v>
      </c>
      <c r="Q25" s="33">
        <f t="shared" si="2"/>
        <v>1329334539</v>
      </c>
      <c r="R25" s="33"/>
      <c r="S25" s="36" t="s">
        <v>34</v>
      </c>
      <c r="T25" s="32" t="s">
        <v>37</v>
      </c>
      <c r="U25" s="32" t="s">
        <v>37</v>
      </c>
      <c r="V25" s="33">
        <v>4136.76</v>
      </c>
      <c r="W25" s="34">
        <f t="array" ref="W25">XLOOKUP(T25, 'Data jarak '!$A$2:$A$11, XLOOKUP(U25, 'Data jarak '!$B$1:$K$1, 'Data jarak '!$B$2:$K$11))</f>
        <v>0</v>
      </c>
      <c r="X25" s="16">
        <f t="shared" si="3"/>
        <v>0</v>
      </c>
      <c r="Y25" s="16"/>
      <c r="Z25" s="16"/>
      <c r="AA25" s="16"/>
      <c r="AB25" s="16"/>
      <c r="AC25" s="16"/>
      <c r="AD25" s="16"/>
      <c r="AE25" s="16"/>
      <c r="AF25" s="16"/>
      <c r="AG25" s="16"/>
      <c r="AH25" s="16"/>
    </row>
    <row r="26">
      <c r="A26" s="36"/>
      <c r="B26" s="36"/>
      <c r="C26" s="37"/>
      <c r="D26" s="24"/>
      <c r="F26" s="20"/>
      <c r="K26" s="38" t="s">
        <v>35</v>
      </c>
      <c r="L26" s="32" t="s">
        <v>35</v>
      </c>
      <c r="M26" s="32" t="s">
        <v>37</v>
      </c>
      <c r="N26" s="32">
        <v>101245.44</v>
      </c>
      <c r="O26" s="32"/>
      <c r="P26" s="34">
        <f t="array" ref="P26">XLOOKUP(L26, 'Data jarak '!$A$2:$A$11, XLOOKUP(M26, 'Data jarak '!$B$1:$K$1, 'Data jarak '!$B$2:$K$11))</f>
        <v>658.2451</v>
      </c>
      <c r="Q26" s="33">
        <f t="shared" si="2"/>
        <v>749748541.2</v>
      </c>
      <c r="R26" s="33"/>
      <c r="S26" s="36" t="s">
        <v>36</v>
      </c>
      <c r="T26" s="32" t="s">
        <v>31</v>
      </c>
      <c r="U26" s="32" t="s">
        <v>31</v>
      </c>
      <c r="V26" s="33">
        <v>881.92</v>
      </c>
      <c r="W26" s="34">
        <f t="array" ref="W26">XLOOKUP(T26, 'Data jarak '!$A$2:$A$11, XLOOKUP(U26, 'Data jarak '!$B$1:$K$1, 'Data jarak '!$B$2:$K$11))</f>
        <v>0</v>
      </c>
      <c r="X26" s="16">
        <f t="shared" si="3"/>
        <v>0</v>
      </c>
      <c r="Y26" s="16"/>
      <c r="Z26" s="16"/>
      <c r="AA26" s="16"/>
      <c r="AB26" s="16"/>
      <c r="AC26" s="16"/>
      <c r="AD26" s="16"/>
      <c r="AE26" s="16"/>
      <c r="AF26" s="16"/>
      <c r="AG26" s="16"/>
      <c r="AH26" s="16"/>
    </row>
    <row r="27">
      <c r="A27" s="36"/>
      <c r="B27" s="36"/>
      <c r="C27" s="37"/>
      <c r="D27" s="24"/>
      <c r="F27" s="20"/>
      <c r="K27" s="38" t="s">
        <v>40</v>
      </c>
      <c r="L27" s="32" t="s">
        <v>35</v>
      </c>
      <c r="M27" s="32" t="s">
        <v>31</v>
      </c>
      <c r="N27" s="32">
        <v>535.69</v>
      </c>
      <c r="O27" s="32"/>
      <c r="P27" s="34">
        <f t="array" ref="P27">XLOOKUP(L27, 'Data jarak '!$A$2:$A$11, XLOOKUP(M27, 'Data jarak '!$B$1:$K$1, 'Data jarak '!$B$2:$K$11))</f>
        <v>1810.495</v>
      </c>
      <c r="Q27" s="33">
        <f t="shared" si="2"/>
        <v>10910970.75</v>
      </c>
      <c r="R27" s="33"/>
      <c r="S27" s="36" t="s">
        <v>36</v>
      </c>
      <c r="T27" s="32" t="s">
        <v>34</v>
      </c>
      <c r="U27" s="32" t="s">
        <v>33</v>
      </c>
      <c r="V27" s="33">
        <v>768.89</v>
      </c>
      <c r="W27" s="34">
        <f t="array" ref="W27">XLOOKUP(T27, 'Data jarak '!$A$2:$A$11, XLOOKUP(U27, 'Data jarak '!$B$1:$K$1, 'Data jarak '!$B$2:$K$11))</f>
        <v>966.6815</v>
      </c>
      <c r="X27" s="16">
        <f t="shared" si="3"/>
        <v>11149076.08</v>
      </c>
      <c r="Y27" s="16"/>
      <c r="Z27" s="16"/>
      <c r="AA27" s="16"/>
      <c r="AB27" s="16"/>
      <c r="AC27" s="16"/>
      <c r="AD27" s="16"/>
      <c r="AE27" s="16"/>
      <c r="AF27" s="16"/>
      <c r="AG27" s="16"/>
      <c r="AH27" s="16"/>
    </row>
    <row r="28">
      <c r="A28" s="36"/>
      <c r="B28" s="36"/>
      <c r="C28" s="37"/>
      <c r="D28" s="24"/>
      <c r="F28" s="20"/>
      <c r="K28" s="38" t="s">
        <v>40</v>
      </c>
      <c r="L28" s="32" t="s">
        <v>35</v>
      </c>
      <c r="M28" s="32" t="s">
        <v>33</v>
      </c>
      <c r="N28" s="32">
        <v>6615.99</v>
      </c>
      <c r="O28" s="32"/>
      <c r="P28" s="34">
        <f t="array" ref="P28">XLOOKUP(L28, 'Data jarak '!$A$2:$A$11, XLOOKUP(M28, 'Data jarak '!$B$1:$K$1, 'Data jarak '!$B$2:$K$11))</f>
        <v>475.5078</v>
      </c>
      <c r="Q28" s="33">
        <f t="shared" si="2"/>
        <v>35391992.06</v>
      </c>
      <c r="R28" s="33"/>
      <c r="S28" s="36" t="s">
        <v>36</v>
      </c>
      <c r="T28" s="32" t="s">
        <v>32</v>
      </c>
      <c r="U28" s="32" t="s">
        <v>33</v>
      </c>
      <c r="V28" s="33">
        <v>2095.4</v>
      </c>
      <c r="W28" s="34">
        <f t="array" ref="W28">XLOOKUP(T28, 'Data jarak '!$A$2:$A$11, XLOOKUP(U28, 'Data jarak '!$B$1:$K$1, 'Data jarak '!$B$2:$K$11))</f>
        <v>525.4495</v>
      </c>
      <c r="X28" s="16">
        <f t="shared" si="3"/>
        <v>16515403.23</v>
      </c>
      <c r="Y28" s="16"/>
      <c r="Z28" s="16"/>
      <c r="AA28" s="16"/>
      <c r="AB28" s="16"/>
      <c r="AC28" s="16"/>
      <c r="AD28" s="16"/>
      <c r="AE28" s="16"/>
      <c r="AF28" s="16"/>
      <c r="AG28" s="16"/>
      <c r="AH28" s="16"/>
    </row>
    <row r="29">
      <c r="A29" s="36"/>
      <c r="B29" s="36"/>
      <c r="C29" s="37"/>
      <c r="D29" s="24"/>
      <c r="F29" s="20"/>
      <c r="K29" s="38" t="s">
        <v>37</v>
      </c>
      <c r="L29" s="32" t="s">
        <v>37</v>
      </c>
      <c r="M29" s="32" t="s">
        <v>31</v>
      </c>
      <c r="N29" s="32">
        <v>29981.56</v>
      </c>
      <c r="O29" s="32"/>
      <c r="P29" s="34">
        <f t="array" ref="P29">XLOOKUP(L29, 'Data jarak '!$A$2:$A$11, XLOOKUP(M29, 'Data jarak '!$B$1:$K$1, 'Data jarak '!$B$2:$K$11))</f>
        <v>2382.411</v>
      </c>
      <c r="Q29" s="33">
        <f t="shared" si="2"/>
        <v>803569481.3</v>
      </c>
      <c r="R29" s="33"/>
      <c r="S29" s="36" t="s">
        <v>36</v>
      </c>
      <c r="T29" s="32" t="s">
        <v>38</v>
      </c>
      <c r="U29" s="32" t="s">
        <v>33</v>
      </c>
      <c r="V29" s="33">
        <v>575.8</v>
      </c>
      <c r="W29" s="34">
        <f t="array" ref="W29">XLOOKUP(T29, 'Data jarak '!$A$2:$A$11, XLOOKUP(U29, 'Data jarak '!$B$1:$K$1, 'Data jarak '!$B$2:$K$11))</f>
        <v>176.4669</v>
      </c>
      <c r="X29" s="16">
        <f t="shared" si="3"/>
        <v>1524144.615</v>
      </c>
      <c r="Y29" s="16"/>
      <c r="Z29" s="16"/>
      <c r="AA29" s="16"/>
      <c r="AB29" s="16"/>
      <c r="AC29" s="16"/>
      <c r="AD29" s="16"/>
      <c r="AE29" s="16"/>
      <c r="AF29" s="16"/>
      <c r="AG29" s="16"/>
      <c r="AH29" s="16"/>
    </row>
    <row r="30">
      <c r="A30" s="36"/>
      <c r="B30" s="36"/>
      <c r="C30" s="37"/>
      <c r="D30" s="24"/>
      <c r="F30" s="20"/>
      <c r="K30" s="38" t="s">
        <v>37</v>
      </c>
      <c r="L30" s="32" t="s">
        <v>37</v>
      </c>
      <c r="M30" s="32" t="s">
        <v>33</v>
      </c>
      <c r="N30" s="32">
        <v>65423.14</v>
      </c>
      <c r="O30" s="32"/>
      <c r="P30" s="34">
        <f t="array" ref="P30">XLOOKUP(L30, 'Data jarak '!$A$2:$A$11, XLOOKUP(M30, 'Data jarak '!$B$1:$K$1, 'Data jarak '!$B$2:$K$11))</f>
        <v>1024.79</v>
      </c>
      <c r="Q30" s="33">
        <f t="shared" si="2"/>
        <v>754256021</v>
      </c>
      <c r="R30" s="33"/>
      <c r="S30" s="36" t="s">
        <v>36</v>
      </c>
      <c r="T30" s="32" t="s">
        <v>33</v>
      </c>
      <c r="U30" s="32" t="s">
        <v>33</v>
      </c>
      <c r="V30" s="33">
        <v>4265.72</v>
      </c>
      <c r="W30" s="34">
        <f t="array" ref="W30">XLOOKUP(T30, 'Data jarak '!$A$2:$A$11, XLOOKUP(U30, 'Data jarak '!$B$1:$K$1, 'Data jarak '!$B$2:$K$11))</f>
        <v>0</v>
      </c>
      <c r="X30" s="16">
        <f t="shared" si="3"/>
        <v>0</v>
      </c>
      <c r="Y30" s="16"/>
      <c r="Z30" s="16"/>
      <c r="AA30" s="16"/>
      <c r="AB30" s="16"/>
      <c r="AC30" s="16"/>
      <c r="AD30" s="16"/>
      <c r="AE30" s="16"/>
      <c r="AF30" s="16"/>
      <c r="AG30" s="16"/>
      <c r="AH30" s="16"/>
    </row>
    <row r="31">
      <c r="A31" s="36"/>
      <c r="B31" s="36"/>
      <c r="C31" s="37"/>
      <c r="D31" s="24"/>
      <c r="F31" s="19"/>
      <c r="K31" s="18" t="s">
        <v>37</v>
      </c>
      <c r="L31" s="32" t="s">
        <v>37</v>
      </c>
      <c r="M31" s="32" t="s">
        <v>35</v>
      </c>
      <c r="N31" s="32">
        <v>56329.16</v>
      </c>
      <c r="O31" s="32"/>
      <c r="P31" s="34">
        <f t="array" ref="P31">XLOOKUP(L31, 'Data jarak '!$A$2:$A$11, XLOOKUP(M31, 'Data jarak '!$B$1:$K$1, 'Data jarak '!$B$2:$K$11))</f>
        <v>658.2451</v>
      </c>
      <c r="Q31" s="33">
        <f t="shared" si="2"/>
        <v>417131927.5</v>
      </c>
      <c r="R31" s="33"/>
      <c r="S31" s="36" t="s">
        <v>36</v>
      </c>
      <c r="T31" s="32" t="s">
        <v>39</v>
      </c>
      <c r="U31" s="32" t="s">
        <v>33</v>
      </c>
      <c r="V31" s="33">
        <v>10479.28</v>
      </c>
      <c r="W31" s="34">
        <f t="array" ref="W31">XLOOKUP(T31, 'Data jarak '!$A$2:$A$11, XLOOKUP(U31, 'Data jarak '!$B$1:$K$1, 'Data jarak '!$B$2:$K$11))</f>
        <v>356.1662</v>
      </c>
      <c r="X31" s="16">
        <f t="shared" si="3"/>
        <v>55985480.05</v>
      </c>
      <c r="Y31" s="16"/>
      <c r="Z31" s="16"/>
      <c r="AA31" s="16"/>
      <c r="AB31" s="16"/>
      <c r="AC31" s="16"/>
      <c r="AD31" s="16"/>
      <c r="AE31" s="16"/>
      <c r="AF31" s="16"/>
      <c r="AG31" s="16"/>
      <c r="AH31" s="16"/>
    </row>
    <row r="32">
      <c r="A32" s="36"/>
      <c r="B32" s="36"/>
      <c r="C32" s="37"/>
      <c r="D32" s="24"/>
      <c r="F32" s="19"/>
      <c r="G32" s="19"/>
      <c r="H32" s="19"/>
      <c r="I32" s="19"/>
      <c r="J32" s="19"/>
      <c r="K32" s="16"/>
      <c r="L32" s="32"/>
      <c r="M32" s="32"/>
      <c r="N32" s="32"/>
      <c r="O32" s="32"/>
      <c r="P32" s="32"/>
      <c r="Q32" s="32"/>
      <c r="R32" s="33"/>
      <c r="S32" s="36" t="s">
        <v>36</v>
      </c>
      <c r="T32" s="32" t="s">
        <v>35</v>
      </c>
      <c r="U32" s="32" t="s">
        <v>35</v>
      </c>
      <c r="V32" s="33">
        <v>5041.36</v>
      </c>
      <c r="W32" s="34">
        <f t="array" ref="W32">XLOOKUP(T32, 'Data jarak '!$A$2:$A$11, XLOOKUP(U32, 'Data jarak '!$B$1:$K$1, 'Data jarak '!$B$2:$K$11))</f>
        <v>0</v>
      </c>
      <c r="X32" s="16">
        <f t="shared" si="3"/>
        <v>0</v>
      </c>
      <c r="Y32" s="16"/>
      <c r="Z32" s="16"/>
      <c r="AA32" s="16"/>
      <c r="AB32" s="16"/>
      <c r="AC32" s="16"/>
      <c r="AD32" s="16"/>
      <c r="AE32" s="16"/>
      <c r="AF32" s="16"/>
      <c r="AG32" s="16"/>
      <c r="AH32" s="16"/>
    </row>
    <row r="33">
      <c r="A33" s="36"/>
      <c r="B33" s="36"/>
      <c r="C33" s="37"/>
      <c r="D33" s="24"/>
      <c r="F33" s="19"/>
      <c r="G33" s="19"/>
      <c r="H33" s="19"/>
      <c r="I33" s="19"/>
      <c r="J33" s="19"/>
      <c r="K33" s="16"/>
      <c r="L33" s="32"/>
      <c r="M33" s="32"/>
      <c r="N33" s="32"/>
      <c r="O33" s="32"/>
      <c r="P33" s="32"/>
      <c r="Q33" s="32"/>
      <c r="R33" s="33"/>
      <c r="S33" s="36" t="s">
        <v>36</v>
      </c>
      <c r="T33" s="32" t="s">
        <v>40</v>
      </c>
      <c r="U33" s="32" t="s">
        <v>35</v>
      </c>
      <c r="V33" s="33">
        <v>841.95</v>
      </c>
      <c r="W33" s="34">
        <f t="array" ref="W33">XLOOKUP(T33, 'Data jarak '!$A$2:$A$11, XLOOKUP(U33, 'Data jarak '!$B$1:$K$1, 'Data jarak '!$B$2:$K$11))</f>
        <v>403.0102</v>
      </c>
      <c r="X33" s="16">
        <f t="shared" si="3"/>
        <v>5089716.568</v>
      </c>
      <c r="Y33" s="16"/>
      <c r="Z33" s="16"/>
      <c r="AA33" s="16"/>
      <c r="AB33" s="16"/>
      <c r="AC33" s="16"/>
      <c r="AD33" s="16"/>
      <c r="AE33" s="16"/>
      <c r="AF33" s="16"/>
      <c r="AG33" s="16"/>
      <c r="AH33" s="16"/>
    </row>
    <row r="34">
      <c r="A34" s="36"/>
      <c r="B34" s="36"/>
      <c r="C34" s="37"/>
      <c r="D34" s="24"/>
      <c r="F34" s="19"/>
      <c r="G34" s="19"/>
      <c r="H34" s="19"/>
      <c r="I34" s="19"/>
      <c r="J34" s="19"/>
      <c r="K34" s="16"/>
      <c r="L34" s="32"/>
      <c r="M34" s="32"/>
      <c r="N34" s="32"/>
      <c r="O34" s="32"/>
      <c r="P34" s="32"/>
      <c r="Q34" s="32"/>
      <c r="R34" s="33"/>
      <c r="S34" s="36" t="s">
        <v>36</v>
      </c>
      <c r="T34" s="32" t="s">
        <v>37</v>
      </c>
      <c r="U34" s="32" t="s">
        <v>37</v>
      </c>
      <c r="V34" s="33">
        <v>2415.04</v>
      </c>
      <c r="W34" s="34">
        <f t="array" ref="W34">XLOOKUP(T34, 'Data jarak '!$A$2:$A$11, XLOOKUP(U34, 'Data jarak '!$B$1:$K$1, 'Data jarak '!$B$2:$K$11))</f>
        <v>0</v>
      </c>
      <c r="X34" s="16">
        <f t="shared" si="3"/>
        <v>0</v>
      </c>
      <c r="Y34" s="16"/>
      <c r="Z34" s="16"/>
      <c r="AA34" s="16"/>
      <c r="AB34" s="16"/>
      <c r="AC34" s="16"/>
      <c r="AD34" s="16"/>
      <c r="AE34" s="16"/>
      <c r="AF34" s="16"/>
      <c r="AG34" s="16"/>
      <c r="AH34" s="16"/>
    </row>
    <row r="35">
      <c r="A35" s="20"/>
      <c r="B35" s="20"/>
      <c r="C35" s="20"/>
      <c r="D35" s="28"/>
      <c r="E35" s="19"/>
      <c r="F35" s="19"/>
      <c r="G35" s="19"/>
      <c r="H35" s="19"/>
      <c r="I35" s="19"/>
      <c r="J35" s="19"/>
      <c r="K35" s="16"/>
      <c r="L35" s="32"/>
      <c r="M35" s="32"/>
      <c r="N35" s="32"/>
      <c r="O35" s="32"/>
      <c r="P35" s="32"/>
      <c r="Q35" s="32"/>
      <c r="R35" s="33"/>
      <c r="S35" s="36" t="s">
        <v>32</v>
      </c>
      <c r="T35" s="32" t="s">
        <v>31</v>
      </c>
      <c r="U35" s="32" t="s">
        <v>31</v>
      </c>
      <c r="V35" s="33">
        <v>2877.88</v>
      </c>
      <c r="W35" s="34">
        <f t="array" ref="W35">XLOOKUP(T35, 'Data jarak '!$A$2:$A$11, XLOOKUP(U35, 'Data jarak '!$B$1:$K$1, 'Data jarak '!$B$2:$K$11))</f>
        <v>0</v>
      </c>
      <c r="X35" s="16">
        <f t="shared" si="3"/>
        <v>0</v>
      </c>
      <c r="Y35" s="16"/>
      <c r="Z35" s="16"/>
      <c r="AA35" s="16"/>
      <c r="AB35" s="16"/>
      <c r="AC35" s="16"/>
      <c r="AD35" s="16"/>
      <c r="AE35" s="16"/>
      <c r="AF35" s="16"/>
      <c r="AG35" s="16"/>
      <c r="AH35" s="16"/>
    </row>
    <row r="36">
      <c r="A36" s="20"/>
      <c r="B36" s="20"/>
      <c r="C36" s="20"/>
      <c r="D36" s="28"/>
      <c r="E36" s="19"/>
      <c r="F36" s="19"/>
      <c r="G36" s="19"/>
      <c r="H36" s="19"/>
      <c r="I36" s="19"/>
      <c r="J36" s="19"/>
      <c r="K36" s="16"/>
      <c r="L36" s="32"/>
      <c r="M36" s="32"/>
      <c r="N36" s="32"/>
      <c r="O36" s="32"/>
      <c r="P36" s="32"/>
      <c r="Q36" s="32"/>
      <c r="R36" s="33"/>
      <c r="S36" s="36" t="s">
        <v>32</v>
      </c>
      <c r="T36" s="32" t="s">
        <v>34</v>
      </c>
      <c r="U36" s="32" t="s">
        <v>31</v>
      </c>
      <c r="V36" s="33">
        <v>2837.35</v>
      </c>
      <c r="W36" s="34">
        <f t="array" ref="W36">XLOOKUP(T36, 'Data jarak '!$A$2:$A$11, XLOOKUP(U36, 'Data jarak '!$B$1:$K$1, 'Data jarak '!$B$2:$K$11))</f>
        <v>404.8972</v>
      </c>
      <c r="X36" s="16">
        <f t="shared" si="3"/>
        <v>17232526.06</v>
      </c>
      <c r="Y36" s="16"/>
      <c r="Z36" s="16"/>
      <c r="AA36" s="16"/>
      <c r="AB36" s="16"/>
      <c r="AC36" s="16"/>
      <c r="AD36" s="16"/>
      <c r="AE36" s="16"/>
      <c r="AF36" s="16"/>
      <c r="AG36" s="16"/>
      <c r="AH36" s="16"/>
    </row>
    <row r="37">
      <c r="A37" s="20"/>
      <c r="B37" s="20"/>
      <c r="C37" s="20"/>
      <c r="D37" s="28"/>
      <c r="E37" s="19"/>
      <c r="F37" s="19"/>
      <c r="G37" s="19"/>
      <c r="H37" s="19"/>
      <c r="I37" s="19"/>
      <c r="J37" s="19"/>
      <c r="K37" s="16"/>
      <c r="L37" s="32"/>
      <c r="M37" s="32"/>
      <c r="N37" s="32"/>
      <c r="O37" s="32"/>
      <c r="P37" s="32"/>
      <c r="Q37" s="32"/>
      <c r="R37" s="33"/>
      <c r="S37" s="36" t="s">
        <v>32</v>
      </c>
      <c r="T37" s="32" t="s">
        <v>36</v>
      </c>
      <c r="U37" s="32" t="s">
        <v>33</v>
      </c>
      <c r="V37" s="33">
        <v>2340.64</v>
      </c>
      <c r="W37" s="34">
        <f t="array" ref="W37">XLOOKUP(T37, 'Data jarak '!$A$2:$A$11, XLOOKUP(U37, 'Data jarak '!$B$1:$K$1, 'Data jarak '!$B$2:$K$11))</f>
        <v>397.4792</v>
      </c>
      <c r="X37" s="16">
        <f t="shared" si="3"/>
        <v>13955335.72</v>
      </c>
      <c r="Y37" s="16"/>
      <c r="Z37" s="16"/>
      <c r="AA37" s="16"/>
      <c r="AB37" s="16"/>
      <c r="AC37" s="16"/>
      <c r="AD37" s="16"/>
      <c r="AE37" s="16"/>
      <c r="AF37" s="16"/>
      <c r="AG37" s="16"/>
      <c r="AH37" s="16"/>
    </row>
    <row r="38">
      <c r="A38" s="20"/>
      <c r="B38" s="20"/>
      <c r="C38" s="20"/>
      <c r="D38" s="28"/>
      <c r="E38" s="19"/>
      <c r="F38" s="19"/>
      <c r="G38" s="19"/>
      <c r="H38" s="19"/>
      <c r="I38" s="19"/>
      <c r="J38" s="19"/>
      <c r="K38" s="18" t="s">
        <v>61</v>
      </c>
      <c r="L38" s="32"/>
      <c r="M38" s="32"/>
      <c r="N38" s="32"/>
      <c r="O38" s="32"/>
      <c r="P38" s="32"/>
      <c r="Q38" s="32"/>
      <c r="R38" s="33"/>
      <c r="S38" s="36" t="s">
        <v>32</v>
      </c>
      <c r="T38" s="32" t="s">
        <v>38</v>
      </c>
      <c r="U38" s="32" t="s">
        <v>33</v>
      </c>
      <c r="V38" s="33">
        <v>1346.84</v>
      </c>
      <c r="W38" s="34">
        <f t="array" ref="W38">XLOOKUP(T38, 'Data jarak '!$A$2:$A$11, XLOOKUP(U38, 'Data jarak '!$B$1:$K$1, 'Data jarak '!$B$2:$K$11))</f>
        <v>176.4669</v>
      </c>
      <c r="X38" s="16">
        <f t="shared" si="3"/>
        <v>3565090.194</v>
      </c>
      <c r="Y38" s="16"/>
      <c r="Z38" s="16"/>
      <c r="AA38" s="16"/>
      <c r="AB38" s="16"/>
      <c r="AC38" s="16"/>
      <c r="AD38" s="16"/>
      <c r="AE38" s="16"/>
      <c r="AF38" s="16"/>
      <c r="AG38" s="16"/>
      <c r="AH38" s="16"/>
    </row>
    <row r="39">
      <c r="A39" s="20"/>
      <c r="B39" s="20"/>
      <c r="C39" s="20"/>
      <c r="D39" s="28"/>
      <c r="E39" s="19"/>
      <c r="F39" s="19"/>
      <c r="G39" s="19"/>
      <c r="H39" s="19"/>
      <c r="I39" s="19"/>
      <c r="J39" s="19"/>
      <c r="K39" s="16"/>
      <c r="L39" s="32"/>
      <c r="M39" s="32"/>
      <c r="N39" s="32"/>
      <c r="O39" s="32"/>
      <c r="P39" s="32"/>
      <c r="Q39" s="32"/>
      <c r="R39" s="33"/>
      <c r="S39" s="36" t="s">
        <v>32</v>
      </c>
      <c r="T39" s="32" t="s">
        <v>33</v>
      </c>
      <c r="U39" s="32" t="s">
        <v>33</v>
      </c>
      <c r="V39" s="33">
        <v>7897.68</v>
      </c>
      <c r="W39" s="34">
        <f t="array" ref="W39">XLOOKUP(T39, 'Data jarak '!$A$2:$A$11, XLOOKUP(U39, 'Data jarak '!$B$1:$K$1, 'Data jarak '!$B$2:$K$11))</f>
        <v>0</v>
      </c>
      <c r="X39" s="16">
        <f t="shared" si="3"/>
        <v>0</v>
      </c>
      <c r="Y39" s="16"/>
      <c r="Z39" s="16"/>
      <c r="AA39" s="16"/>
      <c r="AB39" s="16"/>
      <c r="AC39" s="16"/>
      <c r="AD39" s="16"/>
      <c r="AE39" s="16"/>
      <c r="AF39" s="16"/>
      <c r="AG39" s="16"/>
      <c r="AH39" s="16"/>
    </row>
    <row r="40">
      <c r="A40" s="20"/>
      <c r="B40" s="20"/>
      <c r="C40" s="20"/>
      <c r="D40" s="28"/>
      <c r="E40" s="19"/>
      <c r="F40" s="19"/>
      <c r="G40" s="19"/>
      <c r="H40" s="19"/>
      <c r="I40" s="19"/>
      <c r="J40" s="19"/>
      <c r="K40" s="16"/>
      <c r="L40" s="32"/>
      <c r="M40" s="32"/>
      <c r="N40" s="32"/>
      <c r="O40" s="32"/>
      <c r="P40" s="32"/>
      <c r="Q40" s="32"/>
      <c r="R40" s="33"/>
      <c r="S40" s="36" t="s">
        <v>32</v>
      </c>
      <c r="T40" s="32" t="s">
        <v>39</v>
      </c>
      <c r="U40" s="32" t="s">
        <v>33</v>
      </c>
      <c r="V40" s="33">
        <v>3023.8</v>
      </c>
      <c r="W40" s="34">
        <f t="array" ref="W40">XLOOKUP(T40, 'Data jarak '!$A$2:$A$11, XLOOKUP(U40, 'Data jarak '!$B$1:$K$1, 'Data jarak '!$B$2:$K$11))</f>
        <v>356.1662</v>
      </c>
      <c r="X40" s="16">
        <f t="shared" si="3"/>
        <v>16154630.33</v>
      </c>
      <c r="Y40" s="16"/>
      <c r="Z40" s="16"/>
      <c r="AA40" s="16"/>
      <c r="AB40" s="16"/>
      <c r="AC40" s="16"/>
      <c r="AD40" s="16"/>
      <c r="AE40" s="16"/>
      <c r="AF40" s="16"/>
      <c r="AG40" s="16"/>
      <c r="AH40" s="16"/>
    </row>
    <row r="41">
      <c r="A41" s="20"/>
      <c r="B41" s="20"/>
      <c r="C41" s="20"/>
      <c r="D41" s="28"/>
      <c r="E41" s="19"/>
      <c r="F41" s="19"/>
      <c r="G41" s="19"/>
      <c r="H41" s="19"/>
      <c r="I41" s="19"/>
      <c r="J41" s="19"/>
      <c r="K41" s="16"/>
      <c r="L41" s="32"/>
      <c r="M41" s="32"/>
      <c r="N41" s="32"/>
      <c r="O41" s="32"/>
      <c r="P41" s="32"/>
      <c r="Q41" s="32"/>
      <c r="R41" s="33"/>
      <c r="S41" s="36" t="s">
        <v>32</v>
      </c>
      <c r="T41" s="32" t="s">
        <v>35</v>
      </c>
      <c r="U41" s="32" t="s">
        <v>35</v>
      </c>
      <c r="V41" s="33">
        <v>15699.2</v>
      </c>
      <c r="W41" s="34">
        <f t="array" ref="W41">XLOOKUP(T41, 'Data jarak '!$A$2:$A$11, XLOOKUP(U41, 'Data jarak '!$B$1:$K$1, 'Data jarak '!$B$2:$K$11))</f>
        <v>0</v>
      </c>
      <c r="X41" s="16">
        <f t="shared" si="3"/>
        <v>0</v>
      </c>
      <c r="Y41" s="16"/>
      <c r="Z41" s="16"/>
      <c r="AA41" s="16"/>
      <c r="AB41" s="16"/>
      <c r="AC41" s="16"/>
      <c r="AD41" s="16"/>
      <c r="AE41" s="16"/>
      <c r="AF41" s="16"/>
      <c r="AG41" s="16"/>
      <c r="AH41" s="16"/>
    </row>
    <row r="42">
      <c r="A42" s="20"/>
      <c r="B42" s="20"/>
      <c r="C42" s="20"/>
      <c r="D42" s="28"/>
      <c r="E42" s="19"/>
      <c r="F42" s="19"/>
      <c r="G42" s="19"/>
      <c r="H42" s="19"/>
      <c r="I42" s="19"/>
      <c r="J42" s="19"/>
      <c r="K42" s="16"/>
      <c r="L42" s="32"/>
      <c r="M42" s="32"/>
      <c r="N42" s="32"/>
      <c r="O42" s="32"/>
      <c r="P42" s="32"/>
      <c r="Q42" s="32"/>
      <c r="R42" s="33"/>
      <c r="S42" s="36" t="s">
        <v>32</v>
      </c>
      <c r="T42" s="32" t="s">
        <v>40</v>
      </c>
      <c r="U42" s="32" t="s">
        <v>35</v>
      </c>
      <c r="V42" s="33">
        <v>2504.17</v>
      </c>
      <c r="W42" s="34">
        <f t="array" ref="W42">XLOOKUP(T42, 'Data jarak '!$A$2:$A$11, XLOOKUP(U42, 'Data jarak '!$B$1:$K$1, 'Data jarak '!$B$2:$K$11))</f>
        <v>403.0102</v>
      </c>
      <c r="X42" s="16">
        <f t="shared" si="3"/>
        <v>15138090.79</v>
      </c>
      <c r="Y42" s="16"/>
      <c r="Z42" s="16"/>
      <c r="AA42" s="16"/>
      <c r="AB42" s="16"/>
      <c r="AC42" s="16"/>
      <c r="AD42" s="16"/>
      <c r="AE42" s="16"/>
      <c r="AF42" s="16"/>
      <c r="AG42" s="16"/>
      <c r="AH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32"/>
      <c r="M43" s="32"/>
      <c r="N43" s="32"/>
      <c r="O43" s="32"/>
      <c r="P43" s="32"/>
      <c r="Q43" s="32"/>
      <c r="R43" s="33"/>
      <c r="S43" s="36" t="s">
        <v>32</v>
      </c>
      <c r="T43" s="32" t="s">
        <v>37</v>
      </c>
      <c r="U43" s="32" t="s">
        <v>37</v>
      </c>
      <c r="V43" s="33">
        <v>12387.4</v>
      </c>
      <c r="W43" s="34">
        <f t="array" ref="W43">XLOOKUP(T43, 'Data jarak '!$A$2:$A$11, XLOOKUP(U43, 'Data jarak '!$B$1:$K$1, 'Data jarak '!$B$2:$K$11))</f>
        <v>0</v>
      </c>
      <c r="X43" s="16">
        <f t="shared" si="3"/>
        <v>0</v>
      </c>
      <c r="Y43" s="16"/>
      <c r="Z43" s="16"/>
      <c r="AA43" s="16"/>
      <c r="AB43" s="16"/>
      <c r="AC43" s="16"/>
      <c r="AD43" s="16"/>
      <c r="AE43" s="16"/>
      <c r="AF43" s="16"/>
      <c r="AG43" s="16"/>
      <c r="AH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32"/>
      <c r="M44" s="32"/>
      <c r="N44" s="32"/>
      <c r="O44" s="32"/>
      <c r="P44" s="32"/>
      <c r="Q44" s="32"/>
      <c r="R44" s="33"/>
      <c r="S44" s="36" t="s">
        <v>38</v>
      </c>
      <c r="T44" s="32" t="s">
        <v>31</v>
      </c>
      <c r="U44" s="32" t="s">
        <v>31</v>
      </c>
      <c r="V44" s="33">
        <v>1916.56</v>
      </c>
      <c r="W44" s="34">
        <f t="array" ref="W44">XLOOKUP(T44, 'Data jarak '!$A$2:$A$11, XLOOKUP(U44, 'Data jarak '!$B$1:$K$1, 'Data jarak '!$B$2:$K$11))</f>
        <v>0</v>
      </c>
      <c r="X44" s="16">
        <f t="shared" si="3"/>
        <v>0</v>
      </c>
      <c r="Y44" s="16"/>
      <c r="Z44" s="16"/>
      <c r="AA44" s="16"/>
      <c r="AB44" s="16"/>
      <c r="AC44" s="16"/>
      <c r="AD44" s="16"/>
      <c r="AE44" s="16"/>
      <c r="AF44" s="16"/>
      <c r="AG44" s="16"/>
      <c r="AH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32"/>
      <c r="M45" s="32"/>
      <c r="N45" s="32"/>
      <c r="O45" s="32"/>
      <c r="P45" s="32"/>
      <c r="Q45" s="32"/>
      <c r="R45" s="33"/>
      <c r="S45" s="36" t="s">
        <v>38</v>
      </c>
      <c r="T45" s="32" t="s">
        <v>34</v>
      </c>
      <c r="U45" s="32" t="s">
        <v>33</v>
      </c>
      <c r="V45" s="33">
        <v>453.68</v>
      </c>
      <c r="W45" s="34">
        <f t="array" ref="W45">XLOOKUP(T45, 'Data jarak '!$A$2:$A$11, XLOOKUP(U45, 'Data jarak '!$B$1:$K$1, 'Data jarak '!$B$2:$K$11))</f>
        <v>966.6815</v>
      </c>
      <c r="X45" s="16">
        <f t="shared" si="3"/>
        <v>6578460.944</v>
      </c>
      <c r="Y45" s="16"/>
      <c r="Z45" s="16"/>
      <c r="AA45" s="16"/>
      <c r="AB45" s="16"/>
      <c r="AC45" s="16"/>
      <c r="AD45" s="16"/>
      <c r="AE45" s="16"/>
      <c r="AF45" s="16"/>
      <c r="AG45" s="16"/>
      <c r="AH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32"/>
      <c r="M46" s="32"/>
      <c r="N46" s="32"/>
      <c r="O46" s="32"/>
      <c r="P46" s="32"/>
      <c r="Q46" s="32"/>
      <c r="R46" s="33"/>
      <c r="S46" s="36" t="s">
        <v>38</v>
      </c>
      <c r="T46" s="32" t="s">
        <v>36</v>
      </c>
      <c r="U46" s="32" t="s">
        <v>33</v>
      </c>
      <c r="V46" s="33">
        <v>821.08</v>
      </c>
      <c r="W46" s="34">
        <f t="array" ref="W46">XLOOKUP(T46, 'Data jarak '!$A$2:$A$11, XLOOKUP(U46, 'Data jarak '!$B$1:$K$1, 'Data jarak '!$B$2:$K$11))</f>
        <v>397.4792</v>
      </c>
      <c r="X46" s="16">
        <f t="shared" si="3"/>
        <v>4895433.323</v>
      </c>
      <c r="Y46" s="16"/>
      <c r="Z46" s="16"/>
      <c r="AA46" s="16"/>
      <c r="AB46" s="16"/>
      <c r="AC46" s="16"/>
      <c r="AD46" s="16"/>
      <c r="AE46" s="16"/>
      <c r="AF46" s="16"/>
      <c r="AG46" s="16"/>
      <c r="AH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32"/>
      <c r="M47" s="32"/>
      <c r="N47" s="32"/>
      <c r="O47" s="32"/>
      <c r="P47" s="32"/>
      <c r="Q47" s="32"/>
      <c r="R47" s="33"/>
      <c r="S47" s="36" t="s">
        <v>38</v>
      </c>
      <c r="T47" s="32" t="s">
        <v>32</v>
      </c>
      <c r="U47" s="32" t="s">
        <v>33</v>
      </c>
      <c r="V47" s="33">
        <v>3869.6</v>
      </c>
      <c r="W47" s="34">
        <f t="array" ref="W47">XLOOKUP(T47, 'Data jarak '!$A$2:$A$11, XLOOKUP(U47, 'Data jarak '!$B$1:$K$1, 'Data jarak '!$B$2:$K$11))</f>
        <v>525.4495</v>
      </c>
      <c r="X47" s="16">
        <f t="shared" si="3"/>
        <v>30499190.78</v>
      </c>
      <c r="Y47" s="16"/>
      <c r="Z47" s="16"/>
      <c r="AA47" s="16"/>
      <c r="AB47" s="16"/>
      <c r="AC47" s="16"/>
      <c r="AD47" s="16"/>
      <c r="AE47" s="16"/>
      <c r="AF47" s="16"/>
      <c r="AG47" s="16"/>
      <c r="AH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32"/>
      <c r="M48" s="32"/>
      <c r="N48" s="32"/>
      <c r="O48" s="32"/>
      <c r="P48" s="32"/>
      <c r="Q48" s="32"/>
      <c r="R48" s="33"/>
      <c r="S48" s="36" t="s">
        <v>38</v>
      </c>
      <c r="T48" s="32" t="s">
        <v>33</v>
      </c>
      <c r="U48" s="32" t="s">
        <v>33</v>
      </c>
      <c r="V48" s="33">
        <v>5400.56</v>
      </c>
      <c r="W48" s="34">
        <f t="array" ref="W48">XLOOKUP(T48, 'Data jarak '!$A$2:$A$11, XLOOKUP(U48, 'Data jarak '!$B$1:$K$1, 'Data jarak '!$B$2:$K$11))</f>
        <v>0</v>
      </c>
      <c r="X48" s="16">
        <f t="shared" si="3"/>
        <v>0</v>
      </c>
      <c r="Y48" s="16"/>
      <c r="Z48" s="16"/>
      <c r="AA48" s="16"/>
      <c r="AB48" s="16"/>
      <c r="AC48" s="16"/>
      <c r="AD48" s="16"/>
      <c r="AE48" s="16"/>
      <c r="AF48" s="16"/>
      <c r="AG48" s="16"/>
      <c r="AH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32"/>
      <c r="M49" s="32"/>
      <c r="N49" s="32"/>
      <c r="O49" s="32"/>
      <c r="P49" s="32"/>
      <c r="Q49" s="32"/>
      <c r="R49" s="33"/>
      <c r="S49" s="36" t="s">
        <v>38</v>
      </c>
      <c r="T49" s="32" t="s">
        <v>39</v>
      </c>
      <c r="U49" s="32" t="s">
        <v>33</v>
      </c>
      <c r="V49" s="33">
        <v>977.52</v>
      </c>
      <c r="W49" s="34">
        <f t="array" ref="W49">XLOOKUP(T49, 'Data jarak '!$A$2:$A$11, XLOOKUP(U49, 'Data jarak '!$B$1:$K$1, 'Data jarak '!$B$2:$K$11))</f>
        <v>356.1662</v>
      </c>
      <c r="X49" s="16">
        <f t="shared" si="3"/>
        <v>5222393.757</v>
      </c>
      <c r="Y49" s="16"/>
      <c r="Z49" s="16"/>
      <c r="AA49" s="16"/>
      <c r="AB49" s="16"/>
      <c r="AC49" s="16"/>
      <c r="AD49" s="16"/>
      <c r="AE49" s="16"/>
      <c r="AF49" s="16"/>
      <c r="AG49" s="16"/>
      <c r="AH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32"/>
      <c r="M50" s="32"/>
      <c r="N50" s="32"/>
      <c r="O50" s="32"/>
      <c r="P50" s="32"/>
      <c r="Q50" s="32"/>
      <c r="R50" s="33"/>
      <c r="S50" s="36" t="s">
        <v>38</v>
      </c>
      <c r="T50" s="32" t="s">
        <v>35</v>
      </c>
      <c r="U50" s="32" t="s">
        <v>35</v>
      </c>
      <c r="V50" s="33">
        <v>20364.36</v>
      </c>
      <c r="W50" s="34">
        <f t="array" ref="W50">XLOOKUP(T50, 'Data jarak '!$A$2:$A$11, XLOOKUP(U50, 'Data jarak '!$B$1:$K$1, 'Data jarak '!$B$2:$K$11))</f>
        <v>0</v>
      </c>
      <c r="X50" s="16">
        <f t="shared" si="3"/>
        <v>0</v>
      </c>
      <c r="Y50" s="16"/>
      <c r="Z50" s="16"/>
      <c r="AA50" s="16"/>
      <c r="AB50" s="16"/>
      <c r="AC50" s="16"/>
      <c r="AD50" s="16"/>
      <c r="AE50" s="16"/>
      <c r="AF50" s="16"/>
      <c r="AG50" s="16"/>
      <c r="AH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32"/>
      <c r="M51" s="32"/>
      <c r="N51" s="32"/>
      <c r="O51" s="32"/>
      <c r="P51" s="32"/>
      <c r="Q51" s="32"/>
      <c r="R51" s="33"/>
      <c r="S51" s="36" t="s">
        <v>38</v>
      </c>
      <c r="T51" s="32" t="s">
        <v>40</v>
      </c>
      <c r="U51" s="32" t="s">
        <v>35</v>
      </c>
      <c r="V51" s="33">
        <v>1191.2</v>
      </c>
      <c r="W51" s="34">
        <f t="array" ref="W51">XLOOKUP(T51, 'Data jarak '!$A$2:$A$11, XLOOKUP(U51, 'Data jarak '!$B$1:$K$1, 'Data jarak '!$B$2:$K$11))</f>
        <v>403.0102</v>
      </c>
      <c r="X51" s="16">
        <f t="shared" si="3"/>
        <v>7200986.254</v>
      </c>
      <c r="Y51" s="16"/>
      <c r="Z51" s="16"/>
      <c r="AA51" s="16"/>
      <c r="AB51" s="16"/>
      <c r="AC51" s="16"/>
      <c r="AD51" s="16"/>
      <c r="AE51" s="16"/>
      <c r="AF51" s="16"/>
      <c r="AG51" s="16"/>
      <c r="AH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32"/>
      <c r="M52" s="32"/>
      <c r="N52" s="32"/>
      <c r="O52" s="32"/>
      <c r="P52" s="32"/>
      <c r="Q52" s="32"/>
      <c r="R52" s="33"/>
      <c r="S52" s="36" t="s">
        <v>38</v>
      </c>
      <c r="T52" s="32" t="s">
        <v>37</v>
      </c>
      <c r="U52" s="32" t="s">
        <v>37</v>
      </c>
      <c r="V52" s="33">
        <v>5911.52</v>
      </c>
      <c r="W52" s="34">
        <f t="array" ref="W52">XLOOKUP(T52, 'Data jarak '!$A$2:$A$11, XLOOKUP(U52, 'Data jarak '!$B$1:$K$1, 'Data jarak '!$B$2:$K$11))</f>
        <v>0</v>
      </c>
      <c r="X52" s="16">
        <f t="shared" si="3"/>
        <v>0</v>
      </c>
      <c r="Y52" s="16"/>
      <c r="Z52" s="16"/>
      <c r="AA52" s="16"/>
      <c r="AB52" s="16"/>
      <c r="AC52" s="16"/>
      <c r="AD52" s="16"/>
      <c r="AE52" s="16"/>
      <c r="AF52" s="16"/>
      <c r="AG52" s="16"/>
      <c r="AH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32"/>
      <c r="M53" s="32"/>
      <c r="N53" s="32"/>
      <c r="O53" s="32"/>
      <c r="P53" s="32"/>
      <c r="Q53" s="32"/>
      <c r="R53" s="33"/>
      <c r="S53" s="36" t="s">
        <v>33</v>
      </c>
      <c r="T53" s="32" t="s">
        <v>31</v>
      </c>
      <c r="U53" s="32" t="s">
        <v>31</v>
      </c>
      <c r="V53" s="33">
        <v>2334.6</v>
      </c>
      <c r="W53" s="34">
        <f t="array" ref="W53">XLOOKUP(T53, 'Data jarak '!$A$2:$A$11, XLOOKUP(U53, 'Data jarak '!$B$1:$K$1, 'Data jarak '!$B$2:$K$11))</f>
        <v>0</v>
      </c>
      <c r="X53" s="16">
        <f t="shared" si="3"/>
        <v>0</v>
      </c>
      <c r="Y53" s="16"/>
      <c r="Z53" s="16"/>
      <c r="AA53" s="16"/>
      <c r="AB53" s="16"/>
      <c r="AC53" s="16"/>
      <c r="AD53" s="16"/>
      <c r="AE53" s="16"/>
      <c r="AF53" s="16"/>
      <c r="AG53" s="16"/>
      <c r="AH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32"/>
      <c r="M54" s="32"/>
      <c r="N54" s="32"/>
      <c r="O54" s="32"/>
      <c r="P54" s="32"/>
      <c r="Q54" s="32"/>
      <c r="R54" s="33"/>
      <c r="S54" s="36" t="s">
        <v>33</v>
      </c>
      <c r="T54" s="32" t="s">
        <v>34</v>
      </c>
      <c r="U54" s="32" t="s">
        <v>33</v>
      </c>
      <c r="V54" s="33">
        <v>2285.37</v>
      </c>
      <c r="W54" s="34">
        <f t="array" ref="W54">XLOOKUP(T54, 'Data jarak '!$A$2:$A$11, XLOOKUP(U54, 'Data jarak '!$B$1:$K$1, 'Data jarak '!$B$2:$K$11))</f>
        <v>966.6815</v>
      </c>
      <c r="X54" s="16">
        <f t="shared" si="3"/>
        <v>33138373.49</v>
      </c>
      <c r="Y54" s="16"/>
      <c r="Z54" s="16"/>
      <c r="AA54" s="16"/>
      <c r="AB54" s="16"/>
      <c r="AC54" s="16"/>
      <c r="AD54" s="16"/>
      <c r="AE54" s="16"/>
      <c r="AF54" s="16"/>
      <c r="AG54" s="16"/>
      <c r="AH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32"/>
      <c r="M55" s="32"/>
      <c r="N55" s="32"/>
      <c r="O55" s="32"/>
      <c r="P55" s="32"/>
      <c r="Q55" s="32"/>
      <c r="R55" s="33"/>
      <c r="S55" s="36" t="s">
        <v>33</v>
      </c>
      <c r="T55" s="32" t="s">
        <v>36</v>
      </c>
      <c r="U55" s="32" t="s">
        <v>33</v>
      </c>
      <c r="V55" s="33">
        <v>2193.32</v>
      </c>
      <c r="W55" s="34">
        <f t="array" ref="W55">XLOOKUP(T55, 'Data jarak '!$A$2:$A$11, XLOOKUP(U55, 'Data jarak '!$B$1:$K$1, 'Data jarak '!$B$2:$K$11))</f>
        <v>397.4792</v>
      </c>
      <c r="X55" s="16">
        <f t="shared" si="3"/>
        <v>13076986.18</v>
      </c>
      <c r="Y55" s="16"/>
      <c r="Z55" s="16"/>
      <c r="AA55" s="16"/>
      <c r="AB55" s="16"/>
      <c r="AC55" s="16"/>
      <c r="AD55" s="16"/>
      <c r="AE55" s="16"/>
      <c r="AF55" s="16"/>
      <c r="AG55" s="16"/>
      <c r="AH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32"/>
      <c r="M56" s="32"/>
      <c r="N56" s="32"/>
      <c r="O56" s="32"/>
      <c r="P56" s="32"/>
      <c r="Q56" s="32"/>
      <c r="R56" s="33"/>
      <c r="S56" s="36" t="s">
        <v>33</v>
      </c>
      <c r="T56" s="32" t="s">
        <v>32</v>
      </c>
      <c r="U56" s="32" t="s">
        <v>33</v>
      </c>
      <c r="V56" s="33">
        <v>10240.56</v>
      </c>
      <c r="W56" s="34">
        <f t="array" ref="W56">XLOOKUP(T56, 'Data jarak '!$A$2:$A$11, XLOOKUP(U56, 'Data jarak '!$B$1:$K$1, 'Data jarak '!$B$2:$K$11))</f>
        <v>525.4495</v>
      </c>
      <c r="X56" s="16">
        <f t="shared" si="3"/>
        <v>80713456.98</v>
      </c>
      <c r="Y56" s="16"/>
      <c r="Z56" s="16"/>
      <c r="AA56" s="16"/>
      <c r="AB56" s="16"/>
      <c r="AC56" s="16"/>
      <c r="AD56" s="16"/>
      <c r="AE56" s="16"/>
      <c r="AF56" s="16"/>
      <c r="AG56" s="16"/>
      <c r="AH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32"/>
      <c r="M57" s="32"/>
      <c r="N57" s="32"/>
      <c r="O57" s="32"/>
      <c r="P57" s="32"/>
      <c r="Q57" s="32"/>
      <c r="R57" s="33"/>
      <c r="S57" s="36" t="s">
        <v>33</v>
      </c>
      <c r="T57" s="32" t="s">
        <v>38</v>
      </c>
      <c r="U57" s="32" t="s">
        <v>33</v>
      </c>
      <c r="V57" s="33">
        <v>2693.56</v>
      </c>
      <c r="W57" s="34">
        <f t="array" ref="W57">XLOOKUP(T57, 'Data jarak '!$A$2:$A$11, XLOOKUP(U57, 'Data jarak '!$B$1:$K$1, 'Data jarak '!$B$2:$K$11))</f>
        <v>176.4669</v>
      </c>
      <c r="X57" s="16">
        <f t="shared" si="3"/>
        <v>7129862.747</v>
      </c>
      <c r="Y57" s="16"/>
      <c r="Z57" s="16"/>
      <c r="AA57" s="16"/>
      <c r="AB57" s="16"/>
      <c r="AC57" s="16"/>
      <c r="AD57" s="16"/>
      <c r="AE57" s="16"/>
      <c r="AF57" s="16"/>
      <c r="AG57" s="16"/>
      <c r="AH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32"/>
      <c r="M58" s="32"/>
      <c r="N58" s="32"/>
      <c r="O58" s="32"/>
      <c r="P58" s="32"/>
      <c r="Q58" s="32"/>
      <c r="R58" s="33"/>
      <c r="S58" s="36" t="s">
        <v>33</v>
      </c>
      <c r="T58" s="32" t="s">
        <v>39</v>
      </c>
      <c r="U58" s="32" t="s">
        <v>33</v>
      </c>
      <c r="V58" s="33">
        <v>2535.32</v>
      </c>
      <c r="W58" s="34">
        <f t="array" ref="W58">XLOOKUP(T58, 'Data jarak '!$A$2:$A$11, XLOOKUP(U58, 'Data jarak '!$B$1:$K$1, 'Data jarak '!$B$2:$K$11))</f>
        <v>356.1662</v>
      </c>
      <c r="X58" s="16">
        <f t="shared" si="3"/>
        <v>13544929.35</v>
      </c>
      <c r="Y58" s="16"/>
      <c r="Z58" s="16"/>
      <c r="AA58" s="16"/>
      <c r="AB58" s="16"/>
      <c r="AC58" s="16"/>
      <c r="AD58" s="16"/>
      <c r="AE58" s="16"/>
      <c r="AF58" s="16"/>
      <c r="AG58" s="16"/>
      <c r="AH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32"/>
      <c r="M59" s="32"/>
      <c r="N59" s="32"/>
      <c r="O59" s="32"/>
      <c r="P59" s="32"/>
      <c r="Q59" s="32"/>
      <c r="R59" s="33"/>
      <c r="S59" s="36" t="s">
        <v>33</v>
      </c>
      <c r="T59" s="32" t="s">
        <v>35</v>
      </c>
      <c r="U59" s="32" t="s">
        <v>35</v>
      </c>
      <c r="V59" s="33">
        <v>33272.84</v>
      </c>
      <c r="W59" s="34">
        <f t="array" ref="W59">XLOOKUP(T59, 'Data jarak '!$A$2:$A$11, XLOOKUP(U59, 'Data jarak '!$B$1:$K$1, 'Data jarak '!$B$2:$K$11))</f>
        <v>0</v>
      </c>
      <c r="X59" s="16">
        <f t="shared" si="3"/>
        <v>0</v>
      </c>
      <c r="Y59" s="16"/>
      <c r="Z59" s="16"/>
      <c r="AA59" s="16"/>
      <c r="AB59" s="16"/>
      <c r="AC59" s="16"/>
      <c r="AD59" s="16"/>
      <c r="AE59" s="16"/>
      <c r="AF59" s="16"/>
      <c r="AG59" s="16"/>
      <c r="AH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32"/>
      <c r="M60" s="32"/>
      <c r="N60" s="32"/>
      <c r="O60" s="32"/>
      <c r="P60" s="32"/>
      <c r="Q60" s="32"/>
      <c r="R60" s="33"/>
      <c r="S60" s="36" t="s">
        <v>33</v>
      </c>
      <c r="T60" s="32" t="s">
        <v>40</v>
      </c>
      <c r="U60" s="32" t="s">
        <v>35</v>
      </c>
      <c r="V60" s="33">
        <v>2248.87</v>
      </c>
      <c r="W60" s="34">
        <f t="array" ref="W60">XLOOKUP(T60, 'Data jarak '!$A$2:$A$11, XLOOKUP(U60, 'Data jarak '!$B$1:$K$1, 'Data jarak '!$B$2:$K$11))</f>
        <v>403.0102</v>
      </c>
      <c r="X60" s="16">
        <f t="shared" si="3"/>
        <v>13594763.23</v>
      </c>
      <c r="Y60" s="16"/>
      <c r="Z60" s="16"/>
      <c r="AA60" s="16"/>
      <c r="AB60" s="16"/>
      <c r="AC60" s="16"/>
      <c r="AD60" s="16"/>
      <c r="AE60" s="16"/>
      <c r="AF60" s="16"/>
      <c r="AG60" s="16"/>
      <c r="AH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32"/>
      <c r="M61" s="32"/>
      <c r="N61" s="32"/>
      <c r="O61" s="32"/>
      <c r="P61" s="32"/>
      <c r="Q61" s="32"/>
      <c r="R61" s="33"/>
      <c r="S61" s="36" t="s">
        <v>33</v>
      </c>
      <c r="T61" s="32" t="s">
        <v>37</v>
      </c>
      <c r="U61" s="32" t="s">
        <v>37</v>
      </c>
      <c r="V61" s="33">
        <v>6665.76</v>
      </c>
      <c r="W61" s="34">
        <f t="array" ref="W61">XLOOKUP(T61, 'Data jarak '!$A$2:$A$11, XLOOKUP(U61, 'Data jarak '!$B$1:$K$1, 'Data jarak '!$B$2:$K$11))</f>
        <v>0</v>
      </c>
      <c r="X61" s="16">
        <f t="shared" si="3"/>
        <v>0</v>
      </c>
      <c r="Y61" s="16"/>
      <c r="Z61" s="16"/>
      <c r="AA61" s="16"/>
      <c r="AB61" s="16"/>
      <c r="AC61" s="16"/>
      <c r="AD61" s="16"/>
      <c r="AE61" s="16"/>
      <c r="AF61" s="16"/>
      <c r="AG61" s="16"/>
      <c r="AH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32"/>
      <c r="M62" s="32"/>
      <c r="N62" s="32"/>
      <c r="O62" s="32"/>
      <c r="P62" s="32"/>
      <c r="Q62" s="32"/>
      <c r="R62" s="33"/>
      <c r="S62" s="36" t="s">
        <v>39</v>
      </c>
      <c r="T62" s="32" t="s">
        <v>31</v>
      </c>
      <c r="U62" s="32" t="s">
        <v>31</v>
      </c>
      <c r="V62" s="33">
        <v>2873.96</v>
      </c>
      <c r="W62" s="34">
        <f t="array" ref="W62">XLOOKUP(T62, 'Data jarak '!$A$2:$A$11, XLOOKUP(U62, 'Data jarak '!$B$1:$K$1, 'Data jarak '!$B$2:$K$11))</f>
        <v>0</v>
      </c>
      <c r="X62" s="16">
        <f t="shared" si="3"/>
        <v>0</v>
      </c>
      <c r="Y62" s="16"/>
      <c r="Z62" s="16"/>
      <c r="AA62" s="16"/>
      <c r="AB62" s="16"/>
      <c r="AC62" s="16"/>
      <c r="AD62" s="16"/>
      <c r="AE62" s="16"/>
      <c r="AF62" s="16"/>
      <c r="AG62" s="16"/>
      <c r="AH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32"/>
      <c r="M63" s="32"/>
      <c r="N63" s="32"/>
      <c r="O63" s="32"/>
      <c r="P63" s="32"/>
      <c r="Q63" s="32"/>
      <c r="R63" s="33"/>
      <c r="S63" s="36" t="s">
        <v>39</v>
      </c>
      <c r="T63" s="32" t="s">
        <v>34</v>
      </c>
      <c r="U63" s="32" t="s">
        <v>33</v>
      </c>
      <c r="V63" s="33">
        <v>3207.09</v>
      </c>
      <c r="W63" s="34">
        <f t="array" ref="W63">XLOOKUP(T63, 'Data jarak '!$A$2:$A$11, XLOOKUP(U63, 'Data jarak '!$B$1:$K$1, 'Data jarak '!$B$2:$K$11))</f>
        <v>966.6815</v>
      </c>
      <c r="X63" s="16">
        <f t="shared" si="3"/>
        <v>46503518.58</v>
      </c>
      <c r="Y63" s="16"/>
      <c r="Z63" s="16"/>
      <c r="AA63" s="16"/>
      <c r="AB63" s="16"/>
      <c r="AC63" s="16"/>
      <c r="AD63" s="16"/>
      <c r="AE63" s="16"/>
      <c r="AF63" s="16"/>
      <c r="AG63" s="16"/>
      <c r="AH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32"/>
      <c r="M64" s="32"/>
      <c r="N64" s="32"/>
      <c r="O64" s="32"/>
      <c r="P64" s="32"/>
      <c r="Q64" s="32"/>
      <c r="R64" s="33"/>
      <c r="S64" s="36" t="s">
        <v>39</v>
      </c>
      <c r="T64" s="32" t="s">
        <v>36</v>
      </c>
      <c r="U64" s="32" t="s">
        <v>33</v>
      </c>
      <c r="V64" s="33">
        <v>22608.32</v>
      </c>
      <c r="W64" s="34">
        <f t="array" ref="W64">XLOOKUP(T64, 'Data jarak '!$A$2:$A$11, XLOOKUP(U64, 'Data jarak '!$B$1:$K$1, 'Data jarak '!$B$2:$K$11))</f>
        <v>397.4792</v>
      </c>
      <c r="X64" s="16">
        <f t="shared" si="3"/>
        <v>134795054.2</v>
      </c>
      <c r="Y64" s="16"/>
      <c r="Z64" s="16"/>
      <c r="AA64" s="16"/>
      <c r="AB64" s="16"/>
      <c r="AC64" s="16"/>
      <c r="AD64" s="16"/>
      <c r="AE64" s="16"/>
      <c r="AF64" s="16"/>
      <c r="AG64" s="16"/>
      <c r="AH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32"/>
      <c r="M65" s="32"/>
      <c r="N65" s="32"/>
      <c r="O65" s="32"/>
      <c r="P65" s="32"/>
      <c r="Q65" s="32"/>
      <c r="R65" s="33"/>
      <c r="S65" s="36" t="s">
        <v>39</v>
      </c>
      <c r="T65" s="32" t="s">
        <v>32</v>
      </c>
      <c r="U65" s="32" t="s">
        <v>33</v>
      </c>
      <c r="V65" s="33">
        <v>6602.08</v>
      </c>
      <c r="W65" s="34">
        <f t="array" ref="W65">XLOOKUP(T65, 'Data jarak '!$A$2:$A$11, XLOOKUP(U65, 'Data jarak '!$B$1:$K$1, 'Data jarak '!$B$2:$K$11))</f>
        <v>525.4495</v>
      </c>
      <c r="X65" s="16">
        <f t="shared" si="3"/>
        <v>52035894.52</v>
      </c>
      <c r="Y65" s="16"/>
      <c r="Z65" s="16"/>
      <c r="AA65" s="16"/>
      <c r="AB65" s="16"/>
      <c r="AC65" s="16"/>
      <c r="AD65" s="16"/>
      <c r="AE65" s="16"/>
      <c r="AF65" s="16"/>
      <c r="AG65" s="16"/>
      <c r="AH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32"/>
      <c r="M66" s="32"/>
      <c r="N66" s="32"/>
      <c r="O66" s="32"/>
      <c r="P66" s="32"/>
      <c r="Q66" s="32"/>
      <c r="R66" s="33"/>
      <c r="S66" s="36" t="s">
        <v>39</v>
      </c>
      <c r="T66" s="32" t="s">
        <v>38</v>
      </c>
      <c r="U66" s="32" t="s">
        <v>33</v>
      </c>
      <c r="V66" s="33">
        <v>1576.64</v>
      </c>
      <c r="W66" s="34">
        <f t="array" ref="W66">XLOOKUP(T66, 'Data jarak '!$A$2:$A$11, XLOOKUP(U66, 'Data jarak '!$B$1:$K$1, 'Data jarak '!$B$2:$K$11))</f>
        <v>176.4669</v>
      </c>
      <c r="X66" s="16">
        <f t="shared" si="3"/>
        <v>4173371.598</v>
      </c>
      <c r="Y66" s="16"/>
      <c r="Z66" s="16"/>
      <c r="AA66" s="16"/>
      <c r="AB66" s="16"/>
      <c r="AC66" s="16"/>
      <c r="AD66" s="16"/>
      <c r="AE66" s="16"/>
      <c r="AF66" s="16"/>
      <c r="AG66" s="16"/>
      <c r="AH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32"/>
      <c r="M67" s="32"/>
      <c r="N67" s="32"/>
      <c r="O67" s="32"/>
      <c r="P67" s="32"/>
      <c r="Q67" s="32"/>
      <c r="R67" s="33"/>
      <c r="S67" s="36" t="s">
        <v>39</v>
      </c>
      <c r="T67" s="32" t="s">
        <v>33</v>
      </c>
      <c r="U67" s="32" t="s">
        <v>33</v>
      </c>
      <c r="V67" s="33">
        <v>11335.92</v>
      </c>
      <c r="W67" s="34">
        <f t="array" ref="W67">XLOOKUP(T67, 'Data jarak '!$A$2:$A$11, XLOOKUP(U67, 'Data jarak '!$B$1:$K$1, 'Data jarak '!$B$2:$K$11))</f>
        <v>0</v>
      </c>
      <c r="X67" s="16">
        <f t="shared" si="3"/>
        <v>0</v>
      </c>
      <c r="Y67" s="16"/>
      <c r="Z67" s="16"/>
      <c r="AA67" s="16"/>
      <c r="AB67" s="16"/>
      <c r="AC67" s="16"/>
      <c r="AD67" s="16"/>
      <c r="AE67" s="16"/>
      <c r="AF67" s="16"/>
      <c r="AG67" s="16"/>
      <c r="AH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32"/>
      <c r="M68" s="32"/>
      <c r="N68" s="32"/>
      <c r="O68" s="32"/>
      <c r="P68" s="32"/>
      <c r="Q68" s="32"/>
      <c r="R68" s="33"/>
      <c r="S68" s="36" t="s">
        <v>39</v>
      </c>
      <c r="T68" s="32" t="s">
        <v>35</v>
      </c>
      <c r="U68" s="32" t="s">
        <v>35</v>
      </c>
      <c r="V68" s="33">
        <v>14964.48</v>
      </c>
      <c r="W68" s="34">
        <f t="array" ref="W68">XLOOKUP(T68, 'Data jarak '!$A$2:$A$11, XLOOKUP(U68, 'Data jarak '!$B$1:$K$1, 'Data jarak '!$B$2:$K$11))</f>
        <v>0</v>
      </c>
      <c r="X68" s="16">
        <f t="shared" si="3"/>
        <v>0</v>
      </c>
      <c r="Y68" s="16"/>
      <c r="Z68" s="16"/>
      <c r="AA68" s="16"/>
      <c r="AB68" s="16"/>
      <c r="AC68" s="16"/>
      <c r="AD68" s="16"/>
      <c r="AE68" s="16"/>
      <c r="AF68" s="16"/>
      <c r="AG68" s="16"/>
      <c r="AH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32"/>
      <c r="M69" s="32"/>
      <c r="N69" s="32"/>
      <c r="O69" s="32"/>
      <c r="P69" s="32"/>
      <c r="Q69" s="32"/>
      <c r="R69" s="33"/>
      <c r="S69" s="36" t="s">
        <v>39</v>
      </c>
      <c r="T69" s="32" t="s">
        <v>40</v>
      </c>
      <c r="U69" s="32" t="s">
        <v>35</v>
      </c>
      <c r="V69" s="33">
        <v>3552.95</v>
      </c>
      <c r="W69" s="34">
        <f t="array" ref="W69">XLOOKUP(T69, 'Data jarak '!$A$2:$A$11, XLOOKUP(U69, 'Data jarak '!$B$1:$K$1, 'Data jarak '!$B$2:$K$11))</f>
        <v>403.0102</v>
      </c>
      <c r="X69" s="16">
        <f t="shared" si="3"/>
        <v>21478126.35</v>
      </c>
      <c r="Y69" s="16"/>
      <c r="Z69" s="16"/>
      <c r="AA69" s="16"/>
      <c r="AB69" s="16"/>
      <c r="AC69" s="16"/>
      <c r="AD69" s="16"/>
      <c r="AE69" s="16"/>
      <c r="AF69" s="16"/>
      <c r="AG69" s="16"/>
      <c r="AH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32"/>
      <c r="M70" s="32"/>
      <c r="N70" s="32"/>
      <c r="O70" s="32"/>
      <c r="P70" s="32"/>
      <c r="Q70" s="32"/>
      <c r="R70" s="33"/>
      <c r="S70" s="36" t="s">
        <v>39</v>
      </c>
      <c r="T70" s="32" t="s">
        <v>37</v>
      </c>
      <c r="U70" s="32" t="s">
        <v>37</v>
      </c>
      <c r="V70" s="33">
        <v>8546.4</v>
      </c>
      <c r="W70" s="34">
        <f t="array" ref="W70">XLOOKUP(T70, 'Data jarak '!$A$2:$A$11, XLOOKUP(U70, 'Data jarak '!$B$1:$K$1, 'Data jarak '!$B$2:$K$11))</f>
        <v>0</v>
      </c>
      <c r="X70" s="16">
        <f t="shared" si="3"/>
        <v>0</v>
      </c>
      <c r="Y70" s="16"/>
      <c r="Z70" s="16"/>
      <c r="AA70" s="16"/>
      <c r="AB70" s="16"/>
      <c r="AC70" s="16"/>
      <c r="AD70" s="16"/>
      <c r="AE70" s="16"/>
      <c r="AF70" s="16"/>
      <c r="AG70" s="16"/>
      <c r="AH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32"/>
      <c r="M71" s="32"/>
      <c r="N71" s="32"/>
      <c r="O71" s="32"/>
      <c r="P71" s="32"/>
      <c r="Q71" s="32"/>
      <c r="R71" s="33"/>
      <c r="S71" s="36" t="s">
        <v>35</v>
      </c>
      <c r="T71" s="32" t="s">
        <v>31</v>
      </c>
      <c r="U71" s="32" t="s">
        <v>31</v>
      </c>
      <c r="V71" s="33">
        <v>30724.48</v>
      </c>
      <c r="W71" s="34">
        <f t="array" ref="W71">XLOOKUP(T71, 'Data jarak '!$A$2:$A$11, XLOOKUP(U71, 'Data jarak '!$B$1:$K$1, 'Data jarak '!$B$2:$K$11))</f>
        <v>0</v>
      </c>
      <c r="X71" s="16">
        <f t="shared" si="3"/>
        <v>0</v>
      </c>
      <c r="Y71" s="16"/>
      <c r="Z71" s="16"/>
      <c r="AA71" s="16"/>
      <c r="AB71" s="16"/>
      <c r="AC71" s="16"/>
      <c r="AD71" s="16"/>
      <c r="AE71" s="16"/>
      <c r="AF71" s="16"/>
      <c r="AG71" s="16"/>
      <c r="AH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32"/>
      <c r="M72" s="32"/>
      <c r="N72" s="32"/>
      <c r="O72" s="32"/>
      <c r="P72" s="32"/>
      <c r="Q72" s="32"/>
      <c r="R72" s="33"/>
      <c r="S72" s="36" t="s">
        <v>35</v>
      </c>
      <c r="T72" s="32" t="s">
        <v>34</v>
      </c>
      <c r="U72" s="32" t="s">
        <v>33</v>
      </c>
      <c r="V72" s="33">
        <v>6826.26</v>
      </c>
      <c r="W72" s="34">
        <f t="array" ref="W72">XLOOKUP(T72, 'Data jarak '!$A$2:$A$11, XLOOKUP(U72, 'Data jarak '!$B$1:$K$1, 'Data jarak '!$B$2:$K$11))</f>
        <v>966.6815</v>
      </c>
      <c r="X72" s="16">
        <f t="shared" si="3"/>
        <v>98982288.84</v>
      </c>
      <c r="Y72" s="16"/>
      <c r="Z72" s="16"/>
      <c r="AA72" s="16"/>
      <c r="AB72" s="16"/>
      <c r="AC72" s="16"/>
      <c r="AD72" s="16"/>
      <c r="AE72" s="16"/>
      <c r="AF72" s="16"/>
      <c r="AG72" s="16"/>
      <c r="AH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32"/>
      <c r="M73" s="32"/>
      <c r="N73" s="32"/>
      <c r="O73" s="32"/>
      <c r="P73" s="32"/>
      <c r="Q73" s="32"/>
      <c r="R73" s="33"/>
      <c r="S73" s="36" t="s">
        <v>35</v>
      </c>
      <c r="T73" s="32" t="s">
        <v>36</v>
      </c>
      <c r="U73" s="32" t="s">
        <v>33</v>
      </c>
      <c r="V73" s="33">
        <v>12802.76</v>
      </c>
      <c r="W73" s="34">
        <f t="array" ref="W73">XLOOKUP(T73, 'Data jarak '!$A$2:$A$11, XLOOKUP(U73, 'Data jarak '!$B$1:$K$1, 'Data jarak '!$B$2:$K$11))</f>
        <v>397.4792</v>
      </c>
      <c r="X73" s="16">
        <f t="shared" si="3"/>
        <v>76332462.04</v>
      </c>
      <c r="Y73" s="16"/>
      <c r="Z73" s="16"/>
      <c r="AA73" s="16"/>
      <c r="AB73" s="16"/>
      <c r="AC73" s="16"/>
      <c r="AD73" s="16"/>
      <c r="AE73" s="16"/>
      <c r="AF73" s="16"/>
      <c r="AG73" s="16"/>
      <c r="AH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32"/>
      <c r="M74" s="32"/>
      <c r="N74" s="32"/>
      <c r="O74" s="32"/>
      <c r="P74" s="32"/>
      <c r="Q74" s="32"/>
      <c r="R74" s="33"/>
      <c r="S74" s="36" t="s">
        <v>35</v>
      </c>
      <c r="T74" s="32" t="s">
        <v>32</v>
      </c>
      <c r="U74" s="32" t="s">
        <v>33</v>
      </c>
      <c r="V74" s="33">
        <v>72304.0</v>
      </c>
      <c r="W74" s="34">
        <f t="array" ref="W74">XLOOKUP(T74, 'Data jarak '!$A$2:$A$11, XLOOKUP(U74, 'Data jarak '!$B$1:$K$1, 'Data jarak '!$B$2:$K$11))</f>
        <v>525.4495</v>
      </c>
      <c r="X74" s="16">
        <f t="shared" si="3"/>
        <v>569881509.7</v>
      </c>
      <c r="Y74" s="16"/>
      <c r="Z74" s="16"/>
      <c r="AA74" s="16"/>
      <c r="AB74" s="16"/>
      <c r="AC74" s="16"/>
      <c r="AD74" s="16"/>
      <c r="AE74" s="16"/>
      <c r="AF74" s="16"/>
      <c r="AG74" s="16"/>
      <c r="AH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32"/>
      <c r="M75" s="32"/>
      <c r="N75" s="32"/>
      <c r="O75" s="32"/>
      <c r="P75" s="32"/>
      <c r="Q75" s="32"/>
      <c r="R75" s="33"/>
      <c r="S75" s="36" t="s">
        <v>35</v>
      </c>
      <c r="T75" s="32" t="s">
        <v>38</v>
      </c>
      <c r="U75" s="32" t="s">
        <v>33</v>
      </c>
      <c r="V75" s="33">
        <v>34996.76</v>
      </c>
      <c r="W75" s="34">
        <f t="array" ref="W75">XLOOKUP(T75, 'Data jarak '!$A$2:$A$11, XLOOKUP(U75, 'Data jarak '!$B$1:$K$1, 'Data jarak '!$B$2:$K$11))</f>
        <v>176.4669</v>
      </c>
      <c r="X75" s="16">
        <f t="shared" si="3"/>
        <v>92636546.21</v>
      </c>
      <c r="Y75" s="16"/>
      <c r="Z75" s="16"/>
      <c r="AA75" s="16"/>
      <c r="AB75" s="16"/>
      <c r="AC75" s="16"/>
      <c r="AD75" s="16"/>
      <c r="AE75" s="16"/>
      <c r="AF75" s="16"/>
      <c r="AG75" s="16"/>
      <c r="AH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32"/>
      <c r="M76" s="32"/>
      <c r="N76" s="32"/>
      <c r="O76" s="32"/>
      <c r="P76" s="32"/>
      <c r="Q76" s="32"/>
      <c r="R76" s="33"/>
      <c r="S76" s="36" t="s">
        <v>35</v>
      </c>
      <c r="T76" s="32" t="s">
        <v>33</v>
      </c>
      <c r="U76" s="32" t="s">
        <v>33</v>
      </c>
      <c r="V76" s="33">
        <v>121568.92</v>
      </c>
      <c r="W76" s="34">
        <f t="array" ref="W76">XLOOKUP(T76, 'Data jarak '!$A$2:$A$11, XLOOKUP(U76, 'Data jarak '!$B$1:$K$1, 'Data jarak '!$B$2:$K$11))</f>
        <v>0</v>
      </c>
      <c r="X76" s="16">
        <f t="shared" si="3"/>
        <v>0</v>
      </c>
      <c r="Y76" s="16"/>
      <c r="Z76" s="16"/>
      <c r="AA76" s="16"/>
      <c r="AB76" s="16"/>
      <c r="AC76" s="16"/>
      <c r="AD76" s="16"/>
      <c r="AE76" s="16"/>
      <c r="AF76" s="16"/>
      <c r="AG76" s="16"/>
      <c r="AH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32"/>
      <c r="M77" s="32"/>
      <c r="N77" s="32"/>
      <c r="O77" s="32"/>
      <c r="P77" s="32"/>
      <c r="Q77" s="32"/>
      <c r="R77" s="33"/>
      <c r="S77" s="36" t="s">
        <v>35</v>
      </c>
      <c r="T77" s="32" t="s">
        <v>39</v>
      </c>
      <c r="U77" s="32" t="s">
        <v>35</v>
      </c>
      <c r="V77" s="33">
        <v>16938.64</v>
      </c>
      <c r="W77" s="34">
        <f t="array" ref="W77">XLOOKUP(T77, 'Data jarak '!$A$2:$A$11, XLOOKUP(U77, 'Data jarak '!$B$1:$K$1, 'Data jarak '!$B$2:$K$11))</f>
        <v>186.18</v>
      </c>
      <c r="X77" s="16">
        <f t="shared" si="3"/>
        <v>47304539.93</v>
      </c>
      <c r="Y77" s="16"/>
      <c r="Z77" s="16"/>
      <c r="AA77" s="16"/>
      <c r="AB77" s="16"/>
      <c r="AC77" s="16"/>
      <c r="AD77" s="16"/>
      <c r="AE77" s="16"/>
      <c r="AF77" s="16"/>
      <c r="AG77" s="16"/>
      <c r="AH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32"/>
      <c r="M78" s="32"/>
      <c r="N78" s="32"/>
      <c r="O78" s="32"/>
      <c r="P78" s="32"/>
      <c r="Q78" s="32"/>
      <c r="R78" s="33"/>
      <c r="S78" s="36" t="s">
        <v>35</v>
      </c>
      <c r="T78" s="32" t="s">
        <v>40</v>
      </c>
      <c r="U78" s="32" t="s">
        <v>35</v>
      </c>
      <c r="V78" s="33">
        <v>23542.82</v>
      </c>
      <c r="W78" s="34">
        <f t="array" ref="W78">XLOOKUP(T78, 'Data jarak '!$A$2:$A$11, XLOOKUP(U78, 'Data jarak '!$B$1:$K$1, 'Data jarak '!$B$2:$K$11))</f>
        <v>403.0102</v>
      </c>
      <c r="X78" s="16">
        <f t="shared" si="3"/>
        <v>142319949</v>
      </c>
      <c r="Y78" s="16"/>
      <c r="Z78" s="16"/>
      <c r="AA78" s="16"/>
      <c r="AB78" s="16"/>
      <c r="AC78" s="16"/>
      <c r="AD78" s="16"/>
      <c r="AE78" s="16"/>
      <c r="AF78" s="16"/>
      <c r="AG78" s="16"/>
      <c r="AH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32"/>
      <c r="M79" s="32"/>
      <c r="N79" s="32"/>
      <c r="O79" s="32"/>
      <c r="P79" s="32"/>
      <c r="Q79" s="32"/>
      <c r="R79" s="33"/>
      <c r="S79" s="36" t="s">
        <v>35</v>
      </c>
      <c r="T79" s="32" t="s">
        <v>37</v>
      </c>
      <c r="U79" s="32" t="s">
        <v>37</v>
      </c>
      <c r="V79" s="33">
        <v>101245.44</v>
      </c>
      <c r="W79" s="34">
        <f t="array" ref="W79">XLOOKUP(T79, 'Data jarak '!$A$2:$A$11, XLOOKUP(U79, 'Data jarak '!$B$1:$K$1, 'Data jarak '!$B$2:$K$11))</f>
        <v>0</v>
      </c>
      <c r="X79" s="16">
        <f t="shared" si="3"/>
        <v>0</v>
      </c>
      <c r="Y79" s="16"/>
      <c r="Z79" s="16"/>
      <c r="AA79" s="16"/>
      <c r="AB79" s="16"/>
      <c r="AC79" s="16"/>
      <c r="AD79" s="16"/>
      <c r="AE79" s="16"/>
      <c r="AF79" s="16"/>
      <c r="AG79" s="16"/>
      <c r="AH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32"/>
      <c r="M80" s="32"/>
      <c r="N80" s="32"/>
      <c r="O80" s="32"/>
      <c r="P80" s="32"/>
      <c r="Q80" s="32"/>
      <c r="R80" s="33"/>
      <c r="S80" s="36" t="s">
        <v>40</v>
      </c>
      <c r="T80" s="32" t="s">
        <v>31</v>
      </c>
      <c r="U80" s="32" t="s">
        <v>31</v>
      </c>
      <c r="V80" s="33">
        <v>535.69</v>
      </c>
      <c r="W80" s="34">
        <f t="array" ref="W80">XLOOKUP(T80, 'Data jarak '!$A$2:$A$11, XLOOKUP(U80, 'Data jarak '!$B$1:$K$1, 'Data jarak '!$B$2:$K$11))</f>
        <v>0</v>
      </c>
      <c r="X80" s="16">
        <f t="shared" si="3"/>
        <v>0</v>
      </c>
      <c r="Y80" s="16"/>
      <c r="Z80" s="16"/>
      <c r="AA80" s="16"/>
      <c r="AB80" s="16"/>
      <c r="AC80" s="16"/>
      <c r="AD80" s="16"/>
      <c r="AE80" s="16"/>
      <c r="AF80" s="16"/>
      <c r="AG80" s="16"/>
      <c r="AH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32"/>
      <c r="M81" s="32"/>
      <c r="N81" s="32"/>
      <c r="O81" s="32"/>
      <c r="P81" s="32"/>
      <c r="Q81" s="32"/>
      <c r="R81" s="33"/>
      <c r="S81" s="36" t="s">
        <v>40</v>
      </c>
      <c r="T81" s="32" t="s">
        <v>34</v>
      </c>
      <c r="U81" s="32" t="s">
        <v>33</v>
      </c>
      <c r="V81" s="33">
        <v>1238.12</v>
      </c>
      <c r="W81" s="34">
        <f t="array" ref="W81">XLOOKUP(T81, 'Data jarak '!$A$2:$A$11, XLOOKUP(U81, 'Data jarak '!$B$1:$K$1, 'Data jarak '!$B$2:$K$11))</f>
        <v>966.6815</v>
      </c>
      <c r="X81" s="16">
        <f t="shared" si="3"/>
        <v>17953015.48</v>
      </c>
      <c r="Y81" s="16"/>
      <c r="Z81" s="16"/>
      <c r="AA81" s="16"/>
      <c r="AB81" s="16"/>
      <c r="AC81" s="16"/>
      <c r="AD81" s="16"/>
      <c r="AE81" s="16"/>
      <c r="AF81" s="16"/>
      <c r="AG81" s="16"/>
      <c r="AH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32"/>
      <c r="M82" s="32"/>
      <c r="N82" s="32"/>
      <c r="O82" s="32"/>
      <c r="P82" s="32"/>
      <c r="Q82" s="32"/>
      <c r="R82" s="33"/>
      <c r="S82" s="36" t="s">
        <v>40</v>
      </c>
      <c r="T82" s="32" t="s">
        <v>36</v>
      </c>
      <c r="U82" s="32" t="s">
        <v>33</v>
      </c>
      <c r="V82" s="33">
        <v>540.3</v>
      </c>
      <c r="W82" s="34">
        <f t="array" ref="W82">XLOOKUP(T82, 'Data jarak '!$A$2:$A$11, XLOOKUP(U82, 'Data jarak '!$B$1:$K$1, 'Data jarak '!$B$2:$K$11))</f>
        <v>397.4792</v>
      </c>
      <c r="X82" s="16">
        <f t="shared" si="3"/>
        <v>3221370.176</v>
      </c>
      <c r="Y82" s="16"/>
      <c r="Z82" s="16"/>
      <c r="AA82" s="16"/>
      <c r="AB82" s="16"/>
      <c r="AC82" s="16"/>
      <c r="AD82" s="16"/>
      <c r="AE82" s="16"/>
      <c r="AF82" s="16"/>
      <c r="AG82" s="16"/>
      <c r="AH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32"/>
      <c r="M83" s="32"/>
      <c r="N83" s="32"/>
      <c r="O83" s="32"/>
      <c r="P83" s="32"/>
      <c r="Q83" s="32"/>
      <c r="R83" s="33"/>
      <c r="S83" s="36" t="s">
        <v>40</v>
      </c>
      <c r="T83" s="32" t="s">
        <v>32</v>
      </c>
      <c r="U83" s="32" t="s">
        <v>33</v>
      </c>
      <c r="V83" s="33">
        <v>1578.11</v>
      </c>
      <c r="W83" s="34">
        <f t="array" ref="W83">XLOOKUP(T83, 'Data jarak '!$A$2:$A$11, XLOOKUP(U83, 'Data jarak '!$B$1:$K$1, 'Data jarak '!$B$2:$K$11))</f>
        <v>525.4495</v>
      </c>
      <c r="X83" s="16">
        <f t="shared" si="3"/>
        <v>12438256.66</v>
      </c>
      <c r="Y83" s="16"/>
      <c r="Z83" s="16"/>
      <c r="AA83" s="16"/>
      <c r="AB83" s="16"/>
      <c r="AC83" s="16"/>
      <c r="AD83" s="16"/>
      <c r="AE83" s="16"/>
      <c r="AF83" s="16"/>
      <c r="AG83" s="16"/>
      <c r="AH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32"/>
      <c r="M84" s="32"/>
      <c r="N84" s="32"/>
      <c r="O84" s="32"/>
      <c r="P84" s="32"/>
      <c r="Q84" s="32"/>
      <c r="R84" s="33"/>
      <c r="S84" s="36" t="s">
        <v>40</v>
      </c>
      <c r="T84" s="32" t="s">
        <v>38</v>
      </c>
      <c r="U84" s="32" t="s">
        <v>33</v>
      </c>
      <c r="V84" s="33">
        <v>310.92</v>
      </c>
      <c r="W84" s="34">
        <f t="array" ref="W84">XLOOKUP(T84, 'Data jarak '!$A$2:$A$11, XLOOKUP(U84, 'Data jarak '!$B$1:$K$1, 'Data jarak '!$B$2:$K$11))</f>
        <v>176.4669</v>
      </c>
      <c r="X84" s="16">
        <f t="shared" si="3"/>
        <v>823006.3282</v>
      </c>
      <c r="Y84" s="16"/>
      <c r="Z84" s="16"/>
      <c r="AA84" s="16"/>
      <c r="AB84" s="16"/>
      <c r="AC84" s="16"/>
      <c r="AD84" s="16"/>
      <c r="AE84" s="16"/>
      <c r="AF84" s="16"/>
      <c r="AG84" s="16"/>
      <c r="AH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32"/>
      <c r="M85" s="32"/>
      <c r="N85" s="32"/>
      <c r="O85" s="32"/>
      <c r="P85" s="32"/>
      <c r="Q85" s="32"/>
      <c r="R85" s="33"/>
      <c r="S85" s="36" t="s">
        <v>40</v>
      </c>
      <c r="T85" s="32" t="s">
        <v>33</v>
      </c>
      <c r="U85" s="32" t="s">
        <v>33</v>
      </c>
      <c r="V85" s="33">
        <v>2948.54</v>
      </c>
      <c r="W85" s="34">
        <f t="array" ref="W85">XLOOKUP(T85, 'Data jarak '!$A$2:$A$11, XLOOKUP(U85, 'Data jarak '!$B$1:$K$1, 'Data jarak '!$B$2:$K$11))</f>
        <v>0</v>
      </c>
      <c r="X85" s="16">
        <f t="shared" si="3"/>
        <v>0</v>
      </c>
      <c r="Y85" s="16"/>
      <c r="Z85" s="16"/>
      <c r="AA85" s="16"/>
      <c r="AB85" s="16"/>
      <c r="AC85" s="16"/>
      <c r="AD85" s="16"/>
      <c r="AE85" s="16"/>
      <c r="AF85" s="16"/>
      <c r="AG85" s="16"/>
      <c r="AH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32"/>
      <c r="M86" s="32"/>
      <c r="N86" s="32"/>
      <c r="O86" s="32"/>
      <c r="P86" s="32"/>
      <c r="Q86" s="32"/>
      <c r="R86" s="33"/>
      <c r="S86" s="36" t="s">
        <v>40</v>
      </c>
      <c r="T86" s="32" t="s">
        <v>39</v>
      </c>
      <c r="U86" s="32" t="s">
        <v>35</v>
      </c>
      <c r="V86" s="33">
        <v>663.27</v>
      </c>
      <c r="W86" s="34">
        <f t="array" ref="W86">XLOOKUP(T86, 'Data jarak '!$A$2:$A$11, XLOOKUP(U86, 'Data jarak '!$B$1:$K$1, 'Data jarak '!$B$2:$K$11))</f>
        <v>186.18</v>
      </c>
      <c r="X86" s="16">
        <f t="shared" si="3"/>
        <v>1852314.129</v>
      </c>
      <c r="Y86" s="16"/>
      <c r="Z86" s="16"/>
      <c r="AA86" s="16"/>
      <c r="AB86" s="16"/>
      <c r="AC86" s="16"/>
      <c r="AD86" s="16"/>
      <c r="AE86" s="16"/>
      <c r="AF86" s="16"/>
      <c r="AG86" s="16"/>
      <c r="AH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32"/>
      <c r="M87" s="32"/>
      <c r="N87" s="32"/>
      <c r="O87" s="32"/>
      <c r="P87" s="32"/>
      <c r="Q87" s="32"/>
      <c r="R87" s="33"/>
      <c r="S87" s="36" t="s">
        <v>40</v>
      </c>
      <c r="T87" s="32" t="s">
        <v>35</v>
      </c>
      <c r="U87" s="32" t="s">
        <v>35</v>
      </c>
      <c r="V87" s="33">
        <v>4287.94</v>
      </c>
      <c r="W87" s="34">
        <f t="array" ref="W87">XLOOKUP(T87, 'Data jarak '!$A$2:$A$11, XLOOKUP(U87, 'Data jarak '!$B$1:$K$1, 'Data jarak '!$B$2:$K$11))</f>
        <v>0</v>
      </c>
      <c r="X87" s="16">
        <f t="shared" si="3"/>
        <v>0</v>
      </c>
      <c r="Y87" s="16"/>
      <c r="Z87" s="16"/>
      <c r="AA87" s="16"/>
      <c r="AB87" s="16"/>
      <c r="AC87" s="16"/>
      <c r="AD87" s="16"/>
      <c r="AE87" s="16"/>
      <c r="AF87" s="16"/>
      <c r="AG87" s="16"/>
      <c r="AH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32"/>
      <c r="M88" s="32"/>
      <c r="N88" s="32"/>
      <c r="O88" s="32"/>
      <c r="P88" s="32"/>
      <c r="Q88" s="32"/>
      <c r="R88" s="33"/>
      <c r="S88" s="36" t="s">
        <v>40</v>
      </c>
      <c r="T88" s="32" t="s">
        <v>37</v>
      </c>
      <c r="U88" s="32" t="s">
        <v>37</v>
      </c>
      <c r="V88" s="33">
        <v>1785.4</v>
      </c>
      <c r="W88" s="34">
        <f t="array" ref="W88">XLOOKUP(T88, 'Data jarak '!$A$2:$A$11, XLOOKUP(U88, 'Data jarak '!$B$1:$K$1, 'Data jarak '!$B$2:$K$11))</f>
        <v>0</v>
      </c>
      <c r="X88" s="16">
        <f t="shared" si="3"/>
        <v>0</v>
      </c>
      <c r="Y88" s="16"/>
      <c r="Z88" s="16"/>
      <c r="AA88" s="16"/>
      <c r="AB88" s="16"/>
      <c r="AC88" s="16"/>
      <c r="AD88" s="16"/>
      <c r="AE88" s="16"/>
      <c r="AF88" s="16"/>
      <c r="AG88" s="16"/>
      <c r="AH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32"/>
      <c r="M89" s="32"/>
      <c r="N89" s="32"/>
      <c r="O89" s="32"/>
      <c r="P89" s="32"/>
      <c r="Q89" s="32"/>
      <c r="R89" s="33"/>
      <c r="S89" s="36" t="s">
        <v>37</v>
      </c>
      <c r="T89" s="32" t="s">
        <v>31</v>
      </c>
      <c r="U89" s="32" t="s">
        <v>31</v>
      </c>
      <c r="V89" s="33">
        <v>29981.56</v>
      </c>
      <c r="W89" s="34">
        <f t="array" ref="W89">XLOOKUP(T89, 'Data jarak '!$A$2:$A$11, XLOOKUP(U89, 'Data jarak '!$B$1:$K$1, 'Data jarak '!$B$2:$K$11))</f>
        <v>0</v>
      </c>
      <c r="X89" s="16">
        <f t="shared" si="3"/>
        <v>0</v>
      </c>
      <c r="Y89" s="16"/>
      <c r="Z89" s="16"/>
      <c r="AA89" s="16"/>
      <c r="AB89" s="16"/>
      <c r="AC89" s="16"/>
      <c r="AD89" s="16"/>
      <c r="AE89" s="16"/>
      <c r="AF89" s="16"/>
      <c r="AG89" s="16"/>
      <c r="AH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32"/>
      <c r="M90" s="32"/>
      <c r="N90" s="32"/>
      <c r="O90" s="32"/>
      <c r="P90" s="32"/>
      <c r="Q90" s="32"/>
      <c r="R90" s="33"/>
      <c r="S90" s="36" t="s">
        <v>37</v>
      </c>
      <c r="T90" s="32" t="s">
        <v>34</v>
      </c>
      <c r="U90" s="32" t="s">
        <v>33</v>
      </c>
      <c r="V90" s="33">
        <v>2231.22</v>
      </c>
      <c r="W90" s="34">
        <f t="array" ref="W90">XLOOKUP(T90, 'Data jarak '!$A$2:$A$11, XLOOKUP(U90, 'Data jarak '!$B$1:$K$1, 'Data jarak '!$B$2:$K$11))</f>
        <v>966.6815</v>
      </c>
      <c r="X90" s="16">
        <f t="shared" si="3"/>
        <v>32353186.45</v>
      </c>
      <c r="Y90" s="16"/>
      <c r="Z90" s="16"/>
      <c r="AA90" s="16"/>
      <c r="AB90" s="16"/>
      <c r="AC90" s="16"/>
      <c r="AD90" s="16"/>
      <c r="AE90" s="16"/>
      <c r="AF90" s="16"/>
      <c r="AG90" s="16"/>
      <c r="AH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32"/>
      <c r="M91" s="32"/>
      <c r="N91" s="32"/>
      <c r="O91" s="32"/>
      <c r="P91" s="32"/>
      <c r="Q91" s="32"/>
      <c r="R91" s="33"/>
      <c r="S91" s="36" t="s">
        <v>37</v>
      </c>
      <c r="T91" s="32" t="s">
        <v>36</v>
      </c>
      <c r="U91" s="32" t="s">
        <v>33</v>
      </c>
      <c r="V91" s="33">
        <v>3648.96</v>
      </c>
      <c r="W91" s="34">
        <f t="array" ref="W91">XLOOKUP(T91, 'Data jarak '!$A$2:$A$11, XLOOKUP(U91, 'Data jarak '!$B$1:$K$1, 'Data jarak '!$B$2:$K$11))</f>
        <v>397.4792</v>
      </c>
      <c r="X91" s="16">
        <f t="shared" si="3"/>
        <v>21755785.52</v>
      </c>
      <c r="Y91" s="16"/>
      <c r="Z91" s="16"/>
      <c r="AA91" s="16"/>
      <c r="AB91" s="16"/>
      <c r="AC91" s="16"/>
      <c r="AD91" s="16"/>
      <c r="AE91" s="16"/>
      <c r="AF91" s="16"/>
      <c r="AG91" s="16"/>
      <c r="AH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32"/>
      <c r="M92" s="32"/>
      <c r="N92" s="32"/>
      <c r="O92" s="32"/>
      <c r="P92" s="32"/>
      <c r="Q92" s="32"/>
      <c r="R92" s="33"/>
      <c r="S92" s="36" t="s">
        <v>37</v>
      </c>
      <c r="T92" s="32" t="s">
        <v>32</v>
      </c>
      <c r="U92" s="32" t="s">
        <v>33</v>
      </c>
      <c r="V92" s="33">
        <v>35048.12</v>
      </c>
      <c r="W92" s="34">
        <f t="array" ref="W92">XLOOKUP(T92, 'Data jarak '!$A$2:$A$11, XLOOKUP(U92, 'Data jarak '!$B$1:$K$1, 'Data jarak '!$B$2:$K$11))</f>
        <v>525.4495</v>
      </c>
      <c r="X92" s="16">
        <f t="shared" si="3"/>
        <v>276240256.9</v>
      </c>
      <c r="Y92" s="16"/>
      <c r="Z92" s="16"/>
      <c r="AA92" s="16"/>
      <c r="AB92" s="16"/>
      <c r="AC92" s="16"/>
      <c r="AD92" s="16"/>
      <c r="AE92" s="16"/>
      <c r="AF92" s="16"/>
      <c r="AG92" s="16"/>
      <c r="AH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32"/>
      <c r="M93" s="32"/>
      <c r="N93" s="32"/>
      <c r="O93" s="32"/>
      <c r="P93" s="32"/>
      <c r="Q93" s="32"/>
      <c r="R93" s="33"/>
      <c r="S93" s="36" t="s">
        <v>37</v>
      </c>
      <c r="T93" s="32" t="s">
        <v>38</v>
      </c>
      <c r="U93" s="32" t="s">
        <v>33</v>
      </c>
      <c r="V93" s="33">
        <v>4802.16</v>
      </c>
      <c r="W93" s="34">
        <f t="array" ref="W93">XLOOKUP(T93, 'Data jarak '!$A$2:$A$11, XLOOKUP(U93, 'Data jarak '!$B$1:$K$1, 'Data jarak '!$B$2:$K$11))</f>
        <v>176.4669</v>
      </c>
      <c r="X93" s="16">
        <f t="shared" si="3"/>
        <v>12711334.33</v>
      </c>
      <c r="Y93" s="16"/>
      <c r="Z93" s="16"/>
      <c r="AA93" s="16"/>
      <c r="AB93" s="16"/>
      <c r="AC93" s="16"/>
      <c r="AD93" s="16"/>
      <c r="AE93" s="16"/>
      <c r="AF93" s="16"/>
      <c r="AG93" s="16"/>
      <c r="AH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32"/>
      <c r="M94" s="32"/>
      <c r="N94" s="32"/>
      <c r="O94" s="32"/>
      <c r="P94" s="32"/>
      <c r="Q94" s="32"/>
      <c r="R94" s="33"/>
      <c r="S94" s="36" t="s">
        <v>37</v>
      </c>
      <c r="T94" s="32" t="s">
        <v>33</v>
      </c>
      <c r="U94" s="32" t="s">
        <v>33</v>
      </c>
      <c r="V94" s="33">
        <v>19692.68</v>
      </c>
      <c r="W94" s="34">
        <f t="array" ref="W94">XLOOKUP(T94, 'Data jarak '!$A$2:$A$11, XLOOKUP(U94, 'Data jarak '!$B$1:$K$1, 'Data jarak '!$B$2:$K$11))</f>
        <v>0</v>
      </c>
      <c r="X94" s="16">
        <f t="shared" si="3"/>
        <v>0</v>
      </c>
      <c r="Y94" s="16"/>
      <c r="Z94" s="16"/>
      <c r="AA94" s="16"/>
      <c r="AB94" s="16"/>
      <c r="AC94" s="16"/>
      <c r="AD94" s="16"/>
      <c r="AE94" s="16"/>
      <c r="AF94" s="16"/>
      <c r="AG94" s="16"/>
      <c r="AH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32"/>
      <c r="M95" s="32"/>
      <c r="N95" s="32"/>
      <c r="O95" s="32"/>
      <c r="P95" s="32"/>
      <c r="Q95" s="32"/>
      <c r="R95" s="33"/>
      <c r="S95" s="36" t="s">
        <v>37</v>
      </c>
      <c r="T95" s="32" t="s">
        <v>39</v>
      </c>
      <c r="U95" s="32" t="s">
        <v>35</v>
      </c>
      <c r="V95" s="33">
        <v>4405.52</v>
      </c>
      <c r="W95" s="34">
        <f t="array" ref="W95">XLOOKUP(T95, 'Data jarak '!$A$2:$A$11, XLOOKUP(U95, 'Data jarak '!$B$1:$K$1, 'Data jarak '!$B$2:$K$11))</f>
        <v>186.18</v>
      </c>
      <c r="X95" s="16">
        <f t="shared" si="3"/>
        <v>12303295.7</v>
      </c>
      <c r="Y95" s="16"/>
      <c r="Z95" s="16"/>
      <c r="AA95" s="16"/>
      <c r="AB95" s="16"/>
      <c r="AC95" s="16"/>
      <c r="AD95" s="16"/>
      <c r="AE95" s="16"/>
      <c r="AF95" s="16"/>
      <c r="AG95" s="16"/>
      <c r="AH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32"/>
      <c r="M96" s="32"/>
      <c r="N96" s="32"/>
      <c r="O96" s="32"/>
      <c r="P96" s="32"/>
      <c r="Q96" s="32"/>
      <c r="R96" s="33"/>
      <c r="S96" s="36" t="s">
        <v>37</v>
      </c>
      <c r="T96" s="32" t="s">
        <v>35</v>
      </c>
      <c r="U96" s="32" t="s">
        <v>35</v>
      </c>
      <c r="V96" s="33">
        <v>51923.64</v>
      </c>
      <c r="W96" s="34">
        <f t="array" ref="W96">XLOOKUP(T96, 'Data jarak '!$A$2:$A$11, XLOOKUP(U96, 'Data jarak '!$B$1:$K$1, 'Data jarak '!$B$2:$K$11))</f>
        <v>0</v>
      </c>
      <c r="X96" s="16">
        <f t="shared" si="3"/>
        <v>0</v>
      </c>
      <c r="Y96" s="16"/>
      <c r="Z96" s="16"/>
      <c r="AA96" s="16"/>
      <c r="AB96" s="16"/>
      <c r="AC96" s="16"/>
      <c r="AD96" s="16"/>
      <c r="AE96" s="16"/>
      <c r="AF96" s="16"/>
      <c r="AG96" s="16"/>
      <c r="AH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32"/>
      <c r="M97" s="32"/>
      <c r="N97" s="32"/>
      <c r="O97" s="32"/>
      <c r="P97" s="32"/>
      <c r="Q97" s="32"/>
      <c r="R97" s="33"/>
      <c r="S97" s="36" t="s">
        <v>37</v>
      </c>
      <c r="T97" s="32" t="s">
        <v>40</v>
      </c>
      <c r="U97" s="32" t="s">
        <v>37</v>
      </c>
      <c r="V97" s="33">
        <v>4601.38</v>
      </c>
      <c r="W97" s="34">
        <f t="array" ref="W97">XLOOKUP(T97, 'Data jarak '!$A$2:$A$11, XLOOKUP(U97, 'Data jarak '!$B$1:$K$1, 'Data jarak '!$B$2:$K$11))</f>
        <v>256.303</v>
      </c>
      <c r="X97" s="16">
        <f t="shared" si="3"/>
        <v>17690212.47</v>
      </c>
      <c r="Y97" s="16"/>
      <c r="Z97" s="16"/>
      <c r="AA97" s="16"/>
      <c r="AB97" s="16"/>
      <c r="AC97" s="16"/>
      <c r="AD97" s="16"/>
      <c r="AE97" s="16"/>
      <c r="AF97" s="16"/>
      <c r="AG97" s="16"/>
      <c r="AH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32"/>
      <c r="M98" s="32"/>
      <c r="N98" s="32"/>
      <c r="O98" s="32"/>
      <c r="P98" s="32"/>
      <c r="Q98" s="32"/>
      <c r="R98" s="33"/>
      <c r="S98" s="24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32"/>
      <c r="M99" s="32"/>
      <c r="N99" s="32"/>
      <c r="O99" s="32"/>
      <c r="P99" s="32"/>
      <c r="Q99" s="32"/>
      <c r="R99" s="33"/>
      <c r="S99" s="24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32"/>
      <c r="M100" s="32"/>
      <c r="N100" s="32"/>
      <c r="O100" s="32"/>
      <c r="P100" s="32"/>
      <c r="Q100" s="32"/>
      <c r="R100" s="33"/>
      <c r="S100" s="24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32"/>
      <c r="M101" s="32"/>
      <c r="N101" s="32"/>
      <c r="O101" s="32"/>
      <c r="P101" s="32"/>
      <c r="Q101" s="32"/>
      <c r="R101" s="33"/>
      <c r="S101" s="24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32"/>
      <c r="M102" s="32"/>
      <c r="N102" s="32"/>
      <c r="O102" s="32"/>
      <c r="P102" s="32"/>
      <c r="Q102" s="32"/>
      <c r="R102" s="33"/>
      <c r="S102" s="24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32"/>
      <c r="M103" s="32"/>
      <c r="N103" s="32"/>
      <c r="O103" s="32"/>
      <c r="P103" s="32"/>
      <c r="Q103" s="32"/>
      <c r="R103" s="33"/>
      <c r="S103" s="24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32"/>
      <c r="M104" s="32"/>
      <c r="N104" s="32"/>
      <c r="O104" s="32"/>
      <c r="P104" s="32"/>
      <c r="Q104" s="32"/>
      <c r="R104" s="33"/>
      <c r="S104" s="24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32"/>
      <c r="M105" s="32"/>
      <c r="N105" s="32"/>
      <c r="O105" s="32"/>
      <c r="P105" s="32"/>
      <c r="Q105" s="32"/>
      <c r="R105" s="33"/>
      <c r="S105" s="24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32"/>
      <c r="M106" s="32"/>
      <c r="N106" s="32"/>
      <c r="O106" s="32"/>
      <c r="P106" s="32"/>
      <c r="Q106" s="32"/>
      <c r="R106" s="33"/>
      <c r="S106" s="24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32"/>
      <c r="M107" s="32"/>
      <c r="N107" s="32"/>
      <c r="O107" s="32"/>
      <c r="P107" s="32"/>
      <c r="Q107" s="32"/>
      <c r="R107" s="33"/>
      <c r="S107" s="24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32"/>
      <c r="M108" s="32"/>
      <c r="N108" s="32"/>
      <c r="O108" s="32"/>
      <c r="P108" s="32"/>
      <c r="Q108" s="32"/>
      <c r="R108" s="33"/>
      <c r="S108" s="24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32"/>
      <c r="M109" s="32"/>
      <c r="N109" s="32"/>
      <c r="O109" s="32"/>
      <c r="P109" s="32"/>
      <c r="Q109" s="32"/>
      <c r="R109" s="33"/>
      <c r="S109" s="24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32"/>
      <c r="M110" s="32"/>
      <c r="N110" s="32"/>
      <c r="O110" s="32"/>
      <c r="P110" s="32"/>
      <c r="Q110" s="32"/>
      <c r="R110" s="33"/>
      <c r="S110" s="24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32"/>
      <c r="M111" s="32"/>
      <c r="N111" s="32"/>
      <c r="O111" s="32"/>
      <c r="P111" s="32"/>
      <c r="Q111" s="32"/>
      <c r="R111" s="33"/>
      <c r="S111" s="24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</row>
    <row r="100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6"/>
    </row>
    <row r="1002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6"/>
      <c r="AH1002" s="16"/>
    </row>
  </sheetData>
  <mergeCells count="5">
    <mergeCell ref="A6:B6"/>
    <mergeCell ref="D6:F6"/>
    <mergeCell ref="K6:N6"/>
    <mergeCell ref="S6:V6"/>
    <mergeCell ref="Z7:AE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7.5"/>
    <col customWidth="1" min="3" max="3" width="14.75"/>
    <col customWidth="1" min="4" max="4" width="15.63"/>
    <col customWidth="1" min="7" max="7" width="14.88"/>
    <col customWidth="1" min="12" max="12" width="15.88"/>
  </cols>
  <sheetData>
    <row r="1">
      <c r="A1" s="18"/>
      <c r="B1" s="18"/>
      <c r="C1" s="16"/>
      <c r="D1" s="18" t="s">
        <v>50</v>
      </c>
      <c r="E1" s="18" t="s">
        <v>51</v>
      </c>
      <c r="F1" s="18" t="s">
        <v>52</v>
      </c>
      <c r="G1" s="16"/>
      <c r="H1" s="16"/>
      <c r="I1" s="18" t="s">
        <v>3</v>
      </c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>
      <c r="A2" s="16"/>
      <c r="B2" s="16"/>
      <c r="C2" s="18" t="s">
        <v>11</v>
      </c>
      <c r="D2" s="19" t="str">
        <f>sum(H8:H23)</f>
        <v>#N/A</v>
      </c>
      <c r="E2" s="19">
        <f>sum(Q8:Q31)</f>
        <v>8314943468</v>
      </c>
      <c r="F2" s="20">
        <f>sum(X8:X97)</f>
        <v>2441143641</v>
      </c>
      <c r="G2" s="19" t="str">
        <f>sum(D2:F2)</f>
        <v>#N/A</v>
      </c>
      <c r="H2" s="19"/>
      <c r="I2" s="29">
        <v>1.2313570417E10</v>
      </c>
      <c r="J2" s="19" t="str">
        <f>G2-I2</f>
        <v>#N/A</v>
      </c>
      <c r="K2" s="16"/>
      <c r="L2" s="39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</row>
    <row r="3">
      <c r="A3" s="18" t="s">
        <v>53</v>
      </c>
      <c r="B3" s="18">
        <v>15.0</v>
      </c>
      <c r="D3" s="16"/>
      <c r="E3" s="16"/>
      <c r="F3" s="16"/>
      <c r="G3" s="18" t="s">
        <v>54</v>
      </c>
      <c r="H3" s="18"/>
      <c r="I3" s="18"/>
      <c r="J3" s="18"/>
      <c r="K3" s="16"/>
      <c r="L3" s="20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</row>
    <row r="4">
      <c r="A4" s="18" t="s">
        <v>16</v>
      </c>
      <c r="B4" s="18">
        <v>0.75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</row>
    <row r="5">
      <c r="A5" s="18"/>
      <c r="B5" s="18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</row>
    <row r="6">
      <c r="A6" s="21" t="s">
        <v>17</v>
      </c>
      <c r="C6" s="16"/>
      <c r="D6" s="21" t="s">
        <v>55</v>
      </c>
      <c r="G6" s="16"/>
      <c r="H6" s="16"/>
      <c r="I6" s="16"/>
      <c r="J6" s="16"/>
      <c r="K6" s="21" t="s">
        <v>56</v>
      </c>
      <c r="O6" s="21"/>
      <c r="P6" s="21"/>
      <c r="Q6" s="21"/>
      <c r="R6" s="16"/>
      <c r="S6" s="21" t="s">
        <v>57</v>
      </c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7">
      <c r="A7" s="30" t="s">
        <v>21</v>
      </c>
      <c r="B7" s="30" t="s">
        <v>22</v>
      </c>
      <c r="C7" s="18"/>
      <c r="D7" s="30" t="s">
        <v>23</v>
      </c>
      <c r="E7" s="30" t="s">
        <v>17</v>
      </c>
      <c r="F7" s="30" t="s">
        <v>24</v>
      </c>
      <c r="G7" s="18" t="s">
        <v>58</v>
      </c>
      <c r="H7" s="18" t="s">
        <v>29</v>
      </c>
      <c r="I7" s="18"/>
      <c r="J7" s="18"/>
      <c r="K7" s="30" t="s">
        <v>23</v>
      </c>
      <c r="L7" s="30" t="s">
        <v>25</v>
      </c>
      <c r="M7" s="30" t="s">
        <v>26</v>
      </c>
      <c r="N7" s="30" t="s">
        <v>27</v>
      </c>
      <c r="O7" s="31"/>
      <c r="P7" s="31" t="s">
        <v>58</v>
      </c>
      <c r="Q7" s="31" t="s">
        <v>29</v>
      </c>
      <c r="R7" s="31"/>
      <c r="S7" s="30" t="s">
        <v>23</v>
      </c>
      <c r="T7" s="30" t="s">
        <v>59</v>
      </c>
      <c r="U7" s="30" t="s">
        <v>17</v>
      </c>
      <c r="V7" s="30" t="s">
        <v>27</v>
      </c>
      <c r="W7" s="18" t="s">
        <v>58</v>
      </c>
      <c r="X7" s="18" t="s">
        <v>29</v>
      </c>
      <c r="Y7" s="16"/>
      <c r="Z7" s="25" t="s">
        <v>41</v>
      </c>
      <c r="AA7" s="26"/>
      <c r="AB7" s="26"/>
      <c r="AC7" s="26"/>
      <c r="AD7" s="26"/>
      <c r="AE7" s="6"/>
      <c r="AF7" s="16"/>
      <c r="AG7" s="16"/>
      <c r="AH7" s="16"/>
    </row>
    <row r="8">
      <c r="A8" s="32" t="s">
        <v>31</v>
      </c>
      <c r="B8" s="33">
        <v>0.0</v>
      </c>
      <c r="C8" s="18"/>
      <c r="D8" s="32" t="s">
        <v>31</v>
      </c>
      <c r="E8" s="32" t="s">
        <v>33</v>
      </c>
      <c r="F8" s="33">
        <v>219823.16</v>
      </c>
      <c r="G8" s="34">
        <f t="array" ref="G8">XLOOKUP(D8, 'Data jarak '!$A$2:$A$11, XLOOKUP(E8, 'Data jarak '!$B$1:$K$1, 'Data jarak '!$B$2:$K$11))</f>
        <v>1362.65</v>
      </c>
      <c r="H8" s="18">
        <f t="shared" ref="H8:H23" si="1">$B$3*F8*G8</f>
        <v>4493130435</v>
      </c>
      <c r="I8" s="18"/>
      <c r="J8" s="18"/>
      <c r="K8" s="32" t="s">
        <v>31</v>
      </c>
      <c r="L8" s="32" t="s">
        <v>31</v>
      </c>
      <c r="M8" s="32" t="s">
        <v>33</v>
      </c>
      <c r="N8" s="33">
        <v>10334.68</v>
      </c>
      <c r="O8" s="33"/>
      <c r="P8" s="34">
        <f t="array" ref="P8">XLOOKUP(L8, 'Data jarak '!$A$2:$A$11, XLOOKUP(M8, 'Data jarak '!$B$1:$K$1, 'Data jarak '!$B$2:$K$11))</f>
        <v>1362.65</v>
      </c>
      <c r="Q8" s="33">
        <f t="shared" ref="Q8:Q31" si="2">$B$3*$B$4*N8*P8</f>
        <v>158428706.6</v>
      </c>
      <c r="R8" s="33"/>
      <c r="S8" s="32" t="s">
        <v>31</v>
      </c>
      <c r="T8" s="32" t="s">
        <v>34</v>
      </c>
      <c r="U8" s="32" t="s">
        <v>31</v>
      </c>
      <c r="V8" s="33">
        <v>1460.8</v>
      </c>
      <c r="W8" s="34">
        <f t="array" ref="W8">XLOOKUP(T8, 'Data jarak '!$A$2:$A$11, XLOOKUP(U8, 'Data jarak '!$B$1:$K$1, 'Data jarak '!$B$2:$K$11))</f>
        <v>404.8972</v>
      </c>
      <c r="X8" s="16">
        <f t="shared" ref="X8:X97" si="3">$B$3*V8*W8</f>
        <v>8872107.446</v>
      </c>
      <c r="Y8" s="16"/>
      <c r="Z8" s="27" t="s">
        <v>42</v>
      </c>
      <c r="AA8" s="27" t="s">
        <v>43</v>
      </c>
      <c r="AB8" s="27" t="s">
        <v>44</v>
      </c>
      <c r="AC8" s="27" t="s">
        <v>45</v>
      </c>
      <c r="AD8" s="27" t="s">
        <v>46</v>
      </c>
      <c r="AE8" s="27" t="s">
        <v>47</v>
      </c>
      <c r="AF8" s="16"/>
      <c r="AG8" s="16"/>
      <c r="AH8" s="16"/>
    </row>
    <row r="9">
      <c r="A9" s="32" t="s">
        <v>34</v>
      </c>
      <c r="B9" s="33">
        <v>0.0</v>
      </c>
      <c r="C9" s="18"/>
      <c r="D9" s="32" t="s">
        <v>34</v>
      </c>
      <c r="E9" s="32" t="s">
        <v>33</v>
      </c>
      <c r="F9" s="33">
        <v>113722.62</v>
      </c>
      <c r="G9" s="34">
        <f t="array" ref="G9">XLOOKUP(D9, 'Data jarak '!$A$2:$A$11, XLOOKUP(E9, 'Data jarak '!$B$1:$K$1, 'Data jarak '!$B$2:$K$11))</f>
        <v>966.6815</v>
      </c>
      <c r="H9" s="18">
        <f t="shared" si="1"/>
        <v>1649003293</v>
      </c>
      <c r="I9" s="18"/>
      <c r="J9" s="18"/>
      <c r="K9" s="32" t="s">
        <v>31</v>
      </c>
      <c r="L9" s="32" t="s">
        <v>31</v>
      </c>
      <c r="M9" s="32" t="s">
        <v>35</v>
      </c>
      <c r="N9" s="33">
        <v>26992.84</v>
      </c>
      <c r="O9" s="33"/>
      <c r="P9" s="34">
        <f t="array" ref="P9">XLOOKUP(L9, 'Data jarak '!$A$2:$A$11, XLOOKUP(M9, 'Data jarak '!$B$1:$K$1, 'Data jarak '!$B$2:$K$11))</f>
        <v>1810.495</v>
      </c>
      <c r="Q9" s="33">
        <f t="shared" si="2"/>
        <v>549792020.9</v>
      </c>
      <c r="R9" s="33"/>
      <c r="S9" s="32" t="s">
        <v>31</v>
      </c>
      <c r="T9" s="32" t="s">
        <v>36</v>
      </c>
      <c r="U9" s="32" t="s">
        <v>31</v>
      </c>
      <c r="V9" s="33">
        <v>1864.4</v>
      </c>
      <c r="W9" s="34">
        <f t="array" ref="W9">XLOOKUP(T9, 'Data jarak '!$A$2:$A$11, XLOOKUP(U9, 'Data jarak '!$B$1:$K$1, 'Data jarak '!$B$2:$K$11))</f>
        <v>1061.869</v>
      </c>
      <c r="X9" s="16">
        <f t="shared" si="3"/>
        <v>29696228.45</v>
      </c>
      <c r="Y9" s="16"/>
      <c r="Z9" s="27" t="s">
        <v>31</v>
      </c>
      <c r="AA9" s="27" t="s">
        <v>37</v>
      </c>
      <c r="AB9" s="27" t="s">
        <v>32</v>
      </c>
      <c r="AC9" s="27" t="s">
        <v>48</v>
      </c>
      <c r="AD9" s="27" t="s">
        <v>37</v>
      </c>
      <c r="AE9" s="27" t="s">
        <v>49</v>
      </c>
      <c r="AF9" s="16"/>
      <c r="AG9" s="16"/>
      <c r="AH9" s="16"/>
    </row>
    <row r="10">
      <c r="A10" s="32" t="s">
        <v>36</v>
      </c>
      <c r="B10" s="33">
        <v>0.0</v>
      </c>
      <c r="C10" s="18"/>
      <c r="D10" s="32" t="s">
        <v>36</v>
      </c>
      <c r="E10" s="32" t="s">
        <v>33</v>
      </c>
      <c r="F10" s="33">
        <v>127542.2</v>
      </c>
      <c r="G10" s="34">
        <f t="array" ref="G10">XLOOKUP(D10, 'Data jarak '!$A$2:$A$11, XLOOKUP(E10, 'Data jarak '!$B$1:$K$1, 'Data jarak '!$B$2:$K$11))</f>
        <v>397.4792</v>
      </c>
      <c r="H10" s="18">
        <f t="shared" si="1"/>
        <v>760430574.3</v>
      </c>
      <c r="I10" s="18"/>
      <c r="J10" s="18"/>
      <c r="K10" s="32" t="s">
        <v>31</v>
      </c>
      <c r="L10" s="32" t="s">
        <v>31</v>
      </c>
      <c r="M10" s="32" t="s">
        <v>37</v>
      </c>
      <c r="N10" s="33">
        <v>70439.32</v>
      </c>
      <c r="O10" s="33"/>
      <c r="P10" s="34">
        <f t="array" ref="P10">XLOOKUP(L10, 'Data jarak '!$A$2:$A$11, XLOOKUP(M10, 'Data jarak '!$B$1:$K$1, 'Data jarak '!$B$2:$K$11))</f>
        <v>2382.411</v>
      </c>
      <c r="Q10" s="33">
        <f t="shared" si="2"/>
        <v>1887923372</v>
      </c>
      <c r="R10" s="33"/>
      <c r="S10" s="32" t="s">
        <v>31</v>
      </c>
      <c r="T10" s="32" t="s">
        <v>32</v>
      </c>
      <c r="U10" s="32" t="s">
        <v>31</v>
      </c>
      <c r="V10" s="33">
        <v>11535.68</v>
      </c>
      <c r="W10" s="34">
        <f t="array" ref="W10">XLOOKUP(T10, 'Data jarak '!$A$2:$A$11, XLOOKUP(U10, 'Data jarak '!$B$1:$K$1, 'Data jarak '!$B$2:$K$11))</f>
        <v>909.2041</v>
      </c>
      <c r="X10" s="16">
        <f t="shared" si="3"/>
        <v>157324313.3</v>
      </c>
      <c r="Y10" s="16"/>
      <c r="Z10" s="27" t="s">
        <v>36</v>
      </c>
      <c r="AA10" s="27" t="s">
        <v>35</v>
      </c>
      <c r="AB10" s="27" t="s">
        <v>35</v>
      </c>
      <c r="AC10" s="27" t="s">
        <v>60</v>
      </c>
      <c r="AD10" s="27" t="s">
        <v>35</v>
      </c>
      <c r="AE10" s="27" t="s">
        <v>49</v>
      </c>
      <c r="AF10" s="16"/>
      <c r="AG10" s="16"/>
      <c r="AH10" s="16"/>
    </row>
    <row r="11">
      <c r="A11" s="32" t="s">
        <v>32</v>
      </c>
      <c r="B11" s="33">
        <v>0.0</v>
      </c>
      <c r="C11" s="18"/>
      <c r="D11" s="32" t="s">
        <v>32</v>
      </c>
      <c r="E11" s="32" t="s">
        <v>33</v>
      </c>
      <c r="F11" s="33">
        <v>149109.44</v>
      </c>
      <c r="G11" s="34">
        <f t="array" ref="G11">XLOOKUP(D11, 'Data jarak '!$A$2:$A$11, XLOOKUP(E11, 'Data jarak '!$B$1:$K$1, 'Data jarak '!$B$2:$K$11))</f>
        <v>525.4495</v>
      </c>
      <c r="H11" s="18">
        <f t="shared" si="1"/>
        <v>1175242210</v>
      </c>
      <c r="I11" s="18"/>
      <c r="J11" s="18"/>
      <c r="K11" s="32" t="s">
        <v>34</v>
      </c>
      <c r="L11" s="32" t="s">
        <v>33</v>
      </c>
      <c r="M11" s="32" t="s">
        <v>35</v>
      </c>
      <c r="N11" s="33">
        <v>9718.65</v>
      </c>
      <c r="O11" s="33"/>
      <c r="P11" s="34">
        <f t="array" ref="P11">XLOOKUP(L11, 'Data jarak '!$A$2:$A$11, XLOOKUP(M11, 'Data jarak '!$B$1:$K$1, 'Data jarak '!$B$2:$K$11))</f>
        <v>475.5078</v>
      </c>
      <c r="Q11" s="33">
        <f t="shared" si="2"/>
        <v>51989556.16</v>
      </c>
      <c r="R11" s="33"/>
      <c r="S11" s="32" t="s">
        <v>31</v>
      </c>
      <c r="T11" s="32" t="s">
        <v>38</v>
      </c>
      <c r="U11" s="32" t="s">
        <v>31</v>
      </c>
      <c r="V11" s="33">
        <v>2464.44</v>
      </c>
      <c r="W11" s="34">
        <f t="array" ref="W11">XLOOKUP(T11, 'Data jarak '!$A$2:$A$11, XLOOKUP(U11, 'Data jarak '!$B$1:$K$1, 'Data jarak '!$B$2:$K$11))</f>
        <v>1187.826</v>
      </c>
      <c r="X11" s="16">
        <f t="shared" si="3"/>
        <v>43909888.61</v>
      </c>
      <c r="Y11" s="16"/>
      <c r="Z11" s="27" t="s">
        <v>38</v>
      </c>
      <c r="AA11" s="27" t="s">
        <v>33</v>
      </c>
      <c r="AB11" s="27" t="s">
        <v>33</v>
      </c>
      <c r="AC11" s="27" t="s">
        <v>60</v>
      </c>
      <c r="AD11" s="27" t="s">
        <v>33</v>
      </c>
      <c r="AE11" s="27" t="s">
        <v>49</v>
      </c>
      <c r="AF11" s="16"/>
      <c r="AG11" s="16"/>
      <c r="AH11" s="16"/>
    </row>
    <row r="12">
      <c r="A12" s="32" t="s">
        <v>38</v>
      </c>
      <c r="B12" s="33">
        <v>0.0</v>
      </c>
      <c r="C12" s="18"/>
      <c r="D12" s="32" t="s">
        <v>38</v>
      </c>
      <c r="E12" s="32" t="s">
        <v>33</v>
      </c>
      <c r="F12" s="33">
        <v>92596.28</v>
      </c>
      <c r="G12" s="34">
        <f t="array" ref="G12">XLOOKUP(D12, 'Data jarak '!$A$2:$A$11, XLOOKUP(E12, 'Data jarak '!$B$1:$K$1, 'Data jarak '!$B$2:$K$11))</f>
        <v>176.4669</v>
      </c>
      <c r="H12" s="18">
        <f t="shared" si="1"/>
        <v>245102677.2</v>
      </c>
      <c r="I12" s="18"/>
      <c r="J12" s="18"/>
      <c r="K12" s="32" t="s">
        <v>34</v>
      </c>
      <c r="L12" s="32" t="s">
        <v>33</v>
      </c>
      <c r="M12" s="32" t="s">
        <v>37</v>
      </c>
      <c r="N12" s="33">
        <v>4136.76</v>
      </c>
      <c r="O12" s="33"/>
      <c r="P12" s="34">
        <f t="array" ref="P12">XLOOKUP(L12, 'Data jarak '!$A$2:$A$11, XLOOKUP(M12, 'Data jarak '!$B$1:$K$1, 'Data jarak '!$B$2:$K$11))</f>
        <v>1024.79</v>
      </c>
      <c r="Q12" s="33">
        <f t="shared" si="2"/>
        <v>47692240.65</v>
      </c>
      <c r="R12" s="33"/>
      <c r="S12" s="32" t="s">
        <v>31</v>
      </c>
      <c r="T12" s="32" t="s">
        <v>33</v>
      </c>
      <c r="U12" s="32" t="s">
        <v>33</v>
      </c>
      <c r="V12" s="33">
        <v>7952.0</v>
      </c>
      <c r="W12" s="34">
        <f t="array" ref="W12">XLOOKUP(T12, 'Data jarak '!$A$2:$A$11, XLOOKUP(U12, 'Data jarak '!$B$1:$K$1, 'Data jarak '!$B$2:$K$11))</f>
        <v>0</v>
      </c>
      <c r="X12" s="16">
        <f t="shared" si="3"/>
        <v>0</v>
      </c>
      <c r="Y12" s="16"/>
      <c r="Z12" s="27" t="s">
        <v>39</v>
      </c>
      <c r="AA12" s="27" t="s">
        <v>32</v>
      </c>
      <c r="AB12" s="27" t="s">
        <v>32</v>
      </c>
      <c r="AC12" s="27" t="s">
        <v>60</v>
      </c>
      <c r="AD12" s="27" t="s">
        <v>32</v>
      </c>
      <c r="AE12" s="27" t="s">
        <v>49</v>
      </c>
      <c r="AF12" s="16"/>
      <c r="AG12" s="16"/>
      <c r="AH12" s="16"/>
    </row>
    <row r="13">
      <c r="A13" s="32" t="s">
        <v>33</v>
      </c>
      <c r="B13" s="33">
        <v>1.0</v>
      </c>
      <c r="C13" s="18"/>
      <c r="D13" s="32" t="s">
        <v>33</v>
      </c>
      <c r="E13" s="32" t="s">
        <v>33</v>
      </c>
      <c r="F13" s="33">
        <v>356464.08</v>
      </c>
      <c r="G13" s="34">
        <f t="array" ref="G13">XLOOKUP(D13, 'Data jarak '!$A$2:$A$11, XLOOKUP(E13, 'Data jarak '!$B$1:$K$1, 'Data jarak '!$B$2:$K$11))</f>
        <v>0</v>
      </c>
      <c r="H13" s="18">
        <f t="shared" si="1"/>
        <v>0</v>
      </c>
      <c r="I13" s="18"/>
      <c r="J13" s="18"/>
      <c r="K13" s="32" t="s">
        <v>36</v>
      </c>
      <c r="L13" s="32" t="s">
        <v>33</v>
      </c>
      <c r="M13" s="32" t="s">
        <v>35</v>
      </c>
      <c r="N13" s="33">
        <v>5883.31</v>
      </c>
      <c r="O13" s="33"/>
      <c r="P13" s="34">
        <f t="array" ref="P13">XLOOKUP(L13, 'Data jarak '!$A$2:$A$11, XLOOKUP(M13, 'Data jarak '!$B$1:$K$1, 'Data jarak '!$B$2:$K$11))</f>
        <v>475.5078</v>
      </c>
      <c r="Q13" s="33">
        <f t="shared" si="2"/>
        <v>31472547.69</v>
      </c>
      <c r="R13" s="33"/>
      <c r="S13" s="32" t="s">
        <v>31</v>
      </c>
      <c r="T13" s="32" t="s">
        <v>39</v>
      </c>
      <c r="U13" s="32" t="s">
        <v>33</v>
      </c>
      <c r="V13" s="33">
        <v>2382.68</v>
      </c>
      <c r="W13" s="34">
        <f t="array" ref="W13">XLOOKUP(T13, 'Data jarak '!$A$2:$A$11, XLOOKUP(U13, 'Data jarak '!$B$1:$K$1, 'Data jarak '!$B$2:$K$11))</f>
        <v>356.1662</v>
      </c>
      <c r="X13" s="16">
        <f t="shared" si="3"/>
        <v>12729451.22</v>
      </c>
      <c r="Y13" s="16"/>
      <c r="Z13" s="27" t="s">
        <v>40</v>
      </c>
      <c r="AA13" s="27" t="s">
        <v>34</v>
      </c>
      <c r="AB13" s="27" t="s">
        <v>35</v>
      </c>
      <c r="AC13" s="27" t="s">
        <v>48</v>
      </c>
      <c r="AD13" s="27" t="s">
        <v>32</v>
      </c>
      <c r="AE13" s="27" t="s">
        <v>49</v>
      </c>
      <c r="AF13" s="16"/>
      <c r="AG13" s="16"/>
      <c r="AH13" s="16"/>
    </row>
    <row r="14">
      <c r="A14" s="32" t="s">
        <v>39</v>
      </c>
      <c r="B14" s="33">
        <v>0.0</v>
      </c>
      <c r="C14" s="18"/>
      <c r="D14" s="32" t="s">
        <v>39</v>
      </c>
      <c r="E14" s="32" t="s">
        <v>35</v>
      </c>
      <c r="F14" s="33">
        <v>314649.32</v>
      </c>
      <c r="G14" s="34">
        <f t="array" ref="G14">XLOOKUP(D14, 'Data jarak '!$A$2:$A$11, XLOOKUP(E14, 'Data jarak '!$B$1:$K$1, 'Data jarak '!$B$2:$K$11))</f>
        <v>186.18</v>
      </c>
      <c r="H14" s="18">
        <f t="shared" si="1"/>
        <v>878721156</v>
      </c>
      <c r="I14" s="18"/>
      <c r="J14" s="18"/>
      <c r="K14" s="32" t="s">
        <v>36</v>
      </c>
      <c r="L14" s="32" t="s">
        <v>33</v>
      </c>
      <c r="M14" s="32" t="s">
        <v>37</v>
      </c>
      <c r="N14" s="33">
        <v>2415.04</v>
      </c>
      <c r="O14" s="33"/>
      <c r="P14" s="34">
        <f t="array" ref="P14">XLOOKUP(L14, 'Data jarak '!$A$2:$A$11, XLOOKUP(M14, 'Data jarak '!$B$1:$K$1, 'Data jarak '!$B$2:$K$11))</f>
        <v>1024.79</v>
      </c>
      <c r="Q14" s="33">
        <f t="shared" si="2"/>
        <v>27842724.47</v>
      </c>
      <c r="R14" s="16"/>
      <c r="S14" s="32" t="s">
        <v>31</v>
      </c>
      <c r="T14" s="32" t="s">
        <v>35</v>
      </c>
      <c r="U14" s="32" t="s">
        <v>35</v>
      </c>
      <c r="V14" s="33">
        <v>24726.24</v>
      </c>
      <c r="W14" s="34">
        <f t="array" ref="W14">XLOOKUP(T14, 'Data jarak '!$A$2:$A$11, XLOOKUP(U14, 'Data jarak '!$B$1:$K$1, 'Data jarak '!$B$2:$K$11))</f>
        <v>0</v>
      </c>
      <c r="X14" s="16">
        <f t="shared" si="3"/>
        <v>0</v>
      </c>
      <c r="Y14" s="16"/>
      <c r="Z14" s="16"/>
      <c r="AA14" s="16"/>
      <c r="AB14" s="16"/>
      <c r="AC14" s="16"/>
      <c r="AD14" s="16"/>
      <c r="AE14" s="16"/>
      <c r="AF14" s="16"/>
      <c r="AG14" s="16"/>
      <c r="AH14" s="16"/>
    </row>
    <row r="15">
      <c r="A15" s="32" t="s">
        <v>35</v>
      </c>
      <c r="B15" s="33">
        <v>1.0</v>
      </c>
      <c r="C15" s="18"/>
      <c r="D15" s="32" t="s">
        <v>35</v>
      </c>
      <c r="E15" s="32" t="s">
        <v>35</v>
      </c>
      <c r="F15" s="33">
        <v>1366604.92</v>
      </c>
      <c r="G15" s="34">
        <f t="array" ref="G15">XLOOKUP(D15, 'Data jarak '!$A$2:$A$11, XLOOKUP(E15, 'Data jarak '!$B$1:$K$1, 'Data jarak '!$B$2:$K$11))</f>
        <v>0</v>
      </c>
      <c r="H15" s="18">
        <f t="shared" si="1"/>
        <v>0</v>
      </c>
      <c r="I15" s="18"/>
      <c r="J15" s="18"/>
      <c r="K15" s="32" t="s">
        <v>32</v>
      </c>
      <c r="L15" s="32" t="s">
        <v>33</v>
      </c>
      <c r="M15" s="32" t="s">
        <v>35</v>
      </c>
      <c r="N15" s="33">
        <v>18203.37</v>
      </c>
      <c r="O15" s="33"/>
      <c r="P15" s="34">
        <f t="array" ref="P15">XLOOKUP(L15, 'Data jarak '!$A$2:$A$11, XLOOKUP(M15, 'Data jarak '!$B$1:$K$1, 'Data jarak '!$B$2:$K$11))</f>
        <v>475.5078</v>
      </c>
      <c r="Q15" s="33">
        <f t="shared" si="2"/>
        <v>97378249.74</v>
      </c>
      <c r="R15" s="18"/>
      <c r="S15" s="32" t="s">
        <v>31</v>
      </c>
      <c r="T15" s="32" t="s">
        <v>40</v>
      </c>
      <c r="U15" s="32" t="s">
        <v>35</v>
      </c>
      <c r="V15" s="33">
        <v>2266.6</v>
      </c>
      <c r="W15" s="34">
        <f t="array" ref="W15">XLOOKUP(T15, 'Data jarak '!$A$2:$A$11, XLOOKUP(U15, 'Data jarak '!$B$1:$K$1, 'Data jarak '!$B$2:$K$11))</f>
        <v>403.0102</v>
      </c>
      <c r="X15" s="16">
        <f t="shared" si="3"/>
        <v>13701943.79</v>
      </c>
      <c r="Y15" s="16"/>
      <c r="Z15" s="16"/>
      <c r="AA15" s="16"/>
      <c r="AB15" s="16"/>
      <c r="AC15" s="16"/>
      <c r="AD15" s="16"/>
      <c r="AE15" s="16"/>
      <c r="AF15" s="16"/>
      <c r="AG15" s="16"/>
      <c r="AH15" s="16"/>
    </row>
    <row r="16">
      <c r="A16" s="32" t="s">
        <v>40</v>
      </c>
      <c r="B16" s="33">
        <v>0.0</v>
      </c>
      <c r="C16" s="18"/>
      <c r="D16" s="32" t="s">
        <v>40</v>
      </c>
      <c r="E16" s="32" t="s">
        <v>35</v>
      </c>
      <c r="F16" s="33">
        <v>42730.01</v>
      </c>
      <c r="G16" s="34">
        <f t="array" ref="G16">XLOOKUP(D16, 'Data jarak '!$A$2:$A$11, XLOOKUP(E16, 'Data jarak '!$B$1:$K$1, 'Data jarak '!$B$2:$K$11))</f>
        <v>403.0102</v>
      </c>
      <c r="H16" s="18">
        <f t="shared" si="1"/>
        <v>258309448.1</v>
      </c>
      <c r="I16" s="18"/>
      <c r="J16" s="18"/>
      <c r="K16" s="32" t="s">
        <v>32</v>
      </c>
      <c r="L16" s="32" t="s">
        <v>33</v>
      </c>
      <c r="M16" s="32" t="s">
        <v>37</v>
      </c>
      <c r="N16" s="33">
        <v>12387.4</v>
      </c>
      <c r="O16" s="33"/>
      <c r="P16" s="34">
        <f t="array" ref="P16">XLOOKUP(L16, 'Data jarak '!$A$2:$A$11, XLOOKUP(M16, 'Data jarak '!$B$1:$K$1, 'Data jarak '!$B$2:$K$11))</f>
        <v>1024.79</v>
      </c>
      <c r="Q16" s="33">
        <f t="shared" si="2"/>
        <v>142812941</v>
      </c>
      <c r="R16" s="18"/>
      <c r="S16" s="32" t="s">
        <v>31</v>
      </c>
      <c r="T16" s="32" t="s">
        <v>37</v>
      </c>
      <c r="U16" s="32" t="s">
        <v>37</v>
      </c>
      <c r="V16" s="33">
        <v>70439.32</v>
      </c>
      <c r="W16" s="34">
        <f t="array" ref="W16">XLOOKUP(T16, 'Data jarak '!$A$2:$A$11, XLOOKUP(U16, 'Data jarak '!$B$1:$K$1, 'Data jarak '!$B$2:$K$11))</f>
        <v>0</v>
      </c>
      <c r="X16" s="16">
        <f t="shared" si="3"/>
        <v>0</v>
      </c>
      <c r="Y16" s="16"/>
      <c r="Z16" s="16"/>
      <c r="AA16" s="16"/>
      <c r="AB16" s="16"/>
      <c r="AC16" s="16"/>
      <c r="AD16" s="16"/>
      <c r="AE16" s="16"/>
      <c r="AF16" s="16"/>
      <c r="AG16" s="16"/>
      <c r="AH16" s="16"/>
    </row>
    <row r="17">
      <c r="A17" s="32" t="s">
        <v>37</v>
      </c>
      <c r="B17" s="33">
        <v>0.0</v>
      </c>
      <c r="C17" s="18"/>
      <c r="D17" s="32" t="s">
        <v>37</v>
      </c>
      <c r="E17" s="32" t="s">
        <v>35</v>
      </c>
      <c r="F17" s="33">
        <v>171260.44</v>
      </c>
      <c r="G17" s="34">
        <f t="array" ref="G17">XLOOKUP(D17, 'Data jarak '!$A$2:$A$11, XLOOKUP(E17, 'Data jarak '!$B$1:$K$1, 'Data jarak '!$B$2:$K$11))</f>
        <v>658.2451</v>
      </c>
      <c r="H17" s="18">
        <f t="shared" si="1"/>
        <v>1690970182</v>
      </c>
      <c r="I17" s="18"/>
      <c r="J17" s="18"/>
      <c r="K17" s="32" t="s">
        <v>38</v>
      </c>
      <c r="L17" s="32" t="s">
        <v>33</v>
      </c>
      <c r="M17" s="32" t="s">
        <v>35</v>
      </c>
      <c r="N17" s="33">
        <v>21555.56</v>
      </c>
      <c r="O17" s="33"/>
      <c r="P17" s="34">
        <f t="array" ref="P17">XLOOKUP(L17, 'Data jarak '!$A$2:$A$11, XLOOKUP(M17, 'Data jarak '!$B$1:$K$1, 'Data jarak '!$B$2:$K$11))</f>
        <v>475.5078</v>
      </c>
      <c r="Q17" s="33">
        <f t="shared" si="2"/>
        <v>115310665.3</v>
      </c>
      <c r="R17" s="18"/>
      <c r="S17" s="32" t="s">
        <v>34</v>
      </c>
      <c r="T17" s="32" t="s">
        <v>31</v>
      </c>
      <c r="U17" s="32" t="s">
        <v>31</v>
      </c>
      <c r="V17" s="33">
        <v>1517.87</v>
      </c>
      <c r="W17" s="34">
        <f t="array" ref="W17">XLOOKUP(T17, 'Data jarak '!$A$2:$A$11, XLOOKUP(U17, 'Data jarak '!$B$1:$K$1, 'Data jarak '!$B$2:$K$11))</f>
        <v>0</v>
      </c>
      <c r="X17" s="16">
        <f t="shared" si="3"/>
        <v>0</v>
      </c>
      <c r="Y17" s="16"/>
      <c r="Z17" s="16"/>
      <c r="AA17" s="16"/>
      <c r="AB17" s="16"/>
      <c r="AC17" s="16"/>
      <c r="AD17" s="16"/>
      <c r="AE17" s="16"/>
      <c r="AF17" s="16"/>
      <c r="AG17" s="16"/>
      <c r="AH17" s="16"/>
    </row>
    <row r="18">
      <c r="A18" s="18" t="s">
        <v>62</v>
      </c>
      <c r="B18" s="18">
        <v>0.0</v>
      </c>
      <c r="C18" s="16"/>
      <c r="D18" s="32" t="s">
        <v>37</v>
      </c>
      <c r="E18" s="32" t="s">
        <v>63</v>
      </c>
      <c r="F18" s="33">
        <v>190604.6</v>
      </c>
      <c r="G18" s="16" t="str">
        <f t="array" ref="G18">XLOOKUP(D18, 'Data jarak '!$A$2:$A$11, XLOOKUP(E18, 'Data jarak '!$B$1:$K$1, 'Data jarak '!$B$2:$K$11))</f>
        <v>#N/A</v>
      </c>
      <c r="H18" s="18" t="str">
        <f t="shared" si="1"/>
        <v>#N/A</v>
      </c>
      <c r="I18" s="18"/>
      <c r="J18" s="18"/>
      <c r="K18" s="32" t="s">
        <v>38</v>
      </c>
      <c r="L18" s="32" t="s">
        <v>33</v>
      </c>
      <c r="M18" s="32" t="s">
        <v>37</v>
      </c>
      <c r="N18" s="33">
        <v>5911.52</v>
      </c>
      <c r="O18" s="33"/>
      <c r="P18" s="34">
        <f t="array" ref="P18">XLOOKUP(L18, 'Data jarak '!$A$2:$A$11, XLOOKUP(M18, 'Data jarak '!$B$1:$K$1, 'Data jarak '!$B$2:$K$11))</f>
        <v>1024.79</v>
      </c>
      <c r="Q18" s="33">
        <f t="shared" si="2"/>
        <v>68153249.03</v>
      </c>
      <c r="S18" s="32" t="s">
        <v>34</v>
      </c>
      <c r="T18" s="32" t="s">
        <v>36</v>
      </c>
      <c r="U18" s="32" t="s">
        <v>33</v>
      </c>
      <c r="V18" s="33">
        <v>1940.46</v>
      </c>
      <c r="W18" s="34">
        <f t="array" ref="W18">XLOOKUP(T18, 'Data jarak '!$A$2:$A$11, XLOOKUP(U18, 'Data jarak '!$B$1:$K$1, 'Data jarak '!$B$2:$K$11))</f>
        <v>397.4792</v>
      </c>
      <c r="X18" s="16">
        <f t="shared" si="3"/>
        <v>11569387.33</v>
      </c>
      <c r="Y18" s="16"/>
      <c r="Z18" s="16"/>
      <c r="AA18" s="16"/>
      <c r="AB18" s="16"/>
      <c r="AC18" s="16"/>
      <c r="AD18" s="16"/>
      <c r="AE18" s="16"/>
      <c r="AF18" s="16"/>
      <c r="AG18" s="16"/>
      <c r="AH18" s="16"/>
    </row>
    <row r="19">
      <c r="A19" s="18" t="s">
        <v>64</v>
      </c>
      <c r="B19" s="18">
        <v>0.0</v>
      </c>
      <c r="C19" s="16"/>
      <c r="D19" s="32" t="s">
        <v>62</v>
      </c>
      <c r="E19" s="32" t="s">
        <v>33</v>
      </c>
      <c r="F19" s="33">
        <v>52154.96</v>
      </c>
      <c r="G19" s="16" t="str">
        <f t="array" ref="G19">XLOOKUP(D19, 'Data jarak '!$A$2:$A$11, XLOOKUP(E19, 'Data jarak '!$B$1:$K$1, 'Data jarak '!$B$2:$K$11))</f>
        <v>#N/A</v>
      </c>
      <c r="H19" s="18" t="str">
        <f t="shared" si="1"/>
        <v>#N/A</v>
      </c>
      <c r="I19" s="18"/>
      <c r="J19" s="18"/>
      <c r="K19" s="32" t="s">
        <v>33</v>
      </c>
      <c r="L19" s="32" t="s">
        <v>33</v>
      </c>
      <c r="M19" s="32" t="s">
        <v>31</v>
      </c>
      <c r="N19" s="33">
        <v>2334.6</v>
      </c>
      <c r="O19" s="33"/>
      <c r="P19" s="34">
        <f t="array" ref="P19">XLOOKUP(L19, 'Data jarak '!$A$2:$A$11, XLOOKUP(M19, 'Data jarak '!$B$1:$K$1, 'Data jarak '!$B$2:$K$11))</f>
        <v>1362.65</v>
      </c>
      <c r="Q19" s="33">
        <f t="shared" si="2"/>
        <v>35788980.26</v>
      </c>
      <c r="R19" s="16"/>
      <c r="S19" s="32" t="s">
        <v>34</v>
      </c>
      <c r="T19" s="32" t="s">
        <v>32</v>
      </c>
      <c r="U19" s="32" t="s">
        <v>31</v>
      </c>
      <c r="V19" s="33">
        <v>4244.09</v>
      </c>
      <c r="W19" s="34">
        <f t="array" ref="W19">XLOOKUP(T19, 'Data jarak '!$A$2:$A$11, XLOOKUP(U19, 'Data jarak '!$B$1:$K$1, 'Data jarak '!$B$2:$K$11))</f>
        <v>909.2041</v>
      </c>
      <c r="X19" s="16">
        <f t="shared" si="3"/>
        <v>57881160.43</v>
      </c>
      <c r="Y19" s="16"/>
      <c r="Z19" s="16"/>
      <c r="AA19" s="16"/>
      <c r="AB19" s="16"/>
      <c r="AC19" s="16"/>
      <c r="AD19" s="16"/>
      <c r="AE19" s="16"/>
      <c r="AF19" s="16"/>
      <c r="AG19" s="16"/>
      <c r="AH19" s="16"/>
    </row>
    <row r="20">
      <c r="A20" s="35" t="s">
        <v>63</v>
      </c>
      <c r="B20" s="35">
        <v>1.0</v>
      </c>
      <c r="C20" s="35"/>
      <c r="D20" s="36" t="s">
        <v>64</v>
      </c>
      <c r="E20" s="36" t="s">
        <v>63</v>
      </c>
      <c r="F20" s="37">
        <v>995865.48</v>
      </c>
      <c r="G20" s="16" t="str">
        <f t="array" ref="G20">XLOOKUP(D20, 'Data jarak '!$A$2:$A$11, XLOOKUP(E20, 'Data jarak '!$B$1:$K$1, 'Data jarak '!$B$2:$K$11))</f>
        <v>#N/A</v>
      </c>
      <c r="H20" s="18" t="str">
        <f t="shared" si="1"/>
        <v>#N/A</v>
      </c>
      <c r="K20" s="32" t="s">
        <v>33</v>
      </c>
      <c r="L20" s="32" t="s">
        <v>33</v>
      </c>
      <c r="M20" s="32" t="s">
        <v>35</v>
      </c>
      <c r="N20" s="33">
        <v>35521.71</v>
      </c>
      <c r="O20" s="33"/>
      <c r="P20" s="34">
        <f t="array" ref="P20">XLOOKUP(L20, 'Data jarak '!$A$2:$A$11, XLOOKUP(M20, 'Data jarak '!$B$1:$K$1, 'Data jarak '!$B$2:$K$11))</f>
        <v>475.5078</v>
      </c>
      <c r="Q20" s="33">
        <f t="shared" si="2"/>
        <v>190022064.5</v>
      </c>
      <c r="R20" s="18"/>
      <c r="S20" s="32" t="s">
        <v>34</v>
      </c>
      <c r="T20" s="32" t="s">
        <v>38</v>
      </c>
      <c r="U20" s="32" t="s">
        <v>33</v>
      </c>
      <c r="V20" s="33">
        <v>547.44</v>
      </c>
      <c r="W20" s="34">
        <f t="array" ref="W20">XLOOKUP(T20, 'Data jarak '!$A$2:$A$11, XLOOKUP(U20, 'Data jarak '!$B$1:$K$1, 'Data jarak '!$B$2:$K$11))</f>
        <v>176.4669</v>
      </c>
      <c r="X20" s="16">
        <f t="shared" si="3"/>
        <v>1449075.596</v>
      </c>
      <c r="Y20" s="16"/>
      <c r="Z20" s="16"/>
      <c r="AA20" s="16"/>
      <c r="AB20" s="16"/>
      <c r="AC20" s="16"/>
      <c r="AD20" s="16"/>
      <c r="AE20" s="16"/>
      <c r="AF20" s="16"/>
      <c r="AG20" s="16"/>
      <c r="AH20" s="16"/>
    </row>
    <row r="21">
      <c r="A21" s="36" t="s">
        <v>65</v>
      </c>
      <c r="B21" s="36">
        <v>0.0</v>
      </c>
      <c r="C21" s="37"/>
      <c r="D21" s="36" t="s">
        <v>63</v>
      </c>
      <c r="E21" s="32" t="s">
        <v>63</v>
      </c>
      <c r="F21" s="37">
        <v>1029824.12</v>
      </c>
      <c r="G21" s="16" t="str">
        <f t="array" ref="G21">XLOOKUP(D21, 'Data jarak '!$A$2:$A$11, XLOOKUP(E21, 'Data jarak '!$B$1:$K$1, 'Data jarak '!$B$2:$K$11))</f>
        <v>#N/A</v>
      </c>
      <c r="H21" s="18" t="str">
        <f t="shared" si="1"/>
        <v>#N/A</v>
      </c>
      <c r="K21" s="32" t="s">
        <v>33</v>
      </c>
      <c r="L21" s="32" t="s">
        <v>33</v>
      </c>
      <c r="M21" s="32" t="s">
        <v>37</v>
      </c>
      <c r="N21" s="33">
        <v>6665.76</v>
      </c>
      <c r="O21" s="33"/>
      <c r="P21" s="34">
        <f t="array" ref="P21">XLOOKUP(L21, 'Data jarak '!$A$2:$A$11, XLOOKUP(M21, 'Data jarak '!$B$1:$K$1, 'Data jarak '!$B$2:$K$11))</f>
        <v>1024.79</v>
      </c>
      <c r="Q21" s="33">
        <f t="shared" si="2"/>
        <v>76848797.14</v>
      </c>
      <c r="R21" s="31"/>
      <c r="S21" s="32" t="s">
        <v>34</v>
      </c>
      <c r="T21" s="32" t="s">
        <v>33</v>
      </c>
      <c r="U21" s="32" t="s">
        <v>33</v>
      </c>
      <c r="V21" s="33">
        <v>6251.74</v>
      </c>
      <c r="W21" s="34">
        <f t="array" ref="W21">XLOOKUP(T21, 'Data jarak '!$A$2:$A$11, XLOOKUP(U21, 'Data jarak '!$B$1:$K$1, 'Data jarak '!$B$2:$K$11))</f>
        <v>0</v>
      </c>
      <c r="X21" s="16">
        <f t="shared" si="3"/>
        <v>0</v>
      </c>
      <c r="Y21" s="16"/>
      <c r="Z21" s="16"/>
      <c r="AA21" s="16"/>
      <c r="AB21" s="16"/>
      <c r="AC21" s="16"/>
      <c r="AD21" s="16"/>
      <c r="AE21" s="16"/>
      <c r="AF21" s="16"/>
      <c r="AG21" s="16"/>
      <c r="AH21" s="16"/>
    </row>
    <row r="22">
      <c r="A22" s="36" t="s">
        <v>66</v>
      </c>
      <c r="B22" s="36">
        <v>1.0</v>
      </c>
      <c r="C22" s="37"/>
      <c r="D22" s="36" t="s">
        <v>65</v>
      </c>
      <c r="E22" s="32" t="s">
        <v>66</v>
      </c>
      <c r="F22" s="37">
        <v>62587.04</v>
      </c>
      <c r="G22" s="16" t="str">
        <f t="array" ref="G22">XLOOKUP(D22, 'Data jarak '!$A$2:$A$11, XLOOKUP(E22, 'Data jarak '!$B$1:$K$1, 'Data jarak '!$B$2:$K$11))</f>
        <v>#N/A</v>
      </c>
      <c r="H22" s="18" t="str">
        <f t="shared" si="1"/>
        <v>#N/A</v>
      </c>
      <c r="K22" s="38" t="s">
        <v>39</v>
      </c>
      <c r="L22" s="32" t="s">
        <v>33</v>
      </c>
      <c r="M22" s="32" t="s">
        <v>31</v>
      </c>
      <c r="N22" s="32">
        <v>2873.96</v>
      </c>
      <c r="O22" s="32"/>
      <c r="P22" s="34">
        <f t="array" ref="P22">XLOOKUP(L22, 'Data jarak '!$A$2:$A$11, XLOOKUP(M22, 'Data jarak '!$B$1:$K$1, 'Data jarak '!$B$2:$K$11))</f>
        <v>1362.65</v>
      </c>
      <c r="Q22" s="33">
        <f t="shared" si="2"/>
        <v>44057267.93</v>
      </c>
      <c r="R22" s="33"/>
      <c r="S22" s="36" t="s">
        <v>34</v>
      </c>
      <c r="T22" s="32" t="s">
        <v>39</v>
      </c>
      <c r="U22" s="32" t="s">
        <v>33</v>
      </c>
      <c r="V22" s="33">
        <v>2635.73</v>
      </c>
      <c r="W22" s="34">
        <f t="array" ref="W22">XLOOKUP(T22, 'Data jarak '!$A$2:$A$11, XLOOKUP(U22, 'Data jarak '!$B$1:$K$1, 'Data jarak '!$B$2:$K$11))</f>
        <v>356.1662</v>
      </c>
      <c r="X22" s="16">
        <f t="shared" si="3"/>
        <v>14081369.07</v>
      </c>
      <c r="Y22" s="16"/>
      <c r="Z22" s="16"/>
      <c r="AA22" s="16"/>
      <c r="AB22" s="16"/>
      <c r="AC22" s="16"/>
      <c r="AD22" s="16"/>
      <c r="AE22" s="16"/>
      <c r="AF22" s="16"/>
      <c r="AG22" s="16"/>
      <c r="AH22" s="16"/>
    </row>
    <row r="23">
      <c r="A23" s="36" t="s">
        <v>67</v>
      </c>
      <c r="B23" s="36">
        <v>0.0</v>
      </c>
      <c r="C23" s="37"/>
      <c r="D23" s="36" t="s">
        <v>66</v>
      </c>
      <c r="E23" s="32" t="s">
        <v>66</v>
      </c>
      <c r="F23" s="37">
        <v>1162580.2</v>
      </c>
      <c r="G23" s="16" t="str">
        <f t="array" ref="G23">XLOOKUP(D23, 'Data jarak '!$A$2:$A$11, XLOOKUP(E23, 'Data jarak '!$B$1:$K$1, 'Data jarak '!$B$2:$K$11))</f>
        <v>#N/A</v>
      </c>
      <c r="H23" s="18" t="str">
        <f t="shared" si="1"/>
        <v>#N/A</v>
      </c>
      <c r="K23" s="38" t="s">
        <v>39</v>
      </c>
      <c r="L23" s="32" t="s">
        <v>35</v>
      </c>
      <c r="M23" s="32" t="s">
        <v>37</v>
      </c>
      <c r="N23" s="32">
        <v>8546.4</v>
      </c>
      <c r="O23" s="32"/>
      <c r="P23" s="34">
        <f t="array" ref="P23">XLOOKUP(L23, 'Data jarak '!$A$2:$A$11, XLOOKUP(M23, 'Data jarak '!$B$1:$K$1, 'Data jarak '!$B$2:$K$11))</f>
        <v>658.2451</v>
      </c>
      <c r="Q23" s="33">
        <f t="shared" si="2"/>
        <v>63288291.63</v>
      </c>
      <c r="R23" s="33"/>
      <c r="S23" s="36" t="s">
        <v>34</v>
      </c>
      <c r="T23" s="32" t="s">
        <v>35</v>
      </c>
      <c r="U23" s="32" t="s">
        <v>35</v>
      </c>
      <c r="V23" s="33">
        <v>6039.82</v>
      </c>
      <c r="W23" s="34">
        <f t="array" ref="W23">XLOOKUP(T23, 'Data jarak '!$A$2:$A$11, XLOOKUP(U23, 'Data jarak '!$B$1:$K$1, 'Data jarak '!$B$2:$K$11))</f>
        <v>0</v>
      </c>
      <c r="X23" s="16">
        <f t="shared" si="3"/>
        <v>0</v>
      </c>
      <c r="Y23" s="16"/>
      <c r="Z23" s="16"/>
      <c r="AA23" s="16"/>
      <c r="AB23" s="16"/>
      <c r="AC23" s="16"/>
      <c r="AD23" s="16"/>
      <c r="AE23" s="16"/>
      <c r="AF23" s="16"/>
      <c r="AG23" s="16"/>
      <c r="AH23" s="16"/>
    </row>
    <row r="24">
      <c r="A24" s="36" t="s">
        <v>68</v>
      </c>
      <c r="B24" s="36">
        <v>0.0</v>
      </c>
      <c r="C24" s="37"/>
      <c r="D24" s="28" t="s">
        <v>67</v>
      </c>
      <c r="E24" s="38" t="s">
        <v>66</v>
      </c>
      <c r="F24" s="20">
        <v>134893.6</v>
      </c>
      <c r="K24" s="38" t="s">
        <v>35</v>
      </c>
      <c r="L24" s="32" t="s">
        <v>35</v>
      </c>
      <c r="M24" s="32" t="s">
        <v>31</v>
      </c>
      <c r="N24" s="32">
        <v>30724.48</v>
      </c>
      <c r="O24" s="32"/>
      <c r="P24" s="34">
        <f t="array" ref="P24">XLOOKUP(L24, 'Data jarak '!$A$2:$A$11, XLOOKUP(M24, 'Data jarak '!$B$1:$K$1, 'Data jarak '!$B$2:$K$11))</f>
        <v>1810.495</v>
      </c>
      <c r="Q24" s="33">
        <f t="shared" si="2"/>
        <v>625798320.9</v>
      </c>
      <c r="R24" s="33"/>
      <c r="S24" s="36" t="s">
        <v>34</v>
      </c>
      <c r="T24" s="32" t="s">
        <v>40</v>
      </c>
      <c r="U24" s="32" t="s">
        <v>35</v>
      </c>
      <c r="V24" s="33">
        <v>3678.83</v>
      </c>
      <c r="W24" s="34">
        <f t="array" ref="W24">XLOOKUP(T24, 'Data jarak '!$A$2:$A$11, XLOOKUP(U24, 'Data jarak '!$B$1:$K$1, 'Data jarak '!$B$2:$K$11))</f>
        <v>403.0102</v>
      </c>
      <c r="X24" s="16">
        <f t="shared" si="3"/>
        <v>22239090.21</v>
      </c>
      <c r="Y24" s="16"/>
      <c r="Z24" s="16"/>
      <c r="AA24" s="16"/>
      <c r="AB24" s="16"/>
      <c r="AC24" s="16"/>
      <c r="AD24" s="16"/>
      <c r="AE24" s="16"/>
      <c r="AF24" s="16"/>
      <c r="AG24" s="16"/>
      <c r="AH24" s="16"/>
    </row>
    <row r="25">
      <c r="A25" s="36" t="s">
        <v>69</v>
      </c>
      <c r="B25" s="36">
        <v>0.0</v>
      </c>
      <c r="C25" s="37"/>
      <c r="D25" s="28" t="s">
        <v>68</v>
      </c>
      <c r="E25" s="38" t="s">
        <v>63</v>
      </c>
      <c r="F25" s="20">
        <v>490447.52</v>
      </c>
      <c r="K25" s="38" t="s">
        <v>35</v>
      </c>
      <c r="L25" s="32" t="s">
        <v>35</v>
      </c>
      <c r="M25" s="32" t="s">
        <v>33</v>
      </c>
      <c r="N25" s="32">
        <v>248498.7</v>
      </c>
      <c r="O25" s="32"/>
      <c r="P25" s="34">
        <f t="array" ref="P25">XLOOKUP(L25, 'Data jarak '!$A$2:$A$11, XLOOKUP(M25, 'Data jarak '!$B$1:$K$1, 'Data jarak '!$B$2:$K$11))</f>
        <v>475.5078</v>
      </c>
      <c r="Q25" s="33">
        <f t="shared" si="2"/>
        <v>1329334539</v>
      </c>
      <c r="R25" s="33"/>
      <c r="S25" s="36" t="s">
        <v>34</v>
      </c>
      <c r="T25" s="32" t="s">
        <v>37</v>
      </c>
      <c r="U25" s="32" t="s">
        <v>37</v>
      </c>
      <c r="V25" s="33">
        <v>4136.76</v>
      </c>
      <c r="W25" s="34">
        <f t="array" ref="W25">XLOOKUP(T25, 'Data jarak '!$A$2:$A$11, XLOOKUP(U25, 'Data jarak '!$B$1:$K$1, 'Data jarak '!$B$2:$K$11))</f>
        <v>0</v>
      </c>
      <c r="X25" s="16">
        <f t="shared" si="3"/>
        <v>0</v>
      </c>
      <c r="Y25" s="16"/>
      <c r="Z25" s="16"/>
      <c r="AA25" s="16"/>
      <c r="AB25" s="16"/>
      <c r="AC25" s="16"/>
      <c r="AD25" s="16"/>
      <c r="AE25" s="16"/>
      <c r="AF25" s="16"/>
      <c r="AG25" s="16"/>
      <c r="AH25" s="16"/>
    </row>
    <row r="26">
      <c r="A26" s="36" t="s">
        <v>70</v>
      </c>
      <c r="B26" s="36">
        <v>0.0</v>
      </c>
      <c r="C26" s="37"/>
      <c r="D26" s="28" t="s">
        <v>68</v>
      </c>
      <c r="E26" s="38" t="s">
        <v>66</v>
      </c>
      <c r="F26" s="20">
        <v>319277.12</v>
      </c>
      <c r="K26" s="38" t="s">
        <v>35</v>
      </c>
      <c r="L26" s="32" t="s">
        <v>35</v>
      </c>
      <c r="M26" s="32" t="s">
        <v>37</v>
      </c>
      <c r="N26" s="32">
        <v>101245.44</v>
      </c>
      <c r="O26" s="32"/>
      <c r="P26" s="34">
        <f t="array" ref="P26">XLOOKUP(L26, 'Data jarak '!$A$2:$A$11, XLOOKUP(M26, 'Data jarak '!$B$1:$K$1, 'Data jarak '!$B$2:$K$11))</f>
        <v>658.2451</v>
      </c>
      <c r="Q26" s="33">
        <f t="shared" si="2"/>
        <v>749748541.2</v>
      </c>
      <c r="R26" s="33"/>
      <c r="S26" s="36" t="s">
        <v>36</v>
      </c>
      <c r="T26" s="32" t="s">
        <v>31</v>
      </c>
      <c r="U26" s="32" t="s">
        <v>31</v>
      </c>
      <c r="V26" s="33">
        <v>881.92</v>
      </c>
      <c r="W26" s="34">
        <f t="array" ref="W26">XLOOKUP(T26, 'Data jarak '!$A$2:$A$11, XLOOKUP(U26, 'Data jarak '!$B$1:$K$1, 'Data jarak '!$B$2:$K$11))</f>
        <v>0</v>
      </c>
      <c r="X26" s="16">
        <f t="shared" si="3"/>
        <v>0</v>
      </c>
      <c r="Y26" s="16"/>
      <c r="Z26" s="16"/>
      <c r="AA26" s="16"/>
      <c r="AB26" s="16"/>
      <c r="AC26" s="16"/>
      <c r="AD26" s="16"/>
      <c r="AE26" s="16"/>
      <c r="AF26" s="16"/>
      <c r="AG26" s="16"/>
      <c r="AH26" s="16"/>
    </row>
    <row r="27">
      <c r="A27" s="36" t="s">
        <v>71</v>
      </c>
      <c r="B27" s="36">
        <v>0.0</v>
      </c>
      <c r="C27" s="37"/>
      <c r="D27" s="28" t="s">
        <v>69</v>
      </c>
      <c r="E27" s="38" t="s">
        <v>66</v>
      </c>
      <c r="F27" s="20">
        <v>43691.6</v>
      </c>
      <c r="K27" s="38" t="s">
        <v>40</v>
      </c>
      <c r="L27" s="32" t="s">
        <v>35</v>
      </c>
      <c r="M27" s="32" t="s">
        <v>31</v>
      </c>
      <c r="N27" s="32">
        <v>535.69</v>
      </c>
      <c r="O27" s="32"/>
      <c r="P27" s="34">
        <f t="array" ref="P27">XLOOKUP(L27, 'Data jarak '!$A$2:$A$11, XLOOKUP(M27, 'Data jarak '!$B$1:$K$1, 'Data jarak '!$B$2:$K$11))</f>
        <v>1810.495</v>
      </c>
      <c r="Q27" s="33">
        <f t="shared" si="2"/>
        <v>10910970.75</v>
      </c>
      <c r="R27" s="33"/>
      <c r="S27" s="36" t="s">
        <v>36</v>
      </c>
      <c r="T27" s="32" t="s">
        <v>34</v>
      </c>
      <c r="U27" s="32" t="s">
        <v>33</v>
      </c>
      <c r="V27" s="33">
        <v>768.89</v>
      </c>
      <c r="W27" s="34">
        <f t="array" ref="W27">XLOOKUP(T27, 'Data jarak '!$A$2:$A$11, XLOOKUP(U27, 'Data jarak '!$B$1:$K$1, 'Data jarak '!$B$2:$K$11))</f>
        <v>966.6815</v>
      </c>
      <c r="X27" s="16">
        <f t="shared" si="3"/>
        <v>11149076.08</v>
      </c>
      <c r="Y27" s="16"/>
      <c r="Z27" s="16"/>
      <c r="AA27" s="16"/>
      <c r="AB27" s="16"/>
      <c r="AC27" s="16"/>
      <c r="AD27" s="16"/>
      <c r="AE27" s="16"/>
      <c r="AF27" s="16"/>
      <c r="AG27" s="16"/>
      <c r="AH27" s="16"/>
    </row>
    <row r="28">
      <c r="A28" s="36" t="s">
        <v>72</v>
      </c>
      <c r="B28" s="36">
        <v>0.0</v>
      </c>
      <c r="C28" s="37"/>
      <c r="D28" s="28" t="s">
        <v>70</v>
      </c>
      <c r="E28" s="38" t="s">
        <v>66</v>
      </c>
      <c r="F28" s="20">
        <v>149835.36</v>
      </c>
      <c r="K28" s="38" t="s">
        <v>40</v>
      </c>
      <c r="L28" s="32" t="s">
        <v>35</v>
      </c>
      <c r="M28" s="32" t="s">
        <v>33</v>
      </c>
      <c r="N28" s="32">
        <v>6615.99</v>
      </c>
      <c r="O28" s="32"/>
      <c r="P28" s="34">
        <f t="array" ref="P28">XLOOKUP(L28, 'Data jarak '!$A$2:$A$11, XLOOKUP(M28, 'Data jarak '!$B$1:$K$1, 'Data jarak '!$B$2:$K$11))</f>
        <v>475.5078</v>
      </c>
      <c r="Q28" s="33">
        <f t="shared" si="2"/>
        <v>35391992.06</v>
      </c>
      <c r="R28" s="33"/>
      <c r="S28" s="36" t="s">
        <v>36</v>
      </c>
      <c r="T28" s="32" t="s">
        <v>32</v>
      </c>
      <c r="U28" s="32" t="s">
        <v>33</v>
      </c>
      <c r="V28" s="33">
        <v>2095.4</v>
      </c>
      <c r="W28" s="34">
        <f t="array" ref="W28">XLOOKUP(T28, 'Data jarak '!$A$2:$A$11, XLOOKUP(U28, 'Data jarak '!$B$1:$K$1, 'Data jarak '!$B$2:$K$11))</f>
        <v>525.4495</v>
      </c>
      <c r="X28" s="16">
        <f t="shared" si="3"/>
        <v>16515403.23</v>
      </c>
      <c r="Y28" s="16"/>
      <c r="Z28" s="16"/>
      <c r="AA28" s="16"/>
      <c r="AB28" s="16"/>
      <c r="AC28" s="16"/>
      <c r="AD28" s="16"/>
      <c r="AE28" s="16"/>
      <c r="AF28" s="16"/>
      <c r="AG28" s="16"/>
      <c r="AH28" s="16"/>
    </row>
    <row r="29">
      <c r="A29" s="36" t="s">
        <v>73</v>
      </c>
      <c r="B29" s="36">
        <v>0.0</v>
      </c>
      <c r="C29" s="37"/>
      <c r="D29" s="28" t="s">
        <v>71</v>
      </c>
      <c r="E29" s="38" t="s">
        <v>63</v>
      </c>
      <c r="F29" s="20">
        <v>226389.56</v>
      </c>
      <c r="K29" s="38" t="s">
        <v>37</v>
      </c>
      <c r="L29" s="32" t="s">
        <v>37</v>
      </c>
      <c r="M29" s="32" t="s">
        <v>31</v>
      </c>
      <c r="N29" s="32">
        <v>29981.56</v>
      </c>
      <c r="O29" s="32"/>
      <c r="P29" s="34">
        <f t="array" ref="P29">XLOOKUP(L29, 'Data jarak '!$A$2:$A$11, XLOOKUP(M29, 'Data jarak '!$B$1:$K$1, 'Data jarak '!$B$2:$K$11))</f>
        <v>2382.411</v>
      </c>
      <c r="Q29" s="33">
        <f t="shared" si="2"/>
        <v>803569481.3</v>
      </c>
      <c r="R29" s="33"/>
      <c r="S29" s="36" t="s">
        <v>36</v>
      </c>
      <c r="T29" s="32" t="s">
        <v>38</v>
      </c>
      <c r="U29" s="32" t="s">
        <v>33</v>
      </c>
      <c r="V29" s="33">
        <v>575.8</v>
      </c>
      <c r="W29" s="34">
        <f t="array" ref="W29">XLOOKUP(T29, 'Data jarak '!$A$2:$A$11, XLOOKUP(U29, 'Data jarak '!$B$1:$K$1, 'Data jarak '!$B$2:$K$11))</f>
        <v>176.4669</v>
      </c>
      <c r="X29" s="16">
        <f t="shared" si="3"/>
        <v>1524144.615</v>
      </c>
      <c r="Y29" s="16"/>
      <c r="Z29" s="16"/>
      <c r="AA29" s="16"/>
      <c r="AB29" s="16"/>
      <c r="AC29" s="16"/>
      <c r="AD29" s="16"/>
      <c r="AE29" s="16"/>
      <c r="AF29" s="16"/>
      <c r="AG29" s="16"/>
      <c r="AH29" s="16"/>
    </row>
    <row r="30">
      <c r="A30" s="36" t="s">
        <v>74</v>
      </c>
      <c r="B30" s="36">
        <v>0.0</v>
      </c>
      <c r="C30" s="37"/>
      <c r="D30" s="28" t="s">
        <v>71</v>
      </c>
      <c r="E30" s="38" t="s">
        <v>66</v>
      </c>
      <c r="F30" s="20">
        <v>125980.08</v>
      </c>
      <c r="K30" s="38" t="s">
        <v>37</v>
      </c>
      <c r="L30" s="32" t="s">
        <v>37</v>
      </c>
      <c r="M30" s="32" t="s">
        <v>33</v>
      </c>
      <c r="N30" s="32">
        <v>65423.14</v>
      </c>
      <c r="O30" s="32"/>
      <c r="P30" s="34">
        <f t="array" ref="P30">XLOOKUP(L30, 'Data jarak '!$A$2:$A$11, XLOOKUP(M30, 'Data jarak '!$B$1:$K$1, 'Data jarak '!$B$2:$K$11))</f>
        <v>1024.79</v>
      </c>
      <c r="Q30" s="33">
        <f t="shared" si="2"/>
        <v>754256021</v>
      </c>
      <c r="R30" s="33"/>
      <c r="S30" s="36" t="s">
        <v>36</v>
      </c>
      <c r="T30" s="32" t="s">
        <v>33</v>
      </c>
      <c r="U30" s="32" t="s">
        <v>33</v>
      </c>
      <c r="V30" s="33">
        <v>4265.72</v>
      </c>
      <c r="W30" s="34">
        <f t="array" ref="W30">XLOOKUP(T30, 'Data jarak '!$A$2:$A$11, XLOOKUP(U30, 'Data jarak '!$B$1:$K$1, 'Data jarak '!$B$2:$K$11))</f>
        <v>0</v>
      </c>
      <c r="X30" s="16">
        <f t="shared" si="3"/>
        <v>0</v>
      </c>
      <c r="Y30" s="16"/>
      <c r="Z30" s="16"/>
      <c r="AA30" s="16"/>
      <c r="AB30" s="16"/>
      <c r="AC30" s="16"/>
      <c r="AD30" s="16"/>
      <c r="AE30" s="16"/>
      <c r="AF30" s="16"/>
      <c r="AG30" s="16"/>
      <c r="AH30" s="16"/>
    </row>
    <row r="31">
      <c r="A31" s="36" t="s">
        <v>75</v>
      </c>
      <c r="B31" s="36">
        <v>0.0</v>
      </c>
      <c r="C31" s="37"/>
      <c r="D31" s="28" t="s">
        <v>72</v>
      </c>
      <c r="E31" s="38" t="s">
        <v>66</v>
      </c>
      <c r="F31" s="20">
        <v>190537.16</v>
      </c>
      <c r="K31" s="18" t="s">
        <v>37</v>
      </c>
      <c r="L31" s="32" t="s">
        <v>37</v>
      </c>
      <c r="M31" s="32" t="s">
        <v>35</v>
      </c>
      <c r="N31" s="32">
        <v>56329.16</v>
      </c>
      <c r="O31" s="32"/>
      <c r="P31" s="34">
        <f t="array" ref="P31">XLOOKUP(L31, 'Data jarak '!$A$2:$A$11, XLOOKUP(M31, 'Data jarak '!$B$1:$K$1, 'Data jarak '!$B$2:$K$11))</f>
        <v>658.2451</v>
      </c>
      <c r="Q31" s="33">
        <f t="shared" si="2"/>
        <v>417131927.5</v>
      </c>
      <c r="R31" s="33"/>
      <c r="S31" s="36" t="s">
        <v>36</v>
      </c>
      <c r="T31" s="32" t="s">
        <v>39</v>
      </c>
      <c r="U31" s="32" t="s">
        <v>33</v>
      </c>
      <c r="V31" s="33">
        <v>10479.28</v>
      </c>
      <c r="W31" s="34">
        <f t="array" ref="W31">XLOOKUP(T31, 'Data jarak '!$A$2:$A$11, XLOOKUP(U31, 'Data jarak '!$B$1:$K$1, 'Data jarak '!$B$2:$K$11))</f>
        <v>356.1662</v>
      </c>
      <c r="X31" s="16">
        <f t="shared" si="3"/>
        <v>55985480.05</v>
      </c>
      <c r="Y31" s="16"/>
      <c r="Z31" s="16"/>
      <c r="AA31" s="16"/>
      <c r="AB31" s="16"/>
      <c r="AC31" s="16"/>
      <c r="AD31" s="16"/>
      <c r="AE31" s="16"/>
      <c r="AF31" s="16"/>
      <c r="AG31" s="16"/>
      <c r="AH31" s="16"/>
    </row>
    <row r="32">
      <c r="A32" s="36"/>
      <c r="B32" s="36"/>
      <c r="C32" s="37"/>
      <c r="D32" s="28" t="s">
        <v>73</v>
      </c>
      <c r="E32" s="38" t="s">
        <v>66</v>
      </c>
      <c r="F32" s="20">
        <v>221085.64</v>
      </c>
      <c r="G32" s="19"/>
      <c r="H32" s="19"/>
      <c r="I32" s="19"/>
      <c r="J32" s="19"/>
      <c r="K32" s="16"/>
      <c r="L32" s="32"/>
      <c r="M32" s="32"/>
      <c r="N32" s="32"/>
      <c r="O32" s="32"/>
      <c r="P32" s="32"/>
      <c r="Q32" s="32"/>
      <c r="R32" s="33"/>
      <c r="S32" s="36" t="s">
        <v>36</v>
      </c>
      <c r="T32" s="32" t="s">
        <v>35</v>
      </c>
      <c r="U32" s="32" t="s">
        <v>35</v>
      </c>
      <c r="V32" s="33">
        <v>5041.36</v>
      </c>
      <c r="W32" s="34">
        <f t="array" ref="W32">XLOOKUP(T32, 'Data jarak '!$A$2:$A$11, XLOOKUP(U32, 'Data jarak '!$B$1:$K$1, 'Data jarak '!$B$2:$K$11))</f>
        <v>0</v>
      </c>
      <c r="X32" s="16">
        <f t="shared" si="3"/>
        <v>0</v>
      </c>
      <c r="Y32" s="16"/>
      <c r="Z32" s="16"/>
      <c r="AA32" s="16"/>
      <c r="AB32" s="16"/>
      <c r="AC32" s="16"/>
      <c r="AD32" s="16"/>
      <c r="AE32" s="16"/>
      <c r="AF32" s="16"/>
      <c r="AG32" s="16"/>
      <c r="AH32" s="16"/>
    </row>
    <row r="33">
      <c r="A33" s="36"/>
      <c r="B33" s="36"/>
      <c r="C33" s="37"/>
      <c r="D33" s="28" t="s">
        <v>74</v>
      </c>
      <c r="E33" s="38" t="s">
        <v>66</v>
      </c>
      <c r="F33" s="20">
        <v>38461.84</v>
      </c>
      <c r="G33" s="19"/>
      <c r="H33" s="19"/>
      <c r="I33" s="19"/>
      <c r="J33" s="19"/>
      <c r="K33" s="16"/>
      <c r="L33" s="32"/>
      <c r="M33" s="32"/>
      <c r="N33" s="32"/>
      <c r="O33" s="32"/>
      <c r="P33" s="32"/>
      <c r="Q33" s="32"/>
      <c r="R33" s="33"/>
      <c r="S33" s="36" t="s">
        <v>36</v>
      </c>
      <c r="T33" s="32" t="s">
        <v>40</v>
      </c>
      <c r="U33" s="32" t="s">
        <v>35</v>
      </c>
      <c r="V33" s="33">
        <v>841.95</v>
      </c>
      <c r="W33" s="34">
        <f t="array" ref="W33">XLOOKUP(T33, 'Data jarak '!$A$2:$A$11, XLOOKUP(U33, 'Data jarak '!$B$1:$K$1, 'Data jarak '!$B$2:$K$11))</f>
        <v>403.0102</v>
      </c>
      <c r="X33" s="16">
        <f t="shared" si="3"/>
        <v>5089716.568</v>
      </c>
      <c r="Y33" s="16"/>
      <c r="Z33" s="16"/>
      <c r="AA33" s="16"/>
      <c r="AB33" s="16"/>
      <c r="AC33" s="16"/>
      <c r="AD33" s="16"/>
      <c r="AE33" s="16"/>
      <c r="AF33" s="16"/>
      <c r="AG33" s="16"/>
      <c r="AH33" s="16"/>
    </row>
    <row r="34">
      <c r="A34" s="36"/>
      <c r="B34" s="36"/>
      <c r="C34" s="37"/>
      <c r="D34" s="28" t="s">
        <v>75</v>
      </c>
      <c r="E34" s="38" t="s">
        <v>66</v>
      </c>
      <c r="F34" s="20">
        <v>151429.12</v>
      </c>
      <c r="G34" s="19"/>
      <c r="H34" s="19"/>
      <c r="I34" s="19"/>
      <c r="J34" s="19"/>
      <c r="K34" s="16"/>
      <c r="L34" s="32"/>
      <c r="M34" s="32"/>
      <c r="N34" s="32"/>
      <c r="O34" s="32"/>
      <c r="P34" s="32"/>
      <c r="Q34" s="32"/>
      <c r="R34" s="33"/>
      <c r="S34" s="36" t="s">
        <v>36</v>
      </c>
      <c r="T34" s="32" t="s">
        <v>37</v>
      </c>
      <c r="U34" s="32" t="s">
        <v>37</v>
      </c>
      <c r="V34" s="33">
        <v>2415.04</v>
      </c>
      <c r="W34" s="34">
        <f t="array" ref="W34">XLOOKUP(T34, 'Data jarak '!$A$2:$A$11, XLOOKUP(U34, 'Data jarak '!$B$1:$K$1, 'Data jarak '!$B$2:$K$11))</f>
        <v>0</v>
      </c>
      <c r="X34" s="16">
        <f t="shared" si="3"/>
        <v>0</v>
      </c>
      <c r="Y34" s="16"/>
      <c r="Z34" s="16"/>
      <c r="AA34" s="16"/>
      <c r="AB34" s="16"/>
      <c r="AC34" s="16"/>
      <c r="AD34" s="16"/>
      <c r="AE34" s="16"/>
      <c r="AF34" s="16"/>
      <c r="AG34" s="16"/>
      <c r="AH34" s="16"/>
    </row>
    <row r="35">
      <c r="A35" s="20"/>
      <c r="B35" s="20"/>
      <c r="C35" s="20"/>
      <c r="D35" s="28"/>
      <c r="E35" s="19"/>
      <c r="F35" s="19"/>
      <c r="G35" s="19"/>
      <c r="H35" s="19"/>
      <c r="I35" s="19"/>
      <c r="J35" s="19"/>
      <c r="K35" s="16"/>
      <c r="L35" s="32"/>
      <c r="M35" s="32"/>
      <c r="N35" s="32"/>
      <c r="O35" s="32"/>
      <c r="P35" s="32"/>
      <c r="Q35" s="32"/>
      <c r="R35" s="33"/>
      <c r="S35" s="36" t="s">
        <v>32</v>
      </c>
      <c r="T35" s="32" t="s">
        <v>31</v>
      </c>
      <c r="U35" s="32" t="s">
        <v>31</v>
      </c>
      <c r="V35" s="33">
        <v>2877.88</v>
      </c>
      <c r="W35" s="34">
        <f t="array" ref="W35">XLOOKUP(T35, 'Data jarak '!$A$2:$A$11, XLOOKUP(U35, 'Data jarak '!$B$1:$K$1, 'Data jarak '!$B$2:$K$11))</f>
        <v>0</v>
      </c>
      <c r="X35" s="16">
        <f t="shared" si="3"/>
        <v>0</v>
      </c>
      <c r="Y35" s="16"/>
      <c r="Z35" s="16"/>
      <c r="AA35" s="16"/>
      <c r="AB35" s="16"/>
      <c r="AC35" s="16"/>
      <c r="AD35" s="16"/>
      <c r="AE35" s="16"/>
      <c r="AF35" s="16"/>
      <c r="AG35" s="16"/>
      <c r="AH35" s="16"/>
    </row>
    <row r="36">
      <c r="A36" s="20"/>
      <c r="B36" s="20"/>
      <c r="C36" s="20"/>
      <c r="D36" s="28"/>
      <c r="E36" s="19"/>
      <c r="F36" s="19"/>
      <c r="G36" s="19"/>
      <c r="H36" s="19"/>
      <c r="I36" s="19"/>
      <c r="J36" s="19"/>
      <c r="K36" s="16"/>
      <c r="L36" s="32"/>
      <c r="M36" s="32"/>
      <c r="N36" s="32"/>
      <c r="O36" s="32"/>
      <c r="P36" s="32"/>
      <c r="Q36" s="32"/>
      <c r="R36" s="33"/>
      <c r="S36" s="36" t="s">
        <v>32</v>
      </c>
      <c r="T36" s="32" t="s">
        <v>34</v>
      </c>
      <c r="U36" s="32" t="s">
        <v>31</v>
      </c>
      <c r="V36" s="33">
        <v>2837.35</v>
      </c>
      <c r="W36" s="34">
        <f t="array" ref="W36">XLOOKUP(T36, 'Data jarak '!$A$2:$A$11, XLOOKUP(U36, 'Data jarak '!$B$1:$K$1, 'Data jarak '!$B$2:$K$11))</f>
        <v>404.8972</v>
      </c>
      <c r="X36" s="16">
        <f t="shared" si="3"/>
        <v>17232526.06</v>
      </c>
      <c r="Y36" s="16"/>
      <c r="Z36" s="16"/>
      <c r="AA36" s="16"/>
      <c r="AB36" s="16"/>
      <c r="AC36" s="16"/>
      <c r="AD36" s="16"/>
      <c r="AE36" s="16"/>
      <c r="AF36" s="16"/>
      <c r="AG36" s="16"/>
      <c r="AH36" s="16"/>
    </row>
    <row r="37">
      <c r="A37" s="20"/>
      <c r="B37" s="20"/>
      <c r="C37" s="20"/>
      <c r="D37" s="28"/>
      <c r="E37" s="19"/>
      <c r="F37" s="19"/>
      <c r="G37" s="19"/>
      <c r="H37" s="19"/>
      <c r="I37" s="19"/>
      <c r="J37" s="19"/>
      <c r="K37" s="16"/>
      <c r="L37" s="32"/>
      <c r="M37" s="32"/>
      <c r="N37" s="32"/>
      <c r="O37" s="32"/>
      <c r="P37" s="32"/>
      <c r="Q37" s="32"/>
      <c r="R37" s="33"/>
      <c r="S37" s="36" t="s">
        <v>32</v>
      </c>
      <c r="T37" s="32" t="s">
        <v>36</v>
      </c>
      <c r="U37" s="32" t="s">
        <v>33</v>
      </c>
      <c r="V37" s="33">
        <v>2340.64</v>
      </c>
      <c r="W37" s="34">
        <f t="array" ref="W37">XLOOKUP(T37, 'Data jarak '!$A$2:$A$11, XLOOKUP(U37, 'Data jarak '!$B$1:$K$1, 'Data jarak '!$B$2:$K$11))</f>
        <v>397.4792</v>
      </c>
      <c r="X37" s="16">
        <f t="shared" si="3"/>
        <v>13955335.72</v>
      </c>
      <c r="Y37" s="16"/>
      <c r="Z37" s="16"/>
      <c r="AA37" s="16"/>
      <c r="AB37" s="16"/>
      <c r="AC37" s="16"/>
      <c r="AD37" s="16"/>
      <c r="AE37" s="16"/>
      <c r="AF37" s="16"/>
      <c r="AG37" s="16"/>
      <c r="AH37" s="16"/>
    </row>
    <row r="38">
      <c r="A38" s="20"/>
      <c r="B38" s="20"/>
      <c r="C38" s="20"/>
      <c r="D38" s="28"/>
      <c r="E38" s="19"/>
      <c r="F38" s="19"/>
      <c r="G38" s="19"/>
      <c r="H38" s="19"/>
      <c r="I38" s="19"/>
      <c r="J38" s="19"/>
      <c r="K38" s="16"/>
      <c r="L38" s="32"/>
      <c r="M38" s="32"/>
      <c r="N38" s="32"/>
      <c r="O38" s="32"/>
      <c r="P38" s="32"/>
      <c r="Q38" s="32"/>
      <c r="R38" s="33"/>
      <c r="S38" s="36" t="s">
        <v>32</v>
      </c>
      <c r="T38" s="32" t="s">
        <v>38</v>
      </c>
      <c r="U38" s="32" t="s">
        <v>33</v>
      </c>
      <c r="V38" s="33">
        <v>1346.84</v>
      </c>
      <c r="W38" s="34">
        <f t="array" ref="W38">XLOOKUP(T38, 'Data jarak '!$A$2:$A$11, XLOOKUP(U38, 'Data jarak '!$B$1:$K$1, 'Data jarak '!$B$2:$K$11))</f>
        <v>176.4669</v>
      </c>
      <c r="X38" s="16">
        <f t="shared" si="3"/>
        <v>3565090.194</v>
      </c>
      <c r="Y38" s="16"/>
      <c r="Z38" s="16"/>
      <c r="AA38" s="16"/>
      <c r="AB38" s="16"/>
      <c r="AC38" s="16"/>
      <c r="AD38" s="16"/>
      <c r="AE38" s="16"/>
      <c r="AF38" s="16"/>
      <c r="AG38" s="16"/>
      <c r="AH38" s="16"/>
    </row>
    <row r="39">
      <c r="A39" s="20"/>
      <c r="B39" s="20"/>
      <c r="C39" s="20"/>
      <c r="D39" s="28"/>
      <c r="E39" s="19"/>
      <c r="F39" s="19"/>
      <c r="G39" s="19"/>
      <c r="H39" s="19"/>
      <c r="I39" s="19"/>
      <c r="J39" s="19"/>
      <c r="K39" s="16"/>
      <c r="L39" s="32"/>
      <c r="M39" s="32"/>
      <c r="N39" s="32"/>
      <c r="O39" s="32"/>
      <c r="P39" s="32"/>
      <c r="Q39" s="32"/>
      <c r="R39" s="33"/>
      <c r="S39" s="36" t="s">
        <v>32</v>
      </c>
      <c r="T39" s="32" t="s">
        <v>33</v>
      </c>
      <c r="U39" s="32" t="s">
        <v>33</v>
      </c>
      <c r="V39" s="33">
        <v>7897.68</v>
      </c>
      <c r="W39" s="34">
        <f t="array" ref="W39">XLOOKUP(T39, 'Data jarak '!$A$2:$A$11, XLOOKUP(U39, 'Data jarak '!$B$1:$K$1, 'Data jarak '!$B$2:$K$11))</f>
        <v>0</v>
      </c>
      <c r="X39" s="16">
        <f t="shared" si="3"/>
        <v>0</v>
      </c>
      <c r="Y39" s="16"/>
      <c r="Z39" s="16"/>
      <c r="AA39" s="16"/>
      <c r="AB39" s="16"/>
      <c r="AC39" s="16"/>
      <c r="AD39" s="16"/>
      <c r="AE39" s="16"/>
      <c r="AF39" s="16"/>
      <c r="AG39" s="16"/>
      <c r="AH39" s="16"/>
    </row>
    <row r="40">
      <c r="A40" s="20"/>
      <c r="B40" s="20"/>
      <c r="C40" s="20"/>
      <c r="D40" s="28"/>
      <c r="E40" s="19"/>
      <c r="F40" s="19"/>
      <c r="G40" s="19"/>
      <c r="H40" s="19"/>
      <c r="I40" s="19"/>
      <c r="J40" s="19"/>
      <c r="K40" s="16"/>
      <c r="L40" s="32"/>
      <c r="M40" s="32"/>
      <c r="N40" s="32"/>
      <c r="O40" s="32"/>
      <c r="P40" s="32"/>
      <c r="Q40" s="32"/>
      <c r="R40" s="33"/>
      <c r="S40" s="36" t="s">
        <v>32</v>
      </c>
      <c r="T40" s="32" t="s">
        <v>39</v>
      </c>
      <c r="U40" s="32" t="s">
        <v>33</v>
      </c>
      <c r="V40" s="33">
        <v>3023.8</v>
      </c>
      <c r="W40" s="34">
        <f t="array" ref="W40">XLOOKUP(T40, 'Data jarak '!$A$2:$A$11, XLOOKUP(U40, 'Data jarak '!$B$1:$K$1, 'Data jarak '!$B$2:$K$11))</f>
        <v>356.1662</v>
      </c>
      <c r="X40" s="16">
        <f t="shared" si="3"/>
        <v>16154630.33</v>
      </c>
      <c r="Y40" s="16"/>
      <c r="Z40" s="16"/>
      <c r="AA40" s="16"/>
      <c r="AB40" s="16"/>
      <c r="AC40" s="16"/>
      <c r="AD40" s="16"/>
      <c r="AE40" s="16"/>
      <c r="AF40" s="16"/>
      <c r="AG40" s="16"/>
      <c r="AH40" s="16"/>
    </row>
    <row r="41">
      <c r="A41" s="20"/>
      <c r="B41" s="20"/>
      <c r="C41" s="20"/>
      <c r="D41" s="28"/>
      <c r="E41" s="19"/>
      <c r="F41" s="19"/>
      <c r="G41" s="19"/>
      <c r="H41" s="19"/>
      <c r="I41" s="19"/>
      <c r="J41" s="19"/>
      <c r="K41" s="16"/>
      <c r="L41" s="32"/>
      <c r="M41" s="32"/>
      <c r="N41" s="32"/>
      <c r="O41" s="32"/>
      <c r="P41" s="32"/>
      <c r="Q41" s="32"/>
      <c r="R41" s="33"/>
      <c r="S41" s="36" t="s">
        <v>32</v>
      </c>
      <c r="T41" s="32" t="s">
        <v>35</v>
      </c>
      <c r="U41" s="32" t="s">
        <v>35</v>
      </c>
      <c r="V41" s="33">
        <v>15699.2</v>
      </c>
      <c r="W41" s="34">
        <f t="array" ref="W41">XLOOKUP(T41, 'Data jarak '!$A$2:$A$11, XLOOKUP(U41, 'Data jarak '!$B$1:$K$1, 'Data jarak '!$B$2:$K$11))</f>
        <v>0</v>
      </c>
      <c r="X41" s="16">
        <f t="shared" si="3"/>
        <v>0</v>
      </c>
      <c r="Y41" s="16"/>
      <c r="Z41" s="16"/>
      <c r="AA41" s="16"/>
      <c r="AB41" s="16"/>
      <c r="AC41" s="16"/>
      <c r="AD41" s="16"/>
      <c r="AE41" s="16"/>
      <c r="AF41" s="16"/>
      <c r="AG41" s="16"/>
      <c r="AH41" s="16"/>
    </row>
    <row r="42">
      <c r="A42" s="20"/>
      <c r="B42" s="20"/>
      <c r="C42" s="20"/>
      <c r="D42" s="28"/>
      <c r="E42" s="19"/>
      <c r="F42" s="19"/>
      <c r="G42" s="19"/>
      <c r="H42" s="19"/>
      <c r="I42" s="19"/>
      <c r="J42" s="19"/>
      <c r="K42" s="16"/>
      <c r="L42" s="32"/>
      <c r="M42" s="32"/>
      <c r="N42" s="32"/>
      <c r="O42" s="32"/>
      <c r="P42" s="32"/>
      <c r="Q42" s="32"/>
      <c r="R42" s="33"/>
      <c r="S42" s="36" t="s">
        <v>32</v>
      </c>
      <c r="T42" s="32" t="s">
        <v>40</v>
      </c>
      <c r="U42" s="32" t="s">
        <v>35</v>
      </c>
      <c r="V42" s="33">
        <v>2504.17</v>
      </c>
      <c r="W42" s="34">
        <f t="array" ref="W42">XLOOKUP(T42, 'Data jarak '!$A$2:$A$11, XLOOKUP(U42, 'Data jarak '!$B$1:$K$1, 'Data jarak '!$B$2:$K$11))</f>
        <v>403.0102</v>
      </c>
      <c r="X42" s="16">
        <f t="shared" si="3"/>
        <v>15138090.79</v>
      </c>
      <c r="Y42" s="16"/>
      <c r="Z42" s="16"/>
      <c r="AA42" s="16"/>
      <c r="AB42" s="16"/>
      <c r="AC42" s="16"/>
      <c r="AD42" s="16"/>
      <c r="AE42" s="16"/>
      <c r="AF42" s="16"/>
      <c r="AG42" s="16"/>
      <c r="AH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32"/>
      <c r="M43" s="32"/>
      <c r="N43" s="32"/>
      <c r="O43" s="32"/>
      <c r="P43" s="32"/>
      <c r="Q43" s="32"/>
      <c r="R43" s="33"/>
      <c r="S43" s="36" t="s">
        <v>32</v>
      </c>
      <c r="T43" s="32" t="s">
        <v>37</v>
      </c>
      <c r="U43" s="32" t="s">
        <v>37</v>
      </c>
      <c r="V43" s="33">
        <v>12387.4</v>
      </c>
      <c r="W43" s="34">
        <f t="array" ref="W43">XLOOKUP(T43, 'Data jarak '!$A$2:$A$11, XLOOKUP(U43, 'Data jarak '!$B$1:$K$1, 'Data jarak '!$B$2:$K$11))</f>
        <v>0</v>
      </c>
      <c r="X43" s="16">
        <f t="shared" si="3"/>
        <v>0</v>
      </c>
      <c r="Y43" s="16"/>
      <c r="Z43" s="16"/>
      <c r="AA43" s="16"/>
      <c r="AB43" s="16"/>
      <c r="AC43" s="16"/>
      <c r="AD43" s="16"/>
      <c r="AE43" s="16"/>
      <c r="AF43" s="16"/>
      <c r="AG43" s="16"/>
      <c r="AH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32"/>
      <c r="M44" s="32"/>
      <c r="N44" s="32"/>
      <c r="O44" s="32"/>
      <c r="P44" s="32"/>
      <c r="Q44" s="32"/>
      <c r="R44" s="33"/>
      <c r="S44" s="36" t="s">
        <v>38</v>
      </c>
      <c r="T44" s="32" t="s">
        <v>31</v>
      </c>
      <c r="U44" s="32" t="s">
        <v>31</v>
      </c>
      <c r="V44" s="33">
        <v>1916.56</v>
      </c>
      <c r="W44" s="34">
        <f t="array" ref="W44">XLOOKUP(T44, 'Data jarak '!$A$2:$A$11, XLOOKUP(U44, 'Data jarak '!$B$1:$K$1, 'Data jarak '!$B$2:$K$11))</f>
        <v>0</v>
      </c>
      <c r="X44" s="16">
        <f t="shared" si="3"/>
        <v>0</v>
      </c>
      <c r="Y44" s="16"/>
      <c r="Z44" s="16"/>
      <c r="AA44" s="16"/>
      <c r="AB44" s="16"/>
      <c r="AC44" s="16"/>
      <c r="AD44" s="16"/>
      <c r="AE44" s="16"/>
      <c r="AF44" s="16"/>
      <c r="AG44" s="16"/>
      <c r="AH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32"/>
      <c r="M45" s="32"/>
      <c r="N45" s="32"/>
      <c r="O45" s="32"/>
      <c r="P45" s="32"/>
      <c r="Q45" s="32"/>
      <c r="R45" s="33"/>
      <c r="S45" s="36" t="s">
        <v>38</v>
      </c>
      <c r="T45" s="32" t="s">
        <v>34</v>
      </c>
      <c r="U45" s="32" t="s">
        <v>33</v>
      </c>
      <c r="V45" s="33">
        <v>453.68</v>
      </c>
      <c r="W45" s="34">
        <f t="array" ref="W45">XLOOKUP(T45, 'Data jarak '!$A$2:$A$11, XLOOKUP(U45, 'Data jarak '!$B$1:$K$1, 'Data jarak '!$B$2:$K$11))</f>
        <v>966.6815</v>
      </c>
      <c r="X45" s="16">
        <f t="shared" si="3"/>
        <v>6578460.944</v>
      </c>
      <c r="Y45" s="16"/>
      <c r="Z45" s="16"/>
      <c r="AA45" s="16"/>
      <c r="AB45" s="16"/>
      <c r="AC45" s="16"/>
      <c r="AD45" s="16"/>
      <c r="AE45" s="16"/>
      <c r="AF45" s="16"/>
      <c r="AG45" s="16"/>
      <c r="AH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32"/>
      <c r="M46" s="32"/>
      <c r="N46" s="32"/>
      <c r="O46" s="32"/>
      <c r="P46" s="32"/>
      <c r="Q46" s="32"/>
      <c r="R46" s="33"/>
      <c r="S46" s="36" t="s">
        <v>38</v>
      </c>
      <c r="T46" s="32" t="s">
        <v>36</v>
      </c>
      <c r="U46" s="32" t="s">
        <v>33</v>
      </c>
      <c r="V46" s="33">
        <v>821.08</v>
      </c>
      <c r="W46" s="34">
        <f t="array" ref="W46">XLOOKUP(T46, 'Data jarak '!$A$2:$A$11, XLOOKUP(U46, 'Data jarak '!$B$1:$K$1, 'Data jarak '!$B$2:$K$11))</f>
        <v>397.4792</v>
      </c>
      <c r="X46" s="16">
        <f t="shared" si="3"/>
        <v>4895433.323</v>
      </c>
      <c r="Y46" s="16"/>
      <c r="Z46" s="16"/>
      <c r="AA46" s="16"/>
      <c r="AB46" s="16"/>
      <c r="AC46" s="16"/>
      <c r="AD46" s="16"/>
      <c r="AE46" s="16"/>
      <c r="AF46" s="16"/>
      <c r="AG46" s="16"/>
      <c r="AH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32"/>
      <c r="M47" s="32"/>
      <c r="N47" s="32"/>
      <c r="O47" s="32"/>
      <c r="P47" s="32"/>
      <c r="Q47" s="32"/>
      <c r="R47" s="33"/>
      <c r="S47" s="36" t="s">
        <v>38</v>
      </c>
      <c r="T47" s="32" t="s">
        <v>32</v>
      </c>
      <c r="U47" s="32" t="s">
        <v>33</v>
      </c>
      <c r="V47" s="33">
        <v>3869.6</v>
      </c>
      <c r="W47" s="34">
        <f t="array" ref="W47">XLOOKUP(T47, 'Data jarak '!$A$2:$A$11, XLOOKUP(U47, 'Data jarak '!$B$1:$K$1, 'Data jarak '!$B$2:$K$11))</f>
        <v>525.4495</v>
      </c>
      <c r="X47" s="16">
        <f t="shared" si="3"/>
        <v>30499190.78</v>
      </c>
      <c r="Y47" s="16"/>
      <c r="Z47" s="16"/>
      <c r="AA47" s="16"/>
      <c r="AB47" s="16"/>
      <c r="AC47" s="16"/>
      <c r="AD47" s="16"/>
      <c r="AE47" s="16"/>
      <c r="AF47" s="16"/>
      <c r="AG47" s="16"/>
      <c r="AH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32"/>
      <c r="M48" s="32"/>
      <c r="N48" s="32"/>
      <c r="O48" s="32"/>
      <c r="P48" s="32"/>
      <c r="Q48" s="32"/>
      <c r="R48" s="33"/>
      <c r="S48" s="36" t="s">
        <v>38</v>
      </c>
      <c r="T48" s="32" t="s">
        <v>33</v>
      </c>
      <c r="U48" s="32" t="s">
        <v>33</v>
      </c>
      <c r="V48" s="33">
        <v>5400.56</v>
      </c>
      <c r="W48" s="34">
        <f t="array" ref="W48">XLOOKUP(T48, 'Data jarak '!$A$2:$A$11, XLOOKUP(U48, 'Data jarak '!$B$1:$K$1, 'Data jarak '!$B$2:$K$11))</f>
        <v>0</v>
      </c>
      <c r="X48" s="16">
        <f t="shared" si="3"/>
        <v>0</v>
      </c>
      <c r="Y48" s="16"/>
      <c r="Z48" s="16"/>
      <c r="AA48" s="16"/>
      <c r="AB48" s="16"/>
      <c r="AC48" s="16"/>
      <c r="AD48" s="16"/>
      <c r="AE48" s="16"/>
      <c r="AF48" s="16"/>
      <c r="AG48" s="16"/>
      <c r="AH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32"/>
      <c r="M49" s="32"/>
      <c r="N49" s="32"/>
      <c r="O49" s="32"/>
      <c r="P49" s="32"/>
      <c r="Q49" s="32"/>
      <c r="R49" s="33"/>
      <c r="S49" s="36" t="s">
        <v>38</v>
      </c>
      <c r="T49" s="32" t="s">
        <v>39</v>
      </c>
      <c r="U49" s="32" t="s">
        <v>33</v>
      </c>
      <c r="V49" s="33">
        <v>977.52</v>
      </c>
      <c r="W49" s="34">
        <f t="array" ref="W49">XLOOKUP(T49, 'Data jarak '!$A$2:$A$11, XLOOKUP(U49, 'Data jarak '!$B$1:$K$1, 'Data jarak '!$B$2:$K$11))</f>
        <v>356.1662</v>
      </c>
      <c r="X49" s="16">
        <f t="shared" si="3"/>
        <v>5222393.757</v>
      </c>
      <c r="Y49" s="16"/>
      <c r="Z49" s="16"/>
      <c r="AA49" s="16"/>
      <c r="AB49" s="16"/>
      <c r="AC49" s="16"/>
      <c r="AD49" s="16"/>
      <c r="AE49" s="16"/>
      <c r="AF49" s="16"/>
      <c r="AG49" s="16"/>
      <c r="AH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32"/>
      <c r="M50" s="32"/>
      <c r="N50" s="32"/>
      <c r="O50" s="32"/>
      <c r="P50" s="32"/>
      <c r="Q50" s="32"/>
      <c r="R50" s="33"/>
      <c r="S50" s="36" t="s">
        <v>38</v>
      </c>
      <c r="T50" s="32" t="s">
        <v>35</v>
      </c>
      <c r="U50" s="32" t="s">
        <v>35</v>
      </c>
      <c r="V50" s="33">
        <v>20364.36</v>
      </c>
      <c r="W50" s="34">
        <f t="array" ref="W50">XLOOKUP(T50, 'Data jarak '!$A$2:$A$11, XLOOKUP(U50, 'Data jarak '!$B$1:$K$1, 'Data jarak '!$B$2:$K$11))</f>
        <v>0</v>
      </c>
      <c r="X50" s="16">
        <f t="shared" si="3"/>
        <v>0</v>
      </c>
      <c r="Y50" s="16"/>
      <c r="Z50" s="16"/>
      <c r="AA50" s="16"/>
      <c r="AB50" s="16"/>
      <c r="AC50" s="16"/>
      <c r="AD50" s="16"/>
      <c r="AE50" s="16"/>
      <c r="AF50" s="16"/>
      <c r="AG50" s="16"/>
      <c r="AH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32"/>
      <c r="M51" s="32"/>
      <c r="N51" s="32"/>
      <c r="O51" s="32"/>
      <c r="P51" s="32"/>
      <c r="Q51" s="32"/>
      <c r="R51" s="33"/>
      <c r="S51" s="36" t="s">
        <v>38</v>
      </c>
      <c r="T51" s="32" t="s">
        <v>40</v>
      </c>
      <c r="U51" s="32" t="s">
        <v>35</v>
      </c>
      <c r="V51" s="33">
        <v>1191.2</v>
      </c>
      <c r="W51" s="34">
        <f t="array" ref="W51">XLOOKUP(T51, 'Data jarak '!$A$2:$A$11, XLOOKUP(U51, 'Data jarak '!$B$1:$K$1, 'Data jarak '!$B$2:$K$11))</f>
        <v>403.0102</v>
      </c>
      <c r="X51" s="16">
        <f t="shared" si="3"/>
        <v>7200986.254</v>
      </c>
      <c r="Y51" s="16"/>
      <c r="Z51" s="16"/>
      <c r="AA51" s="16"/>
      <c r="AB51" s="16"/>
      <c r="AC51" s="16"/>
      <c r="AD51" s="16"/>
      <c r="AE51" s="16"/>
      <c r="AF51" s="16"/>
      <c r="AG51" s="16"/>
      <c r="AH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32"/>
      <c r="M52" s="32"/>
      <c r="N52" s="32"/>
      <c r="O52" s="32"/>
      <c r="P52" s="32"/>
      <c r="Q52" s="32"/>
      <c r="R52" s="33"/>
      <c r="S52" s="36" t="s">
        <v>38</v>
      </c>
      <c r="T52" s="32" t="s">
        <v>37</v>
      </c>
      <c r="U52" s="32" t="s">
        <v>37</v>
      </c>
      <c r="V52" s="33">
        <v>5911.52</v>
      </c>
      <c r="W52" s="34">
        <f t="array" ref="W52">XLOOKUP(T52, 'Data jarak '!$A$2:$A$11, XLOOKUP(U52, 'Data jarak '!$B$1:$K$1, 'Data jarak '!$B$2:$K$11))</f>
        <v>0</v>
      </c>
      <c r="X52" s="16">
        <f t="shared" si="3"/>
        <v>0</v>
      </c>
      <c r="Y52" s="16"/>
      <c r="Z52" s="16"/>
      <c r="AA52" s="16"/>
      <c r="AB52" s="16"/>
      <c r="AC52" s="16"/>
      <c r="AD52" s="16"/>
      <c r="AE52" s="16"/>
      <c r="AF52" s="16"/>
      <c r="AG52" s="16"/>
      <c r="AH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32"/>
      <c r="M53" s="32"/>
      <c r="N53" s="32"/>
      <c r="O53" s="32"/>
      <c r="P53" s="32"/>
      <c r="Q53" s="32"/>
      <c r="R53" s="33"/>
      <c r="S53" s="36" t="s">
        <v>33</v>
      </c>
      <c r="T53" s="32" t="s">
        <v>31</v>
      </c>
      <c r="U53" s="32" t="s">
        <v>31</v>
      </c>
      <c r="V53" s="33">
        <v>2334.6</v>
      </c>
      <c r="W53" s="34">
        <f t="array" ref="W53">XLOOKUP(T53, 'Data jarak '!$A$2:$A$11, XLOOKUP(U53, 'Data jarak '!$B$1:$K$1, 'Data jarak '!$B$2:$K$11))</f>
        <v>0</v>
      </c>
      <c r="X53" s="16">
        <f t="shared" si="3"/>
        <v>0</v>
      </c>
      <c r="Y53" s="16"/>
      <c r="Z53" s="16"/>
      <c r="AA53" s="16"/>
      <c r="AB53" s="16"/>
      <c r="AC53" s="16"/>
      <c r="AD53" s="16"/>
      <c r="AE53" s="16"/>
      <c r="AF53" s="16"/>
      <c r="AG53" s="16"/>
      <c r="AH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32"/>
      <c r="M54" s="32"/>
      <c r="N54" s="32"/>
      <c r="O54" s="32"/>
      <c r="P54" s="32"/>
      <c r="Q54" s="32"/>
      <c r="R54" s="33"/>
      <c r="S54" s="36" t="s">
        <v>33</v>
      </c>
      <c r="T54" s="32" t="s">
        <v>34</v>
      </c>
      <c r="U54" s="32" t="s">
        <v>33</v>
      </c>
      <c r="V54" s="33">
        <v>2285.37</v>
      </c>
      <c r="W54" s="34">
        <f t="array" ref="W54">XLOOKUP(T54, 'Data jarak '!$A$2:$A$11, XLOOKUP(U54, 'Data jarak '!$B$1:$K$1, 'Data jarak '!$B$2:$K$11))</f>
        <v>966.6815</v>
      </c>
      <c r="X54" s="16">
        <f t="shared" si="3"/>
        <v>33138373.49</v>
      </c>
      <c r="Y54" s="16"/>
      <c r="Z54" s="16"/>
      <c r="AA54" s="16"/>
      <c r="AB54" s="16"/>
      <c r="AC54" s="16"/>
      <c r="AD54" s="16"/>
      <c r="AE54" s="16"/>
      <c r="AF54" s="16"/>
      <c r="AG54" s="16"/>
      <c r="AH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32"/>
      <c r="M55" s="32"/>
      <c r="N55" s="32"/>
      <c r="O55" s="32"/>
      <c r="P55" s="32"/>
      <c r="Q55" s="32"/>
      <c r="R55" s="33"/>
      <c r="S55" s="36" t="s">
        <v>33</v>
      </c>
      <c r="T55" s="32" t="s">
        <v>36</v>
      </c>
      <c r="U55" s="32" t="s">
        <v>33</v>
      </c>
      <c r="V55" s="33">
        <v>2193.32</v>
      </c>
      <c r="W55" s="34">
        <f t="array" ref="W55">XLOOKUP(T55, 'Data jarak '!$A$2:$A$11, XLOOKUP(U55, 'Data jarak '!$B$1:$K$1, 'Data jarak '!$B$2:$K$11))</f>
        <v>397.4792</v>
      </c>
      <c r="X55" s="16">
        <f t="shared" si="3"/>
        <v>13076986.18</v>
      </c>
      <c r="Y55" s="16"/>
      <c r="Z55" s="16"/>
      <c r="AA55" s="16"/>
      <c r="AB55" s="16"/>
      <c r="AC55" s="16"/>
      <c r="AD55" s="16"/>
      <c r="AE55" s="16"/>
      <c r="AF55" s="16"/>
      <c r="AG55" s="16"/>
      <c r="AH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32"/>
      <c r="M56" s="32"/>
      <c r="N56" s="32"/>
      <c r="O56" s="32"/>
      <c r="P56" s="32"/>
      <c r="Q56" s="32"/>
      <c r="R56" s="33"/>
      <c r="S56" s="36" t="s">
        <v>33</v>
      </c>
      <c r="T56" s="32" t="s">
        <v>32</v>
      </c>
      <c r="U56" s="32" t="s">
        <v>33</v>
      </c>
      <c r="V56" s="33">
        <v>10240.56</v>
      </c>
      <c r="W56" s="34">
        <f t="array" ref="W56">XLOOKUP(T56, 'Data jarak '!$A$2:$A$11, XLOOKUP(U56, 'Data jarak '!$B$1:$K$1, 'Data jarak '!$B$2:$K$11))</f>
        <v>525.4495</v>
      </c>
      <c r="X56" s="16">
        <f t="shared" si="3"/>
        <v>80713456.98</v>
      </c>
      <c r="Y56" s="16"/>
      <c r="Z56" s="16"/>
      <c r="AA56" s="16"/>
      <c r="AB56" s="16"/>
      <c r="AC56" s="16"/>
      <c r="AD56" s="16"/>
      <c r="AE56" s="16"/>
      <c r="AF56" s="16"/>
      <c r="AG56" s="16"/>
      <c r="AH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32"/>
      <c r="M57" s="32"/>
      <c r="N57" s="32"/>
      <c r="O57" s="32"/>
      <c r="P57" s="32"/>
      <c r="Q57" s="32"/>
      <c r="R57" s="33"/>
      <c r="S57" s="36" t="s">
        <v>33</v>
      </c>
      <c r="T57" s="32" t="s">
        <v>38</v>
      </c>
      <c r="U57" s="32" t="s">
        <v>33</v>
      </c>
      <c r="V57" s="33">
        <v>2693.56</v>
      </c>
      <c r="W57" s="34">
        <f t="array" ref="W57">XLOOKUP(T57, 'Data jarak '!$A$2:$A$11, XLOOKUP(U57, 'Data jarak '!$B$1:$K$1, 'Data jarak '!$B$2:$K$11))</f>
        <v>176.4669</v>
      </c>
      <c r="X57" s="16">
        <f t="shared" si="3"/>
        <v>7129862.747</v>
      </c>
      <c r="Y57" s="16"/>
      <c r="Z57" s="16"/>
      <c r="AA57" s="16"/>
      <c r="AB57" s="16"/>
      <c r="AC57" s="16"/>
      <c r="AD57" s="16"/>
      <c r="AE57" s="16"/>
      <c r="AF57" s="16"/>
      <c r="AG57" s="16"/>
      <c r="AH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32"/>
      <c r="M58" s="32"/>
      <c r="N58" s="32"/>
      <c r="O58" s="32"/>
      <c r="P58" s="32"/>
      <c r="Q58" s="32"/>
      <c r="R58" s="33"/>
      <c r="S58" s="36" t="s">
        <v>33</v>
      </c>
      <c r="T58" s="32" t="s">
        <v>39</v>
      </c>
      <c r="U58" s="32" t="s">
        <v>33</v>
      </c>
      <c r="V58" s="33">
        <v>2535.32</v>
      </c>
      <c r="W58" s="34">
        <f t="array" ref="W58">XLOOKUP(T58, 'Data jarak '!$A$2:$A$11, XLOOKUP(U58, 'Data jarak '!$B$1:$K$1, 'Data jarak '!$B$2:$K$11))</f>
        <v>356.1662</v>
      </c>
      <c r="X58" s="16">
        <f t="shared" si="3"/>
        <v>13544929.35</v>
      </c>
      <c r="Y58" s="16"/>
      <c r="Z58" s="16"/>
      <c r="AA58" s="16"/>
      <c r="AB58" s="16"/>
      <c r="AC58" s="16"/>
      <c r="AD58" s="16"/>
      <c r="AE58" s="16"/>
      <c r="AF58" s="16"/>
      <c r="AG58" s="16"/>
      <c r="AH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32"/>
      <c r="M59" s="32"/>
      <c r="N59" s="32"/>
      <c r="O59" s="32"/>
      <c r="P59" s="32"/>
      <c r="Q59" s="32"/>
      <c r="R59" s="33"/>
      <c r="S59" s="36" t="s">
        <v>33</v>
      </c>
      <c r="T59" s="32" t="s">
        <v>35</v>
      </c>
      <c r="U59" s="32" t="s">
        <v>35</v>
      </c>
      <c r="V59" s="33">
        <v>33272.84</v>
      </c>
      <c r="W59" s="34">
        <f t="array" ref="W59">XLOOKUP(T59, 'Data jarak '!$A$2:$A$11, XLOOKUP(U59, 'Data jarak '!$B$1:$K$1, 'Data jarak '!$B$2:$K$11))</f>
        <v>0</v>
      </c>
      <c r="X59" s="16">
        <f t="shared" si="3"/>
        <v>0</v>
      </c>
      <c r="Y59" s="16"/>
      <c r="Z59" s="16"/>
      <c r="AA59" s="16"/>
      <c r="AB59" s="16"/>
      <c r="AC59" s="16"/>
      <c r="AD59" s="16"/>
      <c r="AE59" s="16"/>
      <c r="AF59" s="16"/>
      <c r="AG59" s="16"/>
      <c r="AH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32"/>
      <c r="M60" s="32"/>
      <c r="N60" s="32"/>
      <c r="O60" s="32"/>
      <c r="P60" s="32"/>
      <c r="Q60" s="32"/>
      <c r="R60" s="33"/>
      <c r="S60" s="36" t="s">
        <v>33</v>
      </c>
      <c r="T60" s="32" t="s">
        <v>40</v>
      </c>
      <c r="U60" s="32" t="s">
        <v>35</v>
      </c>
      <c r="V60" s="33">
        <v>2248.87</v>
      </c>
      <c r="W60" s="34">
        <f t="array" ref="W60">XLOOKUP(T60, 'Data jarak '!$A$2:$A$11, XLOOKUP(U60, 'Data jarak '!$B$1:$K$1, 'Data jarak '!$B$2:$K$11))</f>
        <v>403.0102</v>
      </c>
      <c r="X60" s="16">
        <f t="shared" si="3"/>
        <v>13594763.23</v>
      </c>
      <c r="Y60" s="16"/>
      <c r="Z60" s="16"/>
      <c r="AA60" s="16"/>
      <c r="AB60" s="16"/>
      <c r="AC60" s="16"/>
      <c r="AD60" s="16"/>
      <c r="AE60" s="16"/>
      <c r="AF60" s="16"/>
      <c r="AG60" s="16"/>
      <c r="AH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32"/>
      <c r="M61" s="32"/>
      <c r="N61" s="32"/>
      <c r="O61" s="32"/>
      <c r="P61" s="32"/>
      <c r="Q61" s="32"/>
      <c r="R61" s="33"/>
      <c r="S61" s="36" t="s">
        <v>33</v>
      </c>
      <c r="T61" s="32" t="s">
        <v>37</v>
      </c>
      <c r="U61" s="32" t="s">
        <v>37</v>
      </c>
      <c r="V61" s="33">
        <v>6665.76</v>
      </c>
      <c r="W61" s="34">
        <f t="array" ref="W61">XLOOKUP(T61, 'Data jarak '!$A$2:$A$11, XLOOKUP(U61, 'Data jarak '!$B$1:$K$1, 'Data jarak '!$B$2:$K$11))</f>
        <v>0</v>
      </c>
      <c r="X61" s="16">
        <f t="shared" si="3"/>
        <v>0</v>
      </c>
      <c r="Y61" s="16"/>
      <c r="Z61" s="16"/>
      <c r="AA61" s="16"/>
      <c r="AB61" s="16"/>
      <c r="AC61" s="16"/>
      <c r="AD61" s="16"/>
      <c r="AE61" s="16"/>
      <c r="AF61" s="16"/>
      <c r="AG61" s="16"/>
      <c r="AH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32"/>
      <c r="M62" s="32"/>
      <c r="N62" s="32"/>
      <c r="O62" s="32"/>
      <c r="P62" s="32"/>
      <c r="Q62" s="32"/>
      <c r="R62" s="33"/>
      <c r="S62" s="36" t="s">
        <v>39</v>
      </c>
      <c r="T62" s="32" t="s">
        <v>31</v>
      </c>
      <c r="U62" s="32" t="s">
        <v>31</v>
      </c>
      <c r="V62" s="33">
        <v>2873.96</v>
      </c>
      <c r="W62" s="34">
        <f t="array" ref="W62">XLOOKUP(T62, 'Data jarak '!$A$2:$A$11, XLOOKUP(U62, 'Data jarak '!$B$1:$K$1, 'Data jarak '!$B$2:$K$11))</f>
        <v>0</v>
      </c>
      <c r="X62" s="16">
        <f t="shared" si="3"/>
        <v>0</v>
      </c>
      <c r="Y62" s="16"/>
      <c r="Z62" s="16"/>
      <c r="AA62" s="16"/>
      <c r="AB62" s="16"/>
      <c r="AC62" s="16"/>
      <c r="AD62" s="16"/>
      <c r="AE62" s="16"/>
      <c r="AF62" s="16"/>
      <c r="AG62" s="16"/>
      <c r="AH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32"/>
      <c r="M63" s="32"/>
      <c r="N63" s="32"/>
      <c r="O63" s="32"/>
      <c r="P63" s="32"/>
      <c r="Q63" s="32"/>
      <c r="R63" s="33"/>
      <c r="S63" s="36" t="s">
        <v>39</v>
      </c>
      <c r="T63" s="32" t="s">
        <v>34</v>
      </c>
      <c r="U63" s="32" t="s">
        <v>33</v>
      </c>
      <c r="V63" s="33">
        <v>3207.09</v>
      </c>
      <c r="W63" s="34">
        <f t="array" ref="W63">XLOOKUP(T63, 'Data jarak '!$A$2:$A$11, XLOOKUP(U63, 'Data jarak '!$B$1:$K$1, 'Data jarak '!$B$2:$K$11))</f>
        <v>966.6815</v>
      </c>
      <c r="X63" s="16">
        <f t="shared" si="3"/>
        <v>46503518.58</v>
      </c>
      <c r="Y63" s="16"/>
      <c r="Z63" s="16"/>
      <c r="AA63" s="16"/>
      <c r="AB63" s="16"/>
      <c r="AC63" s="16"/>
      <c r="AD63" s="16"/>
      <c r="AE63" s="16"/>
      <c r="AF63" s="16"/>
      <c r="AG63" s="16"/>
      <c r="AH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32"/>
      <c r="M64" s="32"/>
      <c r="N64" s="32"/>
      <c r="O64" s="32"/>
      <c r="P64" s="32"/>
      <c r="Q64" s="32"/>
      <c r="R64" s="33"/>
      <c r="S64" s="36" t="s">
        <v>39</v>
      </c>
      <c r="T64" s="32" t="s">
        <v>36</v>
      </c>
      <c r="U64" s="32" t="s">
        <v>33</v>
      </c>
      <c r="V64" s="33">
        <v>22608.32</v>
      </c>
      <c r="W64" s="34">
        <f t="array" ref="W64">XLOOKUP(T64, 'Data jarak '!$A$2:$A$11, XLOOKUP(U64, 'Data jarak '!$B$1:$K$1, 'Data jarak '!$B$2:$K$11))</f>
        <v>397.4792</v>
      </c>
      <c r="X64" s="16">
        <f t="shared" si="3"/>
        <v>134795054.2</v>
      </c>
      <c r="Y64" s="16"/>
      <c r="Z64" s="16"/>
      <c r="AA64" s="16"/>
      <c r="AB64" s="16"/>
      <c r="AC64" s="16"/>
      <c r="AD64" s="16"/>
      <c r="AE64" s="16"/>
      <c r="AF64" s="16"/>
      <c r="AG64" s="16"/>
      <c r="AH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32"/>
      <c r="M65" s="32"/>
      <c r="N65" s="32"/>
      <c r="O65" s="32"/>
      <c r="P65" s="32"/>
      <c r="Q65" s="32"/>
      <c r="R65" s="33"/>
      <c r="S65" s="36" t="s">
        <v>39</v>
      </c>
      <c r="T65" s="32" t="s">
        <v>32</v>
      </c>
      <c r="U65" s="32" t="s">
        <v>33</v>
      </c>
      <c r="V65" s="33">
        <v>6602.08</v>
      </c>
      <c r="W65" s="34">
        <f t="array" ref="W65">XLOOKUP(T65, 'Data jarak '!$A$2:$A$11, XLOOKUP(U65, 'Data jarak '!$B$1:$K$1, 'Data jarak '!$B$2:$K$11))</f>
        <v>525.4495</v>
      </c>
      <c r="X65" s="16">
        <f t="shared" si="3"/>
        <v>52035894.52</v>
      </c>
      <c r="Y65" s="16"/>
      <c r="Z65" s="16"/>
      <c r="AA65" s="16"/>
      <c r="AB65" s="16"/>
      <c r="AC65" s="16"/>
      <c r="AD65" s="16"/>
      <c r="AE65" s="16"/>
      <c r="AF65" s="16"/>
      <c r="AG65" s="16"/>
      <c r="AH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32"/>
      <c r="M66" s="32"/>
      <c r="N66" s="32"/>
      <c r="O66" s="32"/>
      <c r="P66" s="32"/>
      <c r="Q66" s="32"/>
      <c r="R66" s="33"/>
      <c r="S66" s="36" t="s">
        <v>39</v>
      </c>
      <c r="T66" s="32" t="s">
        <v>38</v>
      </c>
      <c r="U66" s="32" t="s">
        <v>33</v>
      </c>
      <c r="V66" s="33">
        <v>1576.64</v>
      </c>
      <c r="W66" s="34">
        <f t="array" ref="W66">XLOOKUP(T66, 'Data jarak '!$A$2:$A$11, XLOOKUP(U66, 'Data jarak '!$B$1:$K$1, 'Data jarak '!$B$2:$K$11))</f>
        <v>176.4669</v>
      </c>
      <c r="X66" s="16">
        <f t="shared" si="3"/>
        <v>4173371.598</v>
      </c>
      <c r="Y66" s="16"/>
      <c r="Z66" s="16"/>
      <c r="AA66" s="16"/>
      <c r="AB66" s="16"/>
      <c r="AC66" s="16"/>
      <c r="AD66" s="16"/>
      <c r="AE66" s="16"/>
      <c r="AF66" s="16"/>
      <c r="AG66" s="16"/>
      <c r="AH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32"/>
      <c r="M67" s="32"/>
      <c r="N67" s="32"/>
      <c r="O67" s="32"/>
      <c r="P67" s="32"/>
      <c r="Q67" s="32"/>
      <c r="R67" s="33"/>
      <c r="S67" s="36" t="s">
        <v>39</v>
      </c>
      <c r="T67" s="32" t="s">
        <v>33</v>
      </c>
      <c r="U67" s="32" t="s">
        <v>33</v>
      </c>
      <c r="V67" s="33">
        <v>11335.92</v>
      </c>
      <c r="W67" s="34">
        <f t="array" ref="W67">XLOOKUP(T67, 'Data jarak '!$A$2:$A$11, XLOOKUP(U67, 'Data jarak '!$B$1:$K$1, 'Data jarak '!$B$2:$K$11))</f>
        <v>0</v>
      </c>
      <c r="X67" s="16">
        <f t="shared" si="3"/>
        <v>0</v>
      </c>
      <c r="Y67" s="16"/>
      <c r="Z67" s="16"/>
      <c r="AA67" s="16"/>
      <c r="AB67" s="16"/>
      <c r="AC67" s="16"/>
      <c r="AD67" s="16"/>
      <c r="AE67" s="16"/>
      <c r="AF67" s="16"/>
      <c r="AG67" s="16"/>
      <c r="AH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32"/>
      <c r="M68" s="32"/>
      <c r="N68" s="32"/>
      <c r="O68" s="32"/>
      <c r="P68" s="32"/>
      <c r="Q68" s="32"/>
      <c r="R68" s="33"/>
      <c r="S68" s="36" t="s">
        <v>39</v>
      </c>
      <c r="T68" s="32" t="s">
        <v>35</v>
      </c>
      <c r="U68" s="32" t="s">
        <v>35</v>
      </c>
      <c r="V68" s="33">
        <v>14964.48</v>
      </c>
      <c r="W68" s="34">
        <f t="array" ref="W68">XLOOKUP(T68, 'Data jarak '!$A$2:$A$11, XLOOKUP(U68, 'Data jarak '!$B$1:$K$1, 'Data jarak '!$B$2:$K$11))</f>
        <v>0</v>
      </c>
      <c r="X68" s="16">
        <f t="shared" si="3"/>
        <v>0</v>
      </c>
      <c r="Y68" s="16"/>
      <c r="Z68" s="16"/>
      <c r="AA68" s="16"/>
      <c r="AB68" s="16"/>
      <c r="AC68" s="16"/>
      <c r="AD68" s="16"/>
      <c r="AE68" s="16"/>
      <c r="AF68" s="16"/>
      <c r="AG68" s="16"/>
      <c r="AH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32"/>
      <c r="M69" s="32"/>
      <c r="N69" s="32"/>
      <c r="O69" s="32"/>
      <c r="P69" s="32"/>
      <c r="Q69" s="32"/>
      <c r="R69" s="33"/>
      <c r="S69" s="36" t="s">
        <v>39</v>
      </c>
      <c r="T69" s="32" t="s">
        <v>40</v>
      </c>
      <c r="U69" s="32" t="s">
        <v>35</v>
      </c>
      <c r="V69" s="33">
        <v>3552.95</v>
      </c>
      <c r="W69" s="34">
        <f t="array" ref="W69">XLOOKUP(T69, 'Data jarak '!$A$2:$A$11, XLOOKUP(U69, 'Data jarak '!$B$1:$K$1, 'Data jarak '!$B$2:$K$11))</f>
        <v>403.0102</v>
      </c>
      <c r="X69" s="16">
        <f t="shared" si="3"/>
        <v>21478126.35</v>
      </c>
      <c r="Y69" s="16"/>
      <c r="Z69" s="16"/>
      <c r="AA69" s="16"/>
      <c r="AB69" s="16"/>
      <c r="AC69" s="16"/>
      <c r="AD69" s="16"/>
      <c r="AE69" s="16"/>
      <c r="AF69" s="16"/>
      <c r="AG69" s="16"/>
      <c r="AH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32"/>
      <c r="M70" s="32"/>
      <c r="N70" s="32"/>
      <c r="O70" s="32"/>
      <c r="P70" s="32"/>
      <c r="Q70" s="32"/>
      <c r="R70" s="33"/>
      <c r="S70" s="36" t="s">
        <v>39</v>
      </c>
      <c r="T70" s="32" t="s">
        <v>37</v>
      </c>
      <c r="U70" s="32" t="s">
        <v>37</v>
      </c>
      <c r="V70" s="33">
        <v>8546.4</v>
      </c>
      <c r="W70" s="34">
        <f t="array" ref="W70">XLOOKUP(T70, 'Data jarak '!$A$2:$A$11, XLOOKUP(U70, 'Data jarak '!$B$1:$K$1, 'Data jarak '!$B$2:$K$11))</f>
        <v>0</v>
      </c>
      <c r="X70" s="16">
        <f t="shared" si="3"/>
        <v>0</v>
      </c>
      <c r="Y70" s="16"/>
      <c r="Z70" s="16"/>
      <c r="AA70" s="16"/>
      <c r="AB70" s="16"/>
      <c r="AC70" s="16"/>
      <c r="AD70" s="16"/>
      <c r="AE70" s="16"/>
      <c r="AF70" s="16"/>
      <c r="AG70" s="16"/>
      <c r="AH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32"/>
      <c r="M71" s="32"/>
      <c r="N71" s="32"/>
      <c r="O71" s="32"/>
      <c r="P71" s="32"/>
      <c r="Q71" s="32"/>
      <c r="R71" s="33"/>
      <c r="S71" s="36" t="s">
        <v>35</v>
      </c>
      <c r="T71" s="32" t="s">
        <v>31</v>
      </c>
      <c r="U71" s="32" t="s">
        <v>31</v>
      </c>
      <c r="V71" s="33">
        <v>30724.48</v>
      </c>
      <c r="W71" s="34">
        <f t="array" ref="W71">XLOOKUP(T71, 'Data jarak '!$A$2:$A$11, XLOOKUP(U71, 'Data jarak '!$B$1:$K$1, 'Data jarak '!$B$2:$K$11))</f>
        <v>0</v>
      </c>
      <c r="X71" s="16">
        <f t="shared" si="3"/>
        <v>0</v>
      </c>
      <c r="Y71" s="16"/>
      <c r="Z71" s="16"/>
      <c r="AA71" s="16"/>
      <c r="AB71" s="16"/>
      <c r="AC71" s="16"/>
      <c r="AD71" s="16"/>
      <c r="AE71" s="16"/>
      <c r="AF71" s="16"/>
      <c r="AG71" s="16"/>
      <c r="AH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32"/>
      <c r="M72" s="32"/>
      <c r="N72" s="32"/>
      <c r="O72" s="32"/>
      <c r="P72" s="32"/>
      <c r="Q72" s="32"/>
      <c r="R72" s="33"/>
      <c r="S72" s="36" t="s">
        <v>35</v>
      </c>
      <c r="T72" s="32" t="s">
        <v>34</v>
      </c>
      <c r="U72" s="32" t="s">
        <v>33</v>
      </c>
      <c r="V72" s="33">
        <v>6826.26</v>
      </c>
      <c r="W72" s="34">
        <f t="array" ref="W72">XLOOKUP(T72, 'Data jarak '!$A$2:$A$11, XLOOKUP(U72, 'Data jarak '!$B$1:$K$1, 'Data jarak '!$B$2:$K$11))</f>
        <v>966.6815</v>
      </c>
      <c r="X72" s="16">
        <f t="shared" si="3"/>
        <v>98982288.84</v>
      </c>
      <c r="Y72" s="16"/>
      <c r="Z72" s="16"/>
      <c r="AA72" s="16"/>
      <c r="AB72" s="16"/>
      <c r="AC72" s="16"/>
      <c r="AD72" s="16"/>
      <c r="AE72" s="16"/>
      <c r="AF72" s="16"/>
      <c r="AG72" s="16"/>
      <c r="AH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32"/>
      <c r="M73" s="32"/>
      <c r="N73" s="32"/>
      <c r="O73" s="32"/>
      <c r="P73" s="32"/>
      <c r="Q73" s="32"/>
      <c r="R73" s="33"/>
      <c r="S73" s="36" t="s">
        <v>35</v>
      </c>
      <c r="T73" s="32" t="s">
        <v>36</v>
      </c>
      <c r="U73" s="32" t="s">
        <v>33</v>
      </c>
      <c r="V73" s="33">
        <v>12802.76</v>
      </c>
      <c r="W73" s="34">
        <f t="array" ref="W73">XLOOKUP(T73, 'Data jarak '!$A$2:$A$11, XLOOKUP(U73, 'Data jarak '!$B$1:$K$1, 'Data jarak '!$B$2:$K$11))</f>
        <v>397.4792</v>
      </c>
      <c r="X73" s="16">
        <f t="shared" si="3"/>
        <v>76332462.04</v>
      </c>
      <c r="Y73" s="16"/>
      <c r="Z73" s="16"/>
      <c r="AA73" s="16"/>
      <c r="AB73" s="16"/>
      <c r="AC73" s="16"/>
      <c r="AD73" s="16"/>
      <c r="AE73" s="16"/>
      <c r="AF73" s="16"/>
      <c r="AG73" s="16"/>
      <c r="AH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32"/>
      <c r="M74" s="32"/>
      <c r="N74" s="32"/>
      <c r="O74" s="32"/>
      <c r="P74" s="32"/>
      <c r="Q74" s="32"/>
      <c r="R74" s="33"/>
      <c r="S74" s="36" t="s">
        <v>35</v>
      </c>
      <c r="T74" s="32" t="s">
        <v>32</v>
      </c>
      <c r="U74" s="32" t="s">
        <v>33</v>
      </c>
      <c r="V74" s="33">
        <v>72304.0</v>
      </c>
      <c r="W74" s="34">
        <f t="array" ref="W74">XLOOKUP(T74, 'Data jarak '!$A$2:$A$11, XLOOKUP(U74, 'Data jarak '!$B$1:$K$1, 'Data jarak '!$B$2:$K$11))</f>
        <v>525.4495</v>
      </c>
      <c r="X74" s="16">
        <f t="shared" si="3"/>
        <v>569881509.7</v>
      </c>
      <c r="Y74" s="16"/>
      <c r="Z74" s="16"/>
      <c r="AA74" s="16"/>
      <c r="AB74" s="16"/>
      <c r="AC74" s="16"/>
      <c r="AD74" s="16"/>
      <c r="AE74" s="16"/>
      <c r="AF74" s="16"/>
      <c r="AG74" s="16"/>
      <c r="AH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32"/>
      <c r="M75" s="32"/>
      <c r="N75" s="32"/>
      <c r="O75" s="32"/>
      <c r="P75" s="32"/>
      <c r="Q75" s="32"/>
      <c r="R75" s="33"/>
      <c r="S75" s="36" t="s">
        <v>35</v>
      </c>
      <c r="T75" s="32" t="s">
        <v>38</v>
      </c>
      <c r="U75" s="32" t="s">
        <v>33</v>
      </c>
      <c r="V75" s="33">
        <v>34996.76</v>
      </c>
      <c r="W75" s="34">
        <f t="array" ref="W75">XLOOKUP(T75, 'Data jarak '!$A$2:$A$11, XLOOKUP(U75, 'Data jarak '!$B$1:$K$1, 'Data jarak '!$B$2:$K$11))</f>
        <v>176.4669</v>
      </c>
      <c r="X75" s="16">
        <f t="shared" si="3"/>
        <v>92636546.21</v>
      </c>
      <c r="Y75" s="16"/>
      <c r="Z75" s="16"/>
      <c r="AA75" s="16"/>
      <c r="AB75" s="16"/>
      <c r="AC75" s="16"/>
      <c r="AD75" s="16"/>
      <c r="AE75" s="16"/>
      <c r="AF75" s="16"/>
      <c r="AG75" s="16"/>
      <c r="AH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32"/>
      <c r="M76" s="32"/>
      <c r="N76" s="32"/>
      <c r="O76" s="32"/>
      <c r="P76" s="32"/>
      <c r="Q76" s="32"/>
      <c r="R76" s="33"/>
      <c r="S76" s="36" t="s">
        <v>35</v>
      </c>
      <c r="T76" s="32" t="s">
        <v>33</v>
      </c>
      <c r="U76" s="32" t="s">
        <v>33</v>
      </c>
      <c r="V76" s="33">
        <v>121568.92</v>
      </c>
      <c r="W76" s="34">
        <f t="array" ref="W76">XLOOKUP(T76, 'Data jarak '!$A$2:$A$11, XLOOKUP(U76, 'Data jarak '!$B$1:$K$1, 'Data jarak '!$B$2:$K$11))</f>
        <v>0</v>
      </c>
      <c r="X76" s="16">
        <f t="shared" si="3"/>
        <v>0</v>
      </c>
      <c r="Y76" s="16"/>
      <c r="Z76" s="16"/>
      <c r="AA76" s="16"/>
      <c r="AB76" s="16"/>
      <c r="AC76" s="16"/>
      <c r="AD76" s="16"/>
      <c r="AE76" s="16"/>
      <c r="AF76" s="16"/>
      <c r="AG76" s="16"/>
      <c r="AH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32"/>
      <c r="M77" s="32"/>
      <c r="N77" s="32"/>
      <c r="O77" s="32"/>
      <c r="P77" s="32"/>
      <c r="Q77" s="32"/>
      <c r="R77" s="33"/>
      <c r="S77" s="36" t="s">
        <v>35</v>
      </c>
      <c r="T77" s="32" t="s">
        <v>39</v>
      </c>
      <c r="U77" s="32" t="s">
        <v>35</v>
      </c>
      <c r="V77" s="33">
        <v>16938.64</v>
      </c>
      <c r="W77" s="34">
        <f t="array" ref="W77">XLOOKUP(T77, 'Data jarak '!$A$2:$A$11, XLOOKUP(U77, 'Data jarak '!$B$1:$K$1, 'Data jarak '!$B$2:$K$11))</f>
        <v>186.18</v>
      </c>
      <c r="X77" s="16">
        <f t="shared" si="3"/>
        <v>47304539.93</v>
      </c>
      <c r="Y77" s="16"/>
      <c r="Z77" s="16"/>
      <c r="AA77" s="16"/>
      <c r="AB77" s="16"/>
      <c r="AC77" s="16"/>
      <c r="AD77" s="16"/>
      <c r="AE77" s="16"/>
      <c r="AF77" s="16"/>
      <c r="AG77" s="16"/>
      <c r="AH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32"/>
      <c r="M78" s="32"/>
      <c r="N78" s="32"/>
      <c r="O78" s="32"/>
      <c r="P78" s="32"/>
      <c r="Q78" s="32"/>
      <c r="R78" s="33"/>
      <c r="S78" s="36" t="s">
        <v>35</v>
      </c>
      <c r="T78" s="32" t="s">
        <v>40</v>
      </c>
      <c r="U78" s="32" t="s">
        <v>35</v>
      </c>
      <c r="V78" s="33">
        <v>23542.82</v>
      </c>
      <c r="W78" s="34">
        <f t="array" ref="W78">XLOOKUP(T78, 'Data jarak '!$A$2:$A$11, XLOOKUP(U78, 'Data jarak '!$B$1:$K$1, 'Data jarak '!$B$2:$K$11))</f>
        <v>403.0102</v>
      </c>
      <c r="X78" s="16">
        <f t="shared" si="3"/>
        <v>142319949</v>
      </c>
      <c r="Y78" s="16"/>
      <c r="Z78" s="16"/>
      <c r="AA78" s="16"/>
      <c r="AB78" s="16"/>
      <c r="AC78" s="16"/>
      <c r="AD78" s="16"/>
      <c r="AE78" s="16"/>
      <c r="AF78" s="16"/>
      <c r="AG78" s="16"/>
      <c r="AH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32"/>
      <c r="M79" s="32"/>
      <c r="N79" s="32"/>
      <c r="O79" s="32"/>
      <c r="P79" s="32"/>
      <c r="Q79" s="32"/>
      <c r="R79" s="33"/>
      <c r="S79" s="36" t="s">
        <v>35</v>
      </c>
      <c r="T79" s="32" t="s">
        <v>37</v>
      </c>
      <c r="U79" s="32" t="s">
        <v>37</v>
      </c>
      <c r="V79" s="33">
        <v>101245.44</v>
      </c>
      <c r="W79" s="34">
        <f t="array" ref="W79">XLOOKUP(T79, 'Data jarak '!$A$2:$A$11, XLOOKUP(U79, 'Data jarak '!$B$1:$K$1, 'Data jarak '!$B$2:$K$11))</f>
        <v>0</v>
      </c>
      <c r="X79" s="16">
        <f t="shared" si="3"/>
        <v>0</v>
      </c>
      <c r="Y79" s="16"/>
      <c r="Z79" s="16"/>
      <c r="AA79" s="16"/>
      <c r="AB79" s="16"/>
      <c r="AC79" s="16"/>
      <c r="AD79" s="16"/>
      <c r="AE79" s="16"/>
      <c r="AF79" s="16"/>
      <c r="AG79" s="16"/>
      <c r="AH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32"/>
      <c r="M80" s="32"/>
      <c r="N80" s="32"/>
      <c r="O80" s="32"/>
      <c r="P80" s="32"/>
      <c r="Q80" s="32"/>
      <c r="R80" s="33"/>
      <c r="S80" s="36" t="s">
        <v>40</v>
      </c>
      <c r="T80" s="32" t="s">
        <v>31</v>
      </c>
      <c r="U80" s="32" t="s">
        <v>31</v>
      </c>
      <c r="V80" s="33">
        <v>535.69</v>
      </c>
      <c r="W80" s="34">
        <f t="array" ref="W80">XLOOKUP(T80, 'Data jarak '!$A$2:$A$11, XLOOKUP(U80, 'Data jarak '!$B$1:$K$1, 'Data jarak '!$B$2:$K$11))</f>
        <v>0</v>
      </c>
      <c r="X80" s="16">
        <f t="shared" si="3"/>
        <v>0</v>
      </c>
      <c r="Y80" s="16"/>
      <c r="Z80" s="16"/>
      <c r="AA80" s="16"/>
      <c r="AB80" s="16"/>
      <c r="AC80" s="16"/>
      <c r="AD80" s="16"/>
      <c r="AE80" s="16"/>
      <c r="AF80" s="16"/>
      <c r="AG80" s="16"/>
      <c r="AH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32"/>
      <c r="M81" s="32"/>
      <c r="N81" s="32"/>
      <c r="O81" s="32"/>
      <c r="P81" s="32"/>
      <c r="Q81" s="32"/>
      <c r="R81" s="33"/>
      <c r="S81" s="36" t="s">
        <v>40</v>
      </c>
      <c r="T81" s="32" t="s">
        <v>34</v>
      </c>
      <c r="U81" s="32" t="s">
        <v>33</v>
      </c>
      <c r="V81" s="33">
        <v>1238.12</v>
      </c>
      <c r="W81" s="34">
        <f t="array" ref="W81">XLOOKUP(T81, 'Data jarak '!$A$2:$A$11, XLOOKUP(U81, 'Data jarak '!$B$1:$K$1, 'Data jarak '!$B$2:$K$11))</f>
        <v>966.6815</v>
      </c>
      <c r="X81" s="16">
        <f t="shared" si="3"/>
        <v>17953015.48</v>
      </c>
      <c r="Y81" s="16"/>
      <c r="Z81" s="16"/>
      <c r="AA81" s="16"/>
      <c r="AB81" s="16"/>
      <c r="AC81" s="16"/>
      <c r="AD81" s="16"/>
      <c r="AE81" s="16"/>
      <c r="AF81" s="16"/>
      <c r="AG81" s="16"/>
      <c r="AH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32"/>
      <c r="M82" s="32"/>
      <c r="N82" s="32"/>
      <c r="O82" s="32"/>
      <c r="P82" s="32"/>
      <c r="Q82" s="32"/>
      <c r="R82" s="33"/>
      <c r="S82" s="36" t="s">
        <v>40</v>
      </c>
      <c r="T82" s="32" t="s">
        <v>36</v>
      </c>
      <c r="U82" s="32" t="s">
        <v>33</v>
      </c>
      <c r="V82" s="33">
        <v>540.3</v>
      </c>
      <c r="W82" s="34">
        <f t="array" ref="W82">XLOOKUP(T82, 'Data jarak '!$A$2:$A$11, XLOOKUP(U82, 'Data jarak '!$B$1:$K$1, 'Data jarak '!$B$2:$K$11))</f>
        <v>397.4792</v>
      </c>
      <c r="X82" s="16">
        <f t="shared" si="3"/>
        <v>3221370.176</v>
      </c>
      <c r="Y82" s="16"/>
      <c r="Z82" s="16"/>
      <c r="AA82" s="16"/>
      <c r="AB82" s="16"/>
      <c r="AC82" s="16"/>
      <c r="AD82" s="16"/>
      <c r="AE82" s="16"/>
      <c r="AF82" s="16"/>
      <c r="AG82" s="16"/>
      <c r="AH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32"/>
      <c r="M83" s="32"/>
      <c r="N83" s="32"/>
      <c r="O83" s="32"/>
      <c r="P83" s="32"/>
      <c r="Q83" s="32"/>
      <c r="R83" s="33"/>
      <c r="S83" s="36" t="s">
        <v>40</v>
      </c>
      <c r="T83" s="32" t="s">
        <v>32</v>
      </c>
      <c r="U83" s="32" t="s">
        <v>33</v>
      </c>
      <c r="V83" s="33">
        <v>1578.11</v>
      </c>
      <c r="W83" s="34">
        <f t="array" ref="W83">XLOOKUP(T83, 'Data jarak '!$A$2:$A$11, XLOOKUP(U83, 'Data jarak '!$B$1:$K$1, 'Data jarak '!$B$2:$K$11))</f>
        <v>525.4495</v>
      </c>
      <c r="X83" s="16">
        <f t="shared" si="3"/>
        <v>12438256.66</v>
      </c>
      <c r="Y83" s="16"/>
      <c r="Z83" s="16"/>
      <c r="AA83" s="16"/>
      <c r="AB83" s="16"/>
      <c r="AC83" s="16"/>
      <c r="AD83" s="16"/>
      <c r="AE83" s="16"/>
      <c r="AF83" s="16"/>
      <c r="AG83" s="16"/>
      <c r="AH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32"/>
      <c r="M84" s="32"/>
      <c r="N84" s="32"/>
      <c r="O84" s="32"/>
      <c r="P84" s="32"/>
      <c r="Q84" s="32"/>
      <c r="R84" s="33"/>
      <c r="S84" s="36" t="s">
        <v>40</v>
      </c>
      <c r="T84" s="32" t="s">
        <v>38</v>
      </c>
      <c r="U84" s="32" t="s">
        <v>33</v>
      </c>
      <c r="V84" s="33">
        <v>310.92</v>
      </c>
      <c r="W84" s="34">
        <f t="array" ref="W84">XLOOKUP(T84, 'Data jarak '!$A$2:$A$11, XLOOKUP(U84, 'Data jarak '!$B$1:$K$1, 'Data jarak '!$B$2:$K$11))</f>
        <v>176.4669</v>
      </c>
      <c r="X84" s="16">
        <f t="shared" si="3"/>
        <v>823006.3282</v>
      </c>
      <c r="Y84" s="16"/>
      <c r="Z84" s="16"/>
      <c r="AA84" s="16"/>
      <c r="AB84" s="16"/>
      <c r="AC84" s="16"/>
      <c r="AD84" s="16"/>
      <c r="AE84" s="16"/>
      <c r="AF84" s="16"/>
      <c r="AG84" s="16"/>
      <c r="AH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32"/>
      <c r="M85" s="32"/>
      <c r="N85" s="32"/>
      <c r="O85" s="32"/>
      <c r="P85" s="32"/>
      <c r="Q85" s="32"/>
      <c r="R85" s="33"/>
      <c r="S85" s="36" t="s">
        <v>40</v>
      </c>
      <c r="T85" s="32" t="s">
        <v>33</v>
      </c>
      <c r="U85" s="32" t="s">
        <v>33</v>
      </c>
      <c r="V85" s="33">
        <v>2948.54</v>
      </c>
      <c r="W85" s="34">
        <f t="array" ref="W85">XLOOKUP(T85, 'Data jarak '!$A$2:$A$11, XLOOKUP(U85, 'Data jarak '!$B$1:$K$1, 'Data jarak '!$B$2:$K$11))</f>
        <v>0</v>
      </c>
      <c r="X85" s="16">
        <f t="shared" si="3"/>
        <v>0</v>
      </c>
      <c r="Y85" s="16"/>
      <c r="Z85" s="16"/>
      <c r="AA85" s="16"/>
      <c r="AB85" s="16"/>
      <c r="AC85" s="16"/>
      <c r="AD85" s="16"/>
      <c r="AE85" s="16"/>
      <c r="AF85" s="16"/>
      <c r="AG85" s="16"/>
      <c r="AH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32"/>
      <c r="M86" s="32"/>
      <c r="N86" s="32"/>
      <c r="O86" s="32"/>
      <c r="P86" s="32"/>
      <c r="Q86" s="32"/>
      <c r="R86" s="33"/>
      <c r="S86" s="36" t="s">
        <v>40</v>
      </c>
      <c r="T86" s="32" t="s">
        <v>39</v>
      </c>
      <c r="U86" s="32" t="s">
        <v>35</v>
      </c>
      <c r="V86" s="33">
        <v>663.27</v>
      </c>
      <c r="W86" s="34">
        <f t="array" ref="W86">XLOOKUP(T86, 'Data jarak '!$A$2:$A$11, XLOOKUP(U86, 'Data jarak '!$B$1:$K$1, 'Data jarak '!$B$2:$K$11))</f>
        <v>186.18</v>
      </c>
      <c r="X86" s="16">
        <f t="shared" si="3"/>
        <v>1852314.129</v>
      </c>
      <c r="Y86" s="16"/>
      <c r="Z86" s="16"/>
      <c r="AA86" s="16"/>
      <c r="AB86" s="16"/>
      <c r="AC86" s="16"/>
      <c r="AD86" s="16"/>
      <c r="AE86" s="16"/>
      <c r="AF86" s="16"/>
      <c r="AG86" s="16"/>
      <c r="AH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32"/>
      <c r="M87" s="32"/>
      <c r="N87" s="32"/>
      <c r="O87" s="32"/>
      <c r="P87" s="32"/>
      <c r="Q87" s="32"/>
      <c r="R87" s="33"/>
      <c r="S87" s="36" t="s">
        <v>40</v>
      </c>
      <c r="T87" s="32" t="s">
        <v>35</v>
      </c>
      <c r="U87" s="32" t="s">
        <v>35</v>
      </c>
      <c r="V87" s="33">
        <v>4287.94</v>
      </c>
      <c r="W87" s="34">
        <f t="array" ref="W87">XLOOKUP(T87, 'Data jarak '!$A$2:$A$11, XLOOKUP(U87, 'Data jarak '!$B$1:$K$1, 'Data jarak '!$B$2:$K$11))</f>
        <v>0</v>
      </c>
      <c r="X87" s="16">
        <f t="shared" si="3"/>
        <v>0</v>
      </c>
      <c r="Y87" s="16"/>
      <c r="Z87" s="16"/>
      <c r="AA87" s="16"/>
      <c r="AB87" s="16"/>
      <c r="AC87" s="16"/>
      <c r="AD87" s="16"/>
      <c r="AE87" s="16"/>
      <c r="AF87" s="16"/>
      <c r="AG87" s="16"/>
      <c r="AH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32"/>
      <c r="M88" s="32"/>
      <c r="N88" s="32"/>
      <c r="O88" s="32"/>
      <c r="P88" s="32"/>
      <c r="Q88" s="32"/>
      <c r="R88" s="33"/>
      <c r="S88" s="36" t="s">
        <v>40</v>
      </c>
      <c r="T88" s="32" t="s">
        <v>37</v>
      </c>
      <c r="U88" s="32" t="s">
        <v>37</v>
      </c>
      <c r="V88" s="33">
        <v>1785.4</v>
      </c>
      <c r="W88" s="34">
        <f t="array" ref="W88">XLOOKUP(T88, 'Data jarak '!$A$2:$A$11, XLOOKUP(U88, 'Data jarak '!$B$1:$K$1, 'Data jarak '!$B$2:$K$11))</f>
        <v>0</v>
      </c>
      <c r="X88" s="16">
        <f t="shared" si="3"/>
        <v>0</v>
      </c>
      <c r="Y88" s="16"/>
      <c r="Z88" s="16"/>
      <c r="AA88" s="16"/>
      <c r="AB88" s="16"/>
      <c r="AC88" s="16"/>
      <c r="AD88" s="16"/>
      <c r="AE88" s="16"/>
      <c r="AF88" s="16"/>
      <c r="AG88" s="16"/>
      <c r="AH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32"/>
      <c r="M89" s="32"/>
      <c r="N89" s="32"/>
      <c r="O89" s="32"/>
      <c r="P89" s="32"/>
      <c r="Q89" s="32"/>
      <c r="R89" s="33"/>
      <c r="S89" s="36" t="s">
        <v>37</v>
      </c>
      <c r="T89" s="32" t="s">
        <v>31</v>
      </c>
      <c r="U89" s="32" t="s">
        <v>31</v>
      </c>
      <c r="V89" s="33">
        <v>29981.56</v>
      </c>
      <c r="W89" s="34">
        <f t="array" ref="W89">XLOOKUP(T89, 'Data jarak '!$A$2:$A$11, XLOOKUP(U89, 'Data jarak '!$B$1:$K$1, 'Data jarak '!$B$2:$K$11))</f>
        <v>0</v>
      </c>
      <c r="X89" s="16">
        <f t="shared" si="3"/>
        <v>0</v>
      </c>
      <c r="Y89" s="16"/>
      <c r="Z89" s="16"/>
      <c r="AA89" s="16"/>
      <c r="AB89" s="16"/>
      <c r="AC89" s="16"/>
      <c r="AD89" s="16"/>
      <c r="AE89" s="16"/>
      <c r="AF89" s="16"/>
      <c r="AG89" s="16"/>
      <c r="AH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32"/>
      <c r="M90" s="32"/>
      <c r="N90" s="32"/>
      <c r="O90" s="32"/>
      <c r="P90" s="32"/>
      <c r="Q90" s="32"/>
      <c r="R90" s="33"/>
      <c r="S90" s="36" t="s">
        <v>37</v>
      </c>
      <c r="T90" s="32" t="s">
        <v>34</v>
      </c>
      <c r="U90" s="32" t="s">
        <v>33</v>
      </c>
      <c r="V90" s="33">
        <v>2231.22</v>
      </c>
      <c r="W90" s="34">
        <f t="array" ref="W90">XLOOKUP(T90, 'Data jarak '!$A$2:$A$11, XLOOKUP(U90, 'Data jarak '!$B$1:$K$1, 'Data jarak '!$B$2:$K$11))</f>
        <v>966.6815</v>
      </c>
      <c r="X90" s="16">
        <f t="shared" si="3"/>
        <v>32353186.45</v>
      </c>
      <c r="Y90" s="16"/>
      <c r="Z90" s="16"/>
      <c r="AA90" s="16"/>
      <c r="AB90" s="16"/>
      <c r="AC90" s="16"/>
      <c r="AD90" s="16"/>
      <c r="AE90" s="16"/>
      <c r="AF90" s="16"/>
      <c r="AG90" s="16"/>
      <c r="AH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32"/>
      <c r="M91" s="32"/>
      <c r="N91" s="32"/>
      <c r="O91" s="32"/>
      <c r="P91" s="32"/>
      <c r="Q91" s="32"/>
      <c r="R91" s="33"/>
      <c r="S91" s="36" t="s">
        <v>37</v>
      </c>
      <c r="T91" s="32" t="s">
        <v>36</v>
      </c>
      <c r="U91" s="32" t="s">
        <v>33</v>
      </c>
      <c r="V91" s="33">
        <v>3648.96</v>
      </c>
      <c r="W91" s="34">
        <f t="array" ref="W91">XLOOKUP(T91, 'Data jarak '!$A$2:$A$11, XLOOKUP(U91, 'Data jarak '!$B$1:$K$1, 'Data jarak '!$B$2:$K$11))</f>
        <v>397.4792</v>
      </c>
      <c r="X91" s="16">
        <f t="shared" si="3"/>
        <v>21755785.52</v>
      </c>
      <c r="Y91" s="16"/>
      <c r="Z91" s="16"/>
      <c r="AA91" s="16"/>
      <c r="AB91" s="16"/>
      <c r="AC91" s="16"/>
      <c r="AD91" s="16"/>
      <c r="AE91" s="16"/>
      <c r="AF91" s="16"/>
      <c r="AG91" s="16"/>
      <c r="AH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32"/>
      <c r="M92" s="32"/>
      <c r="N92" s="32"/>
      <c r="O92" s="32"/>
      <c r="P92" s="32"/>
      <c r="Q92" s="32"/>
      <c r="R92" s="33"/>
      <c r="S92" s="36" t="s">
        <v>37</v>
      </c>
      <c r="T92" s="32" t="s">
        <v>32</v>
      </c>
      <c r="U92" s="32" t="s">
        <v>33</v>
      </c>
      <c r="V92" s="33">
        <v>35048.12</v>
      </c>
      <c r="W92" s="34">
        <f t="array" ref="W92">XLOOKUP(T92, 'Data jarak '!$A$2:$A$11, XLOOKUP(U92, 'Data jarak '!$B$1:$K$1, 'Data jarak '!$B$2:$K$11))</f>
        <v>525.4495</v>
      </c>
      <c r="X92" s="16">
        <f t="shared" si="3"/>
        <v>276240256.9</v>
      </c>
      <c r="Y92" s="16"/>
      <c r="Z92" s="16"/>
      <c r="AA92" s="16"/>
      <c r="AB92" s="16"/>
      <c r="AC92" s="16"/>
      <c r="AD92" s="16"/>
      <c r="AE92" s="16"/>
      <c r="AF92" s="16"/>
      <c r="AG92" s="16"/>
      <c r="AH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32"/>
      <c r="M93" s="32"/>
      <c r="N93" s="32"/>
      <c r="O93" s="32"/>
      <c r="P93" s="32"/>
      <c r="Q93" s="32"/>
      <c r="R93" s="33"/>
      <c r="S93" s="36" t="s">
        <v>37</v>
      </c>
      <c r="T93" s="32" t="s">
        <v>38</v>
      </c>
      <c r="U93" s="32" t="s">
        <v>33</v>
      </c>
      <c r="V93" s="33">
        <v>4802.16</v>
      </c>
      <c r="W93" s="34">
        <f t="array" ref="W93">XLOOKUP(T93, 'Data jarak '!$A$2:$A$11, XLOOKUP(U93, 'Data jarak '!$B$1:$K$1, 'Data jarak '!$B$2:$K$11))</f>
        <v>176.4669</v>
      </c>
      <c r="X93" s="16">
        <f t="shared" si="3"/>
        <v>12711334.33</v>
      </c>
      <c r="Y93" s="16"/>
      <c r="Z93" s="16"/>
      <c r="AA93" s="16"/>
      <c r="AB93" s="16"/>
      <c r="AC93" s="16"/>
      <c r="AD93" s="16"/>
      <c r="AE93" s="16"/>
      <c r="AF93" s="16"/>
      <c r="AG93" s="16"/>
      <c r="AH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32"/>
      <c r="M94" s="32"/>
      <c r="N94" s="32"/>
      <c r="O94" s="32"/>
      <c r="P94" s="32"/>
      <c r="Q94" s="32"/>
      <c r="R94" s="33"/>
      <c r="S94" s="36" t="s">
        <v>37</v>
      </c>
      <c r="T94" s="32" t="s">
        <v>33</v>
      </c>
      <c r="U94" s="32" t="s">
        <v>33</v>
      </c>
      <c r="V94" s="33">
        <v>19692.68</v>
      </c>
      <c r="W94" s="34">
        <f t="array" ref="W94">XLOOKUP(T94, 'Data jarak '!$A$2:$A$11, XLOOKUP(U94, 'Data jarak '!$B$1:$K$1, 'Data jarak '!$B$2:$K$11))</f>
        <v>0</v>
      </c>
      <c r="X94" s="16">
        <f t="shared" si="3"/>
        <v>0</v>
      </c>
      <c r="Y94" s="16"/>
      <c r="Z94" s="16"/>
      <c r="AA94" s="16"/>
      <c r="AB94" s="16"/>
      <c r="AC94" s="16"/>
      <c r="AD94" s="16"/>
      <c r="AE94" s="16"/>
      <c r="AF94" s="16"/>
      <c r="AG94" s="16"/>
      <c r="AH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32"/>
      <c r="M95" s="32"/>
      <c r="N95" s="32"/>
      <c r="O95" s="32"/>
      <c r="P95" s="32"/>
      <c r="Q95" s="32"/>
      <c r="R95" s="33"/>
      <c r="S95" s="36" t="s">
        <v>37</v>
      </c>
      <c r="T95" s="32" t="s">
        <v>39</v>
      </c>
      <c r="U95" s="32" t="s">
        <v>35</v>
      </c>
      <c r="V95" s="33">
        <v>4405.52</v>
      </c>
      <c r="W95" s="34">
        <f t="array" ref="W95">XLOOKUP(T95, 'Data jarak '!$A$2:$A$11, XLOOKUP(U95, 'Data jarak '!$B$1:$K$1, 'Data jarak '!$B$2:$K$11))</f>
        <v>186.18</v>
      </c>
      <c r="X95" s="16">
        <f t="shared" si="3"/>
        <v>12303295.7</v>
      </c>
      <c r="Y95" s="16"/>
      <c r="Z95" s="16"/>
      <c r="AA95" s="16"/>
      <c r="AB95" s="16"/>
      <c r="AC95" s="16"/>
      <c r="AD95" s="16"/>
      <c r="AE95" s="16"/>
      <c r="AF95" s="16"/>
      <c r="AG95" s="16"/>
      <c r="AH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32"/>
      <c r="M96" s="32"/>
      <c r="N96" s="32"/>
      <c r="O96" s="32"/>
      <c r="P96" s="32"/>
      <c r="Q96" s="32"/>
      <c r="R96" s="33"/>
      <c r="S96" s="36" t="s">
        <v>37</v>
      </c>
      <c r="T96" s="32" t="s">
        <v>35</v>
      </c>
      <c r="U96" s="32" t="s">
        <v>35</v>
      </c>
      <c r="V96" s="33">
        <v>51923.64</v>
      </c>
      <c r="W96" s="34">
        <f t="array" ref="W96">XLOOKUP(T96, 'Data jarak '!$A$2:$A$11, XLOOKUP(U96, 'Data jarak '!$B$1:$K$1, 'Data jarak '!$B$2:$K$11))</f>
        <v>0</v>
      </c>
      <c r="X96" s="16">
        <f t="shared" si="3"/>
        <v>0</v>
      </c>
      <c r="Y96" s="16"/>
      <c r="Z96" s="16"/>
      <c r="AA96" s="16"/>
      <c r="AB96" s="16"/>
      <c r="AC96" s="16"/>
      <c r="AD96" s="16"/>
      <c r="AE96" s="16"/>
      <c r="AF96" s="16"/>
      <c r="AG96" s="16"/>
      <c r="AH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32"/>
      <c r="M97" s="32"/>
      <c r="N97" s="32"/>
      <c r="O97" s="32"/>
      <c r="P97" s="32"/>
      <c r="Q97" s="32"/>
      <c r="R97" s="33"/>
      <c r="S97" s="36" t="s">
        <v>37</v>
      </c>
      <c r="T97" s="32" t="s">
        <v>40</v>
      </c>
      <c r="U97" s="32" t="s">
        <v>37</v>
      </c>
      <c r="V97" s="33">
        <v>4601.38</v>
      </c>
      <c r="W97" s="34">
        <f t="array" ref="W97">XLOOKUP(T97, 'Data jarak '!$A$2:$A$11, XLOOKUP(U97, 'Data jarak '!$B$1:$K$1, 'Data jarak '!$B$2:$K$11))</f>
        <v>256.303</v>
      </c>
      <c r="X97" s="16">
        <f t="shared" si="3"/>
        <v>17690212.47</v>
      </c>
      <c r="Y97" s="16"/>
      <c r="Z97" s="16"/>
      <c r="AA97" s="16"/>
      <c r="AB97" s="16"/>
      <c r="AC97" s="16"/>
      <c r="AD97" s="16"/>
      <c r="AE97" s="16"/>
      <c r="AF97" s="16"/>
      <c r="AG97" s="16"/>
      <c r="AH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32"/>
      <c r="M98" s="32"/>
      <c r="N98" s="32"/>
      <c r="O98" s="32"/>
      <c r="P98" s="32"/>
      <c r="Q98" s="32"/>
      <c r="R98" s="33"/>
      <c r="S98" s="24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32"/>
      <c r="M99" s="32"/>
      <c r="N99" s="32"/>
      <c r="O99" s="32"/>
      <c r="P99" s="32"/>
      <c r="Q99" s="32"/>
      <c r="R99" s="33"/>
      <c r="S99" s="24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32"/>
      <c r="M100" s="32"/>
      <c r="N100" s="32"/>
      <c r="O100" s="32"/>
      <c r="P100" s="32"/>
      <c r="Q100" s="32"/>
      <c r="R100" s="33"/>
      <c r="S100" s="24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32"/>
      <c r="M101" s="32"/>
      <c r="N101" s="32"/>
      <c r="O101" s="32"/>
      <c r="P101" s="32"/>
      <c r="Q101" s="32"/>
      <c r="R101" s="33"/>
      <c r="S101" s="24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32"/>
      <c r="M102" s="32"/>
      <c r="N102" s="32"/>
      <c r="O102" s="32"/>
      <c r="P102" s="32"/>
      <c r="Q102" s="32"/>
      <c r="R102" s="33"/>
      <c r="S102" s="24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32"/>
      <c r="M103" s="32"/>
      <c r="N103" s="32"/>
      <c r="O103" s="32"/>
      <c r="P103" s="32"/>
      <c r="Q103" s="32"/>
      <c r="R103" s="33"/>
      <c r="S103" s="24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32"/>
      <c r="M104" s="32"/>
      <c r="N104" s="32"/>
      <c r="O104" s="32"/>
      <c r="P104" s="32"/>
      <c r="Q104" s="32"/>
      <c r="R104" s="33"/>
      <c r="S104" s="24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32"/>
      <c r="M105" s="32"/>
      <c r="N105" s="32"/>
      <c r="O105" s="32"/>
      <c r="P105" s="32"/>
      <c r="Q105" s="32"/>
      <c r="R105" s="33"/>
      <c r="S105" s="24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32"/>
      <c r="M106" s="32"/>
      <c r="N106" s="32"/>
      <c r="O106" s="32"/>
      <c r="P106" s="32"/>
      <c r="Q106" s="32"/>
      <c r="R106" s="33"/>
      <c r="S106" s="24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32"/>
      <c r="M107" s="32"/>
      <c r="N107" s="32"/>
      <c r="O107" s="32"/>
      <c r="P107" s="32"/>
      <c r="Q107" s="32"/>
      <c r="R107" s="33"/>
      <c r="S107" s="24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32"/>
      <c r="M108" s="32"/>
      <c r="N108" s="32"/>
      <c r="O108" s="32"/>
      <c r="P108" s="32"/>
      <c r="Q108" s="32"/>
      <c r="R108" s="33"/>
      <c r="S108" s="24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32"/>
      <c r="M109" s="32"/>
      <c r="N109" s="32"/>
      <c r="O109" s="32"/>
      <c r="P109" s="32"/>
      <c r="Q109" s="32"/>
      <c r="R109" s="33"/>
      <c r="S109" s="24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32"/>
      <c r="M110" s="32"/>
      <c r="N110" s="32"/>
      <c r="O110" s="32"/>
      <c r="P110" s="32"/>
      <c r="Q110" s="32"/>
      <c r="R110" s="33"/>
      <c r="S110" s="24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32"/>
      <c r="M111" s="32"/>
      <c r="N111" s="32"/>
      <c r="O111" s="32"/>
      <c r="P111" s="32"/>
      <c r="Q111" s="32"/>
      <c r="R111" s="33"/>
      <c r="S111" s="24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</row>
    <row r="100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6"/>
    </row>
    <row r="1002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6"/>
      <c r="AH1002" s="16"/>
    </row>
  </sheetData>
  <mergeCells count="5">
    <mergeCell ref="A6:B6"/>
    <mergeCell ref="D6:F6"/>
    <mergeCell ref="K6:N6"/>
    <mergeCell ref="S6:V6"/>
    <mergeCell ref="Z7:AE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75"/>
    <col customWidth="1" min="7" max="8" width="13.88"/>
    <col customWidth="1" min="9" max="9" width="14.0"/>
    <col customWidth="1" min="10" max="10" width="14.88"/>
  </cols>
  <sheetData>
    <row r="1">
      <c r="A1" s="18"/>
      <c r="B1" s="18"/>
      <c r="C1" s="18"/>
      <c r="D1" s="18"/>
      <c r="E1" s="18"/>
      <c r="F1" s="16"/>
      <c r="G1" s="18" t="s">
        <v>50</v>
      </c>
      <c r="H1" s="18" t="s">
        <v>51</v>
      </c>
      <c r="I1" s="18" t="s">
        <v>52</v>
      </c>
      <c r="J1" s="16"/>
      <c r="K1" s="40"/>
      <c r="L1" s="22" t="s">
        <v>3</v>
      </c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</row>
    <row r="2">
      <c r="A2" s="16"/>
      <c r="B2" s="16"/>
      <c r="C2" s="16"/>
      <c r="D2" s="16"/>
      <c r="E2" s="16"/>
      <c r="F2" s="18" t="s">
        <v>11</v>
      </c>
      <c r="G2" s="19">
        <f>sum(I13:I22)</f>
        <v>2533499895</v>
      </c>
      <c r="H2" s="19">
        <f>sum(K13:K22)</f>
        <v>1997257673</v>
      </c>
      <c r="I2" s="19">
        <f>sum(S13:S42)</f>
        <v>8256800106</v>
      </c>
      <c r="J2" s="19">
        <f>sum(G2:I2)</f>
        <v>12787557674</v>
      </c>
      <c r="K2" s="40"/>
      <c r="L2" s="37">
        <v>1.2787558415E10</v>
      </c>
      <c r="M2" s="40"/>
      <c r="N2" s="24">
        <f>J2-L2</f>
        <v>-741.0564575</v>
      </c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</row>
    <row r="3">
      <c r="A3" s="18"/>
      <c r="B3" s="18"/>
      <c r="C3" s="18"/>
      <c r="D3" s="18" t="s">
        <v>53</v>
      </c>
      <c r="E3" s="18">
        <v>15.0</v>
      </c>
      <c r="F3" s="40"/>
      <c r="G3" s="16"/>
      <c r="H3" s="16"/>
      <c r="I3" s="16"/>
      <c r="J3" s="18" t="s">
        <v>49</v>
      </c>
      <c r="K3" s="24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</row>
    <row r="4">
      <c r="A4" s="18"/>
      <c r="B4" s="18"/>
      <c r="C4" s="18"/>
      <c r="D4" s="18" t="s">
        <v>16</v>
      </c>
      <c r="E4" s="18">
        <v>0.75</v>
      </c>
      <c r="F4" s="40"/>
      <c r="G4" s="16"/>
      <c r="H4" s="16"/>
      <c r="I4" s="16"/>
      <c r="J4" s="16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</row>
    <row r="5">
      <c r="A5" s="18"/>
      <c r="B5" s="18"/>
      <c r="C5" s="18"/>
      <c r="D5" s="18"/>
      <c r="E5" s="18"/>
      <c r="F5" s="40"/>
      <c r="G5" s="16"/>
      <c r="H5" s="16"/>
      <c r="I5" s="16"/>
      <c r="J5" s="16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</row>
    <row r="6">
      <c r="A6" s="22"/>
      <c r="B6" s="22"/>
      <c r="C6" s="22"/>
      <c r="D6" s="22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</row>
    <row r="7">
      <c r="A7" s="22"/>
      <c r="B7" s="22"/>
      <c r="C7" s="22"/>
      <c r="D7" s="22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</row>
    <row r="8">
      <c r="A8" s="22"/>
      <c r="B8" s="22"/>
      <c r="C8" s="22"/>
      <c r="D8" s="22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</row>
    <row r="9">
      <c r="A9" s="22"/>
      <c r="B9" s="22"/>
      <c r="C9" s="22"/>
      <c r="D9" s="22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</row>
    <row r="10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</row>
    <row r="11">
      <c r="A11" s="21" t="s">
        <v>17</v>
      </c>
      <c r="C11" s="22"/>
      <c r="D11" s="41" t="s">
        <v>55</v>
      </c>
      <c r="G11" s="40"/>
      <c r="H11" s="40"/>
      <c r="M11" s="41" t="s">
        <v>76</v>
      </c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</row>
    <row r="12">
      <c r="A12" s="30" t="s">
        <v>21</v>
      </c>
      <c r="B12" s="30" t="s">
        <v>22</v>
      </c>
      <c r="C12" s="31"/>
      <c r="D12" s="30" t="s">
        <v>23</v>
      </c>
      <c r="E12" s="30" t="s">
        <v>17</v>
      </c>
      <c r="F12" s="30" t="s">
        <v>24</v>
      </c>
      <c r="G12" s="22" t="s">
        <v>58</v>
      </c>
      <c r="H12" s="22" t="s">
        <v>77</v>
      </c>
      <c r="I12" s="38" t="s">
        <v>78</v>
      </c>
      <c r="J12" s="38" t="s">
        <v>79</v>
      </c>
      <c r="K12" s="38" t="s">
        <v>80</v>
      </c>
      <c r="M12" s="30" t="s">
        <v>23</v>
      </c>
      <c r="N12" s="30" t="s">
        <v>25</v>
      </c>
      <c r="O12" s="30" t="s">
        <v>26</v>
      </c>
      <c r="P12" s="30" t="s">
        <v>27</v>
      </c>
      <c r="Q12" s="31" t="s">
        <v>81</v>
      </c>
      <c r="R12" s="22" t="s">
        <v>58</v>
      </c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</row>
    <row r="13">
      <c r="A13" s="32" t="s">
        <v>31</v>
      </c>
      <c r="B13" s="33">
        <v>0.0</v>
      </c>
      <c r="C13" s="32"/>
      <c r="D13" s="32" t="s">
        <v>31</v>
      </c>
      <c r="E13" s="32" t="s">
        <v>32</v>
      </c>
      <c r="F13" s="33">
        <v>1.0</v>
      </c>
      <c r="G13" s="34">
        <f t="array" ref="G13">XLOOKUP(D13, 'Data jarak '!$A$2:$A$11, XLOOKUP(E13, 'Data jarak '!$B$1:$K$1, 'Data jarak '!$B$2:$K$11))</f>
        <v>909.2041</v>
      </c>
      <c r="H13" s="40">
        <f>vlookup(D13, Sheet4!$G$1:$I$11,2,0)</f>
        <v>125092.16</v>
      </c>
      <c r="I13" s="42">
        <f t="shared" ref="I13:I22" si="1">H13*G13*$E$3</f>
        <v>1706014571</v>
      </c>
      <c r="J13" s="40">
        <f>vlookup(D13, Sheet4!$G$1:$I$11,3,0)</f>
        <v>73644.52</v>
      </c>
      <c r="K13" s="42">
        <f t="shared" ref="K13:K22" si="2">J13*G13*$E$3</f>
        <v>1004368493</v>
      </c>
      <c r="M13" s="43" t="s">
        <v>31</v>
      </c>
      <c r="N13" s="43" t="s">
        <v>32</v>
      </c>
      <c r="O13" s="43" t="s">
        <v>33</v>
      </c>
      <c r="P13" s="43">
        <v>12280.84</v>
      </c>
      <c r="Q13" s="33"/>
      <c r="R13" s="34">
        <f t="array" ref="R13">XLOOKUP(N13, 'Data jarak '!$A$2:$A$11, XLOOKUP(O13, 'Data jarak '!$B$1:$K$1, 'Data jarak '!$B$2:$K$11))</f>
        <v>525.4495</v>
      </c>
      <c r="S13" s="40">
        <f t="shared" ref="S13:S42" si="3">R13*P13*$E$3*$E$4</f>
        <v>72595813.92</v>
      </c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</row>
    <row r="14">
      <c r="A14" s="32" t="s">
        <v>34</v>
      </c>
      <c r="B14" s="33">
        <v>0.0</v>
      </c>
      <c r="C14" s="32"/>
      <c r="D14" s="32" t="s">
        <v>34</v>
      </c>
      <c r="E14" s="32" t="s">
        <v>32</v>
      </c>
      <c r="F14" s="33">
        <v>1.0</v>
      </c>
      <c r="G14" s="34">
        <f t="array" ref="G14">XLOOKUP(D14, 'Data jarak '!$A$2:$A$11, XLOOKUP(E14, 'Data jarak '!$B$1:$K$1, 'Data jarak '!$B$2:$K$11))</f>
        <v>563.3406</v>
      </c>
      <c r="H14" s="40">
        <f>vlookup(D14, Sheet4!$G$1:$I$11,2,0)</f>
        <v>30992.74</v>
      </c>
      <c r="I14" s="42">
        <f t="shared" si="1"/>
        <v>261892031.2</v>
      </c>
      <c r="J14" s="40">
        <f>vlookup(D14, Sheet4!$G$1:$I$11,3,0)</f>
        <v>21308.78</v>
      </c>
      <c r="K14" s="42">
        <f t="shared" si="2"/>
        <v>180061513.7</v>
      </c>
      <c r="M14" s="43" t="s">
        <v>31</v>
      </c>
      <c r="N14" s="43" t="s">
        <v>32</v>
      </c>
      <c r="O14" s="43" t="s">
        <v>35</v>
      </c>
      <c r="P14" s="43">
        <v>29375.52</v>
      </c>
      <c r="Q14" s="33"/>
      <c r="R14" s="34">
        <f t="array" ref="R14">XLOOKUP(N14, 'Data jarak '!$A$2:$A$11, XLOOKUP(O14, 'Data jarak '!$B$1:$K$1, 'Data jarak '!$B$2:$K$11))</f>
        <v>918.1315</v>
      </c>
      <c r="S14" s="40">
        <f t="shared" si="3"/>
        <v>303419140.2</v>
      </c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</row>
    <row r="15">
      <c r="A15" s="32" t="s">
        <v>36</v>
      </c>
      <c r="B15" s="33">
        <v>0.0</v>
      </c>
      <c r="C15" s="32"/>
      <c r="D15" s="32" t="s">
        <v>36</v>
      </c>
      <c r="E15" s="32" t="s">
        <v>33</v>
      </c>
      <c r="F15" s="33">
        <v>1.0</v>
      </c>
      <c r="G15" s="34">
        <f t="array" ref="G15">XLOOKUP(D15, 'Data jarak '!$A$2:$A$11, XLOOKUP(E15, 'Data jarak '!$B$1:$K$1, 'Data jarak '!$B$2:$K$11))</f>
        <v>397.4792</v>
      </c>
      <c r="H15" s="40">
        <f>vlookup(D15, Sheet4!$G$1:$I$11,2,0)</f>
        <v>27365.36</v>
      </c>
      <c r="I15" s="42">
        <f t="shared" si="1"/>
        <v>163157421</v>
      </c>
      <c r="J15" s="40">
        <f>vlookup(D15, Sheet4!$G$1:$I$11,3,0)</f>
        <v>48760.24</v>
      </c>
      <c r="K15" s="42">
        <f t="shared" si="2"/>
        <v>290717717.8</v>
      </c>
      <c r="M15" s="43" t="s">
        <v>31</v>
      </c>
      <c r="N15" s="43" t="s">
        <v>32</v>
      </c>
      <c r="O15" s="43" t="s">
        <v>37</v>
      </c>
      <c r="P15" s="43">
        <v>70439.32</v>
      </c>
      <c r="Q15" s="33"/>
      <c r="R15" s="34">
        <f t="array" ref="R15">XLOOKUP(N15, 'Data jarak '!$A$2:$A$11, XLOOKUP(O15, 'Data jarak '!$B$1:$K$1, 'Data jarak '!$B$2:$K$11))</f>
        <v>1535.299</v>
      </c>
      <c r="S15" s="40">
        <f t="shared" si="3"/>
        <v>1216635948</v>
      </c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</row>
    <row r="16">
      <c r="A16" s="32" t="s">
        <v>32</v>
      </c>
      <c r="B16" s="33">
        <v>1.0</v>
      </c>
      <c r="C16" s="32"/>
      <c r="D16" s="32" t="s">
        <v>32</v>
      </c>
      <c r="E16" s="32" t="s">
        <v>32</v>
      </c>
      <c r="F16" s="33">
        <v>1.0</v>
      </c>
      <c r="G16" s="34">
        <f t="array" ref="G16">XLOOKUP(D16, 'Data jarak '!$A$2:$A$11, XLOOKUP(E16, 'Data jarak '!$B$1:$K$1, 'Data jarak '!$B$2:$K$11))</f>
        <v>0</v>
      </c>
      <c r="H16" s="40">
        <f>vlookup(D16, Sheet4!$G$1:$I$11,2,0)</f>
        <v>50914.96</v>
      </c>
      <c r="I16" s="42">
        <f t="shared" si="1"/>
        <v>0</v>
      </c>
      <c r="J16" s="40">
        <f>vlookup(D16, Sheet4!$G$1:$I$11,3,0)</f>
        <v>147517.64</v>
      </c>
      <c r="K16" s="42">
        <f t="shared" si="2"/>
        <v>0</v>
      </c>
      <c r="M16" s="43" t="s">
        <v>34</v>
      </c>
      <c r="N16" s="43" t="s">
        <v>32</v>
      </c>
      <c r="O16" s="43" t="s">
        <v>33</v>
      </c>
      <c r="P16" s="43">
        <v>8739.64</v>
      </c>
      <c r="Q16" s="33"/>
      <c r="R16" s="34">
        <f t="array" ref="R16">XLOOKUP(N16, 'Data jarak '!$A$2:$A$11, XLOOKUP(O16, 'Data jarak '!$B$1:$K$1, 'Data jarak '!$B$2:$K$11))</f>
        <v>525.4495</v>
      </c>
      <c r="S16" s="40">
        <f t="shared" si="3"/>
        <v>51662694.02</v>
      </c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</row>
    <row r="17">
      <c r="A17" s="32" t="s">
        <v>38</v>
      </c>
      <c r="B17" s="33">
        <v>0.0</v>
      </c>
      <c r="C17" s="32"/>
      <c r="D17" s="32" t="s">
        <v>38</v>
      </c>
      <c r="E17" s="32" t="s">
        <v>33</v>
      </c>
      <c r="F17" s="33">
        <v>1.0</v>
      </c>
      <c r="G17" s="34">
        <f t="array" ref="G17">XLOOKUP(D17, 'Data jarak '!$A$2:$A$11, XLOOKUP(E17, 'Data jarak '!$B$1:$K$1, 'Data jarak '!$B$2:$K$11))</f>
        <v>176.4669</v>
      </c>
      <c r="H17" s="40">
        <f>vlookup(D17, Sheet4!$G$1:$I$11,2,0)</f>
        <v>40906.08</v>
      </c>
      <c r="I17" s="42">
        <f t="shared" si="1"/>
        <v>108278536.9</v>
      </c>
      <c r="J17" s="40">
        <f>vlookup(D17, Sheet4!$G$1:$I$11,3,0)</f>
        <v>49314.56</v>
      </c>
      <c r="K17" s="42">
        <f t="shared" si="2"/>
        <v>130535812.9</v>
      </c>
      <c r="M17" s="43" t="s">
        <v>34</v>
      </c>
      <c r="N17" s="43" t="s">
        <v>32</v>
      </c>
      <c r="O17" s="43" t="s">
        <v>35</v>
      </c>
      <c r="P17" s="43">
        <v>12354.38</v>
      </c>
      <c r="Q17" s="33"/>
      <c r="R17" s="34">
        <f t="array" ref="R17">XLOOKUP(N17, 'Data jarak '!$A$2:$A$11, XLOOKUP(O17, 'Data jarak '!$B$1:$K$1, 'Data jarak '!$B$2:$K$11))</f>
        <v>918.1315</v>
      </c>
      <c r="S17" s="40">
        <f t="shared" si="3"/>
        <v>127608136.2</v>
      </c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</row>
    <row r="18">
      <c r="A18" s="32" t="s">
        <v>33</v>
      </c>
      <c r="B18" s="33">
        <v>1.0</v>
      </c>
      <c r="C18" s="32"/>
      <c r="D18" s="32" t="s">
        <v>33</v>
      </c>
      <c r="E18" s="32" t="s">
        <v>33</v>
      </c>
      <c r="F18" s="33">
        <v>1.0</v>
      </c>
      <c r="G18" s="34">
        <f t="array" ref="G18">XLOOKUP(D18, 'Data jarak '!$A$2:$A$11, XLOOKUP(E18, 'Data jarak '!$B$1:$K$1, 'Data jarak '!$B$2:$K$11))</f>
        <v>0</v>
      </c>
      <c r="H18" s="40">
        <f>vlookup(D18, Sheet4!$G$1:$I$11,2,0)</f>
        <v>64470.2</v>
      </c>
      <c r="I18" s="42">
        <f t="shared" si="1"/>
        <v>0</v>
      </c>
      <c r="J18" s="40">
        <f>vlookup(D18, Sheet4!$G$1:$I$11,3,0)</f>
        <v>187313.74</v>
      </c>
      <c r="K18" s="42">
        <f t="shared" si="2"/>
        <v>0</v>
      </c>
      <c r="M18" s="43" t="s">
        <v>34</v>
      </c>
      <c r="N18" s="43" t="s">
        <v>32</v>
      </c>
      <c r="O18" s="43" t="s">
        <v>37</v>
      </c>
      <c r="P18" s="43">
        <v>4136.76</v>
      </c>
      <c r="Q18" s="33"/>
      <c r="R18" s="34">
        <f t="array" ref="R18">XLOOKUP(N18, 'Data jarak '!$A$2:$A$11, XLOOKUP(O18, 'Data jarak '!$B$1:$K$1, 'Data jarak '!$B$2:$K$11))</f>
        <v>1535.299</v>
      </c>
      <c r="S18" s="40">
        <f t="shared" si="3"/>
        <v>71450589.28</v>
      </c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</row>
    <row r="19">
      <c r="A19" s="32" t="s">
        <v>39</v>
      </c>
      <c r="B19" s="33">
        <v>0.0</v>
      </c>
      <c r="C19" s="32"/>
      <c r="D19" s="32" t="s">
        <v>39</v>
      </c>
      <c r="E19" s="32" t="s">
        <v>35</v>
      </c>
      <c r="F19" s="33">
        <v>1.0</v>
      </c>
      <c r="G19" s="34">
        <f t="array" ref="G19">XLOOKUP(D19, 'Data jarak '!$A$2:$A$11, XLOOKUP(E19, 'Data jarak '!$B$1:$K$1, 'Data jarak '!$B$2:$K$11))</f>
        <v>186.18</v>
      </c>
      <c r="H19" s="40">
        <f>vlookup(D19, Sheet4!$G$1:$I$11,2,0)</f>
        <v>75267.84</v>
      </c>
      <c r="I19" s="42">
        <f t="shared" si="1"/>
        <v>210200496.8</v>
      </c>
      <c r="J19" s="40">
        <f>vlookup(D19, Sheet4!$G$1:$I$11,3,0)</f>
        <v>44041.76</v>
      </c>
      <c r="K19" s="42">
        <f t="shared" si="2"/>
        <v>122995423.2</v>
      </c>
      <c r="M19" s="43" t="s">
        <v>36</v>
      </c>
      <c r="N19" s="43" t="s">
        <v>33</v>
      </c>
      <c r="O19" s="43" t="s">
        <v>32</v>
      </c>
      <c r="P19" s="43">
        <v>3746.21</v>
      </c>
      <c r="Q19" s="33"/>
      <c r="R19" s="34">
        <f t="array" ref="R19">XLOOKUP(N19, 'Data jarak '!$A$2:$A$11, XLOOKUP(O19, 'Data jarak '!$B$1:$K$1, 'Data jarak '!$B$2:$K$11))</f>
        <v>525.4495</v>
      </c>
      <c r="S19" s="40">
        <f t="shared" si="3"/>
        <v>22144996.93</v>
      </c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</row>
    <row r="20">
      <c r="A20" s="32" t="s">
        <v>35</v>
      </c>
      <c r="B20" s="33">
        <v>1.0</v>
      </c>
      <c r="C20" s="32"/>
      <c r="D20" s="32" t="s">
        <v>35</v>
      </c>
      <c r="E20" s="32" t="s">
        <v>35</v>
      </c>
      <c r="F20" s="33">
        <v>1.0</v>
      </c>
      <c r="G20" s="34">
        <f t="array" ref="G20">XLOOKUP(D20, 'Data jarak '!$A$2:$A$11, XLOOKUP(E20, 'Data jarak '!$B$1:$K$1, 'Data jarak '!$B$2:$K$11))</f>
        <v>0</v>
      </c>
      <c r="H20" s="40">
        <f>vlookup(D20, Sheet4!$G$1:$I$11,2,0)</f>
        <v>420950.02</v>
      </c>
      <c r="I20" s="42">
        <f t="shared" si="1"/>
        <v>0</v>
      </c>
      <c r="J20" s="40">
        <f>vlookup(D20, Sheet4!$G$1:$I$11,3,0)</f>
        <v>176319.88</v>
      </c>
      <c r="K20" s="42">
        <f t="shared" si="2"/>
        <v>0</v>
      </c>
      <c r="M20" s="43" t="s">
        <v>36</v>
      </c>
      <c r="N20" s="43" t="s">
        <v>33</v>
      </c>
      <c r="O20" s="43" t="s">
        <v>35</v>
      </c>
      <c r="P20" s="43">
        <v>16362.59</v>
      </c>
      <c r="Q20" s="33"/>
      <c r="R20" s="34">
        <f t="array" ref="R20">XLOOKUP(N20, 'Data jarak '!$A$2:$A$11, XLOOKUP(O20, 'Data jarak '!$B$1:$K$1, 'Data jarak '!$B$2:$K$11))</f>
        <v>475.5078</v>
      </c>
      <c r="S20" s="40">
        <f t="shared" si="3"/>
        <v>87531065.7</v>
      </c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</row>
    <row r="21">
      <c r="A21" s="32" t="s">
        <v>40</v>
      </c>
      <c r="B21" s="33">
        <v>0.0</v>
      </c>
      <c r="C21" s="32"/>
      <c r="D21" s="32" t="s">
        <v>40</v>
      </c>
      <c r="E21" s="32" t="s">
        <v>35</v>
      </c>
      <c r="F21" s="33">
        <v>1.0</v>
      </c>
      <c r="G21" s="34">
        <f t="array" ref="G21">XLOOKUP(D21, 'Data jarak '!$A$2:$A$11, XLOOKUP(E21, 'Data jarak '!$B$1:$K$1, 'Data jarak '!$B$2:$K$11))</f>
        <v>403.0102</v>
      </c>
      <c r="H21" s="40">
        <f>vlookup(D21, Sheet4!$G$1:$I$11,2,0)</f>
        <v>13888.29</v>
      </c>
      <c r="I21" s="42">
        <f t="shared" si="1"/>
        <v>83956837.96</v>
      </c>
      <c r="J21" s="40">
        <f>vlookup(D21, Sheet4!$G$1:$I$11,3,0)</f>
        <v>44428.77</v>
      </c>
      <c r="K21" s="42">
        <f t="shared" si="2"/>
        <v>268578712.3</v>
      </c>
      <c r="M21" s="43" t="s">
        <v>36</v>
      </c>
      <c r="N21" s="43" t="s">
        <v>33</v>
      </c>
      <c r="O21" s="43" t="s">
        <v>37</v>
      </c>
      <c r="P21" s="43">
        <v>2415.04</v>
      </c>
      <c r="Q21" s="33"/>
      <c r="R21" s="34">
        <f t="array" ref="R21">XLOOKUP(N21, 'Data jarak '!$A$2:$A$11, XLOOKUP(O21, 'Data jarak '!$B$1:$K$1, 'Data jarak '!$B$2:$K$11))</f>
        <v>1024.79</v>
      </c>
      <c r="S21" s="40">
        <f t="shared" si="3"/>
        <v>27842724.47</v>
      </c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</row>
    <row r="22">
      <c r="A22" s="32" t="s">
        <v>37</v>
      </c>
      <c r="B22" s="33">
        <v>1.0</v>
      </c>
      <c r="C22" s="32"/>
      <c r="D22" s="32" t="s">
        <v>37</v>
      </c>
      <c r="E22" s="32" t="s">
        <v>37</v>
      </c>
      <c r="F22" s="33">
        <v>1.0</v>
      </c>
      <c r="G22" s="34">
        <f t="array" ref="G22">XLOOKUP(D22, 'Data jarak '!$A$2:$A$11, XLOOKUP(E22, 'Data jarak '!$B$1:$K$1, 'Data jarak '!$B$2:$K$11))</f>
        <v>0</v>
      </c>
      <c r="H22" s="40">
        <f>vlookup(D22, Sheet4!$G$1:$I$11,2,0)</f>
        <v>156335.24</v>
      </c>
      <c r="I22" s="42">
        <f t="shared" si="1"/>
        <v>0</v>
      </c>
      <c r="J22" s="40">
        <f>vlookup(D22, Sheet4!$G$1:$I$11,3,0)</f>
        <v>213533</v>
      </c>
      <c r="K22" s="42">
        <f t="shared" si="2"/>
        <v>0</v>
      </c>
      <c r="M22" s="43" t="s">
        <v>32</v>
      </c>
      <c r="N22" s="43" t="s">
        <v>32</v>
      </c>
      <c r="O22" s="43" t="s">
        <v>33</v>
      </c>
      <c r="P22" s="43">
        <v>11585.16</v>
      </c>
      <c r="Q22" s="33"/>
      <c r="R22" s="34">
        <f t="array" ref="R22">XLOOKUP(N22, 'Data jarak '!$A$2:$A$11, XLOOKUP(O22, 'Data jarak '!$B$1:$K$1, 'Data jarak '!$B$2:$K$11))</f>
        <v>525.4495</v>
      </c>
      <c r="S22" s="40">
        <f t="shared" si="3"/>
        <v>68483435.96</v>
      </c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</row>
    <row r="23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3" t="s">
        <v>32</v>
      </c>
      <c r="N23" s="43" t="s">
        <v>32</v>
      </c>
      <c r="O23" s="43" t="s">
        <v>35</v>
      </c>
      <c r="P23" s="43">
        <v>21227.17</v>
      </c>
      <c r="Q23" s="33"/>
      <c r="R23" s="34">
        <f t="array" ref="R23">XLOOKUP(N23, 'Data jarak '!$A$2:$A$11, XLOOKUP(O23, 'Data jarak '!$B$1:$K$1, 'Data jarak '!$B$2:$K$11))</f>
        <v>918.1315</v>
      </c>
      <c r="S23" s="40">
        <f t="shared" si="3"/>
        <v>219255001.1</v>
      </c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</row>
    <row r="24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3" t="s">
        <v>32</v>
      </c>
      <c r="N24" s="43" t="s">
        <v>32</v>
      </c>
      <c r="O24" s="43" t="s">
        <v>37</v>
      </c>
      <c r="P24" s="43">
        <v>12387.4</v>
      </c>
      <c r="Q24" s="33"/>
      <c r="R24" s="34">
        <f t="array" ref="R24">XLOOKUP(N24, 'Data jarak '!$A$2:$A$11, XLOOKUP(O24, 'Data jarak '!$B$1:$K$1, 'Data jarak '!$B$2:$K$11))</f>
        <v>1535.299</v>
      </c>
      <c r="S24" s="40">
        <f t="shared" si="3"/>
        <v>213956581.9</v>
      </c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</row>
    <row r="25">
      <c r="A25" s="25" t="s">
        <v>41</v>
      </c>
      <c r="B25" s="26"/>
      <c r="C25" s="26"/>
      <c r="D25" s="26"/>
      <c r="E25" s="26"/>
      <c r="F25" s="6"/>
      <c r="G25" s="40"/>
      <c r="H25" s="40"/>
      <c r="I25" s="40"/>
      <c r="J25" s="40"/>
      <c r="K25" s="40"/>
      <c r="L25" s="40"/>
      <c r="M25" s="43" t="s">
        <v>38</v>
      </c>
      <c r="N25" s="43" t="s">
        <v>33</v>
      </c>
      <c r="O25" s="43" t="s">
        <v>32</v>
      </c>
      <c r="P25" s="43">
        <v>6239.84</v>
      </c>
      <c r="Q25" s="33"/>
      <c r="R25" s="34">
        <f t="array" ref="R25">XLOOKUP(N25, 'Data jarak '!$A$2:$A$11, XLOOKUP(O25, 'Data jarak '!$B$1:$K$1, 'Data jarak '!$B$2:$K$11))</f>
        <v>525.4495</v>
      </c>
      <c r="S25" s="40">
        <f t="shared" si="3"/>
        <v>36885609.09</v>
      </c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</row>
    <row r="26">
      <c r="A26" s="27" t="s">
        <v>42</v>
      </c>
      <c r="B26" s="27" t="s">
        <v>43</v>
      </c>
      <c r="C26" s="27" t="s">
        <v>44</v>
      </c>
      <c r="D26" s="27" t="s">
        <v>45</v>
      </c>
      <c r="E26" s="27" t="s">
        <v>46</v>
      </c>
      <c r="F26" s="27" t="s">
        <v>47</v>
      </c>
      <c r="G26" s="40"/>
      <c r="H26" s="40"/>
      <c r="I26" s="40"/>
      <c r="J26" s="40"/>
      <c r="K26" s="40"/>
      <c r="L26" s="40"/>
      <c r="M26" s="43" t="s">
        <v>38</v>
      </c>
      <c r="N26" s="43" t="s">
        <v>33</v>
      </c>
      <c r="O26" s="43" t="s">
        <v>35</v>
      </c>
      <c r="P26" s="43">
        <v>22533.08</v>
      </c>
      <c r="Q26" s="33"/>
      <c r="R26" s="34">
        <f t="array" ref="R26">XLOOKUP(N26, 'Data jarak '!$A$2:$A$11, XLOOKUP(O26, 'Data jarak '!$B$1:$K$1, 'Data jarak '!$B$2:$K$11))</f>
        <v>475.5078</v>
      </c>
      <c r="S26" s="40">
        <f t="shared" si="3"/>
        <v>120539872.1</v>
      </c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</row>
    <row r="27">
      <c r="A27" s="27" t="s">
        <v>31</v>
      </c>
      <c r="B27" s="27" t="s">
        <v>37</v>
      </c>
      <c r="C27" s="27" t="s">
        <v>32</v>
      </c>
      <c r="D27" s="27" t="s">
        <v>48</v>
      </c>
      <c r="E27" s="27" t="s">
        <v>35</v>
      </c>
      <c r="F27" s="27" t="s">
        <v>49</v>
      </c>
      <c r="G27" s="40"/>
      <c r="H27" s="40"/>
      <c r="I27" s="40"/>
      <c r="J27" s="40"/>
      <c r="K27" s="40"/>
      <c r="L27" s="40"/>
      <c r="M27" s="43" t="s">
        <v>38</v>
      </c>
      <c r="N27" s="43" t="s">
        <v>33</v>
      </c>
      <c r="O27" s="43" t="s">
        <v>37</v>
      </c>
      <c r="P27" s="43">
        <v>5911.52</v>
      </c>
      <c r="Q27" s="33"/>
      <c r="R27" s="34">
        <f t="array" ref="R27">XLOOKUP(N27, 'Data jarak '!$A$2:$A$11, XLOOKUP(O27, 'Data jarak '!$B$1:$K$1, 'Data jarak '!$B$2:$K$11))</f>
        <v>1024.79</v>
      </c>
      <c r="S27" s="40">
        <f t="shared" si="3"/>
        <v>68153249.03</v>
      </c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</row>
    <row r="28">
      <c r="A28" s="27" t="s">
        <v>36</v>
      </c>
      <c r="B28" s="27" t="s">
        <v>35</v>
      </c>
      <c r="C28" s="27" t="s">
        <v>33</v>
      </c>
      <c r="D28" s="27" t="s">
        <v>48</v>
      </c>
      <c r="E28" s="27" t="s">
        <v>35</v>
      </c>
      <c r="F28" s="27" t="s">
        <v>49</v>
      </c>
      <c r="G28" s="40"/>
      <c r="H28" s="40"/>
      <c r="I28" s="40"/>
      <c r="J28" s="40"/>
      <c r="K28" s="40"/>
      <c r="L28" s="40"/>
      <c r="M28" s="43" t="s">
        <v>33</v>
      </c>
      <c r="N28" s="43" t="s">
        <v>33</v>
      </c>
      <c r="O28" s="43" t="s">
        <v>32</v>
      </c>
      <c r="P28" s="43">
        <v>14860.53</v>
      </c>
      <c r="Q28" s="33"/>
      <c r="R28" s="34">
        <f t="array" ref="R28">XLOOKUP(N28, 'Data jarak '!$A$2:$A$11, XLOOKUP(O28, 'Data jarak '!$B$1:$K$1, 'Data jarak '!$B$2:$K$11))</f>
        <v>525.4495</v>
      </c>
      <c r="S28" s="40">
        <f t="shared" si="3"/>
        <v>87845153.16</v>
      </c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</row>
    <row r="29">
      <c r="A29" s="27" t="s">
        <v>38</v>
      </c>
      <c r="B29" s="27" t="s">
        <v>33</v>
      </c>
      <c r="C29" s="27" t="s">
        <v>33</v>
      </c>
      <c r="D29" s="27" t="s">
        <v>48</v>
      </c>
      <c r="E29" s="27" t="s">
        <v>33</v>
      </c>
      <c r="F29" s="27" t="s">
        <v>49</v>
      </c>
      <c r="G29" s="40"/>
      <c r="H29" s="40"/>
      <c r="I29" s="40"/>
      <c r="J29" s="40"/>
      <c r="K29" s="40"/>
      <c r="L29" s="40"/>
      <c r="M29" s="43" t="s">
        <v>33</v>
      </c>
      <c r="N29" s="43" t="s">
        <v>33</v>
      </c>
      <c r="O29" s="43" t="s">
        <v>35</v>
      </c>
      <c r="P29" s="43">
        <v>38057.03</v>
      </c>
      <c r="Q29" s="33"/>
      <c r="R29" s="34">
        <f t="array" ref="R29">XLOOKUP(N29, 'Data jarak '!$A$2:$A$11, XLOOKUP(O29, 'Data jarak '!$B$1:$K$1, 'Data jarak '!$B$2:$K$11))</f>
        <v>475.5078</v>
      </c>
      <c r="S29" s="40">
        <f t="shared" si="3"/>
        <v>203584664.4</v>
      </c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</row>
    <row r="30">
      <c r="A30" s="27" t="s">
        <v>39</v>
      </c>
      <c r="B30" s="27" t="s">
        <v>32</v>
      </c>
      <c r="C30" s="27" t="s">
        <v>35</v>
      </c>
      <c r="D30" s="27" t="s">
        <v>48</v>
      </c>
      <c r="E30" s="27" t="s">
        <v>32</v>
      </c>
      <c r="F30" s="27" t="s">
        <v>49</v>
      </c>
      <c r="G30" s="40"/>
      <c r="H30" s="40"/>
      <c r="I30" s="40"/>
      <c r="J30" s="40"/>
      <c r="K30" s="40"/>
      <c r="L30" s="40"/>
      <c r="M30" s="43" t="s">
        <v>33</v>
      </c>
      <c r="N30" s="43" t="s">
        <v>33</v>
      </c>
      <c r="O30" s="43" t="s">
        <v>37</v>
      </c>
      <c r="P30" s="43">
        <v>6665.76</v>
      </c>
      <c r="Q30" s="33"/>
      <c r="R30" s="34">
        <f t="array" ref="R30">XLOOKUP(N30, 'Data jarak '!$A$2:$A$11, XLOOKUP(O30, 'Data jarak '!$B$1:$K$1, 'Data jarak '!$B$2:$K$11))</f>
        <v>1024.79</v>
      </c>
      <c r="S30" s="40">
        <f t="shared" si="3"/>
        <v>76848797.14</v>
      </c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</row>
    <row r="31">
      <c r="A31" s="27" t="s">
        <v>40</v>
      </c>
      <c r="B31" s="27" t="s">
        <v>34</v>
      </c>
      <c r="C31" s="27" t="s">
        <v>35</v>
      </c>
      <c r="D31" s="27" t="s">
        <v>48</v>
      </c>
      <c r="E31" s="27" t="s">
        <v>32</v>
      </c>
      <c r="F31" s="27" t="s">
        <v>49</v>
      </c>
      <c r="G31" s="40"/>
      <c r="H31" s="40"/>
      <c r="I31" s="40"/>
      <c r="J31" s="40"/>
      <c r="K31" s="40"/>
      <c r="L31" s="40"/>
      <c r="M31" s="43" t="s">
        <v>39</v>
      </c>
      <c r="N31" s="43" t="s">
        <v>35</v>
      </c>
      <c r="O31" s="43" t="s">
        <v>32</v>
      </c>
      <c r="P31" s="43">
        <v>12683.13</v>
      </c>
      <c r="Q31" s="33"/>
      <c r="R31" s="34">
        <f t="array" ref="R31">XLOOKUP(N31, 'Data jarak '!$A$2:$A$11, XLOOKUP(O31, 'Data jarak '!$B$1:$K$1, 'Data jarak '!$B$2:$K$11))</f>
        <v>918.1315</v>
      </c>
      <c r="S31" s="40">
        <f t="shared" si="3"/>
        <v>131003788.2</v>
      </c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</row>
    <row r="32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3" t="s">
        <v>39</v>
      </c>
      <c r="N32" s="43" t="s">
        <v>35</v>
      </c>
      <c r="O32" s="43" t="s">
        <v>33</v>
      </c>
      <c r="P32" s="43">
        <v>35520.88</v>
      </c>
      <c r="Q32" s="33"/>
      <c r="R32" s="34">
        <f t="array" ref="R32">XLOOKUP(N32, 'Data jarak '!$A$2:$A$11, XLOOKUP(O32, 'Data jarak '!$B$1:$K$1, 'Data jarak '!$B$2:$K$11))</f>
        <v>475.5078</v>
      </c>
      <c r="S32" s="40">
        <f t="shared" si="3"/>
        <v>190017624.4</v>
      </c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</row>
    <row r="33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22" t="s">
        <v>39</v>
      </c>
      <c r="N33" s="22" t="s">
        <v>35</v>
      </c>
      <c r="O33" s="22" t="s">
        <v>37</v>
      </c>
      <c r="P33" s="22">
        <v>8546.4</v>
      </c>
      <c r="Q33" s="40"/>
      <c r="R33" s="34">
        <f t="array" ref="R33">XLOOKUP(N33, 'Data jarak '!$A$2:$A$11, XLOOKUP(O33, 'Data jarak '!$B$1:$K$1, 'Data jarak '!$B$2:$K$11))</f>
        <v>658.2451</v>
      </c>
      <c r="S33" s="40">
        <f t="shared" si="3"/>
        <v>63288291.63</v>
      </c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</row>
    <row r="34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22" t="s">
        <v>35</v>
      </c>
      <c r="N34" s="22" t="s">
        <v>35</v>
      </c>
      <c r="O34" s="22" t="s">
        <v>32</v>
      </c>
      <c r="P34" s="22">
        <v>109854.74</v>
      </c>
      <c r="Q34" s="40"/>
      <c r="R34" s="34">
        <f t="array" ref="R34">XLOOKUP(N34, 'Data jarak '!$A$2:$A$11, XLOOKUP(O34, 'Data jarak '!$B$1:$K$1, 'Data jarak '!$B$2:$K$11))</f>
        <v>918.1315</v>
      </c>
      <c r="S34" s="40">
        <f t="shared" si="3"/>
        <v>1134687344</v>
      </c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</row>
    <row r="3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22" t="s">
        <v>35</v>
      </c>
      <c r="N35" s="22" t="s">
        <v>35</v>
      </c>
      <c r="O35" s="22" t="s">
        <v>33</v>
      </c>
      <c r="P35" s="22">
        <v>169368.44</v>
      </c>
      <c r="Q35" s="40"/>
      <c r="R35" s="34">
        <f t="array" ref="R35">XLOOKUP(N35, 'Data jarak '!$A$2:$A$11, XLOOKUP(O35, 'Data jarak '!$B$1:$K$1, 'Data jarak '!$B$2:$K$11))</f>
        <v>475.5078</v>
      </c>
      <c r="S35" s="40">
        <f t="shared" si="3"/>
        <v>906030160.8</v>
      </c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</row>
    <row r="36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22" t="s">
        <v>35</v>
      </c>
      <c r="N36" s="22" t="s">
        <v>35</v>
      </c>
      <c r="O36" s="22" t="s">
        <v>37</v>
      </c>
      <c r="P36" s="22">
        <v>101245.44</v>
      </c>
      <c r="Q36" s="40"/>
      <c r="R36" s="34">
        <f t="array" ref="R36">XLOOKUP(N36, 'Data jarak '!$A$2:$A$11, XLOOKUP(O36, 'Data jarak '!$B$1:$K$1, 'Data jarak '!$B$2:$K$11))</f>
        <v>658.2451</v>
      </c>
      <c r="S36" s="40">
        <f t="shared" si="3"/>
        <v>749748541.2</v>
      </c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</row>
    <row r="37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22" t="s">
        <v>40</v>
      </c>
      <c r="N37" s="22" t="s">
        <v>35</v>
      </c>
      <c r="O37" s="22" t="s">
        <v>32</v>
      </c>
      <c r="P37" s="22">
        <v>3351.92</v>
      </c>
      <c r="Q37" s="40"/>
      <c r="R37" s="34">
        <f t="array" ref="R37">XLOOKUP(N37, 'Data jarak '!$A$2:$A$11, XLOOKUP(O37, 'Data jarak '!$B$1:$K$1, 'Data jarak '!$B$2:$K$11))</f>
        <v>918.1315</v>
      </c>
      <c r="S37" s="40">
        <f t="shared" si="3"/>
        <v>34621912.55</v>
      </c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</row>
    <row r="38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22" t="s">
        <v>40</v>
      </c>
      <c r="N38" s="22" t="s">
        <v>35</v>
      </c>
      <c r="O38" s="22" t="s">
        <v>33</v>
      </c>
      <c r="P38" s="22">
        <v>3799.76</v>
      </c>
      <c r="Q38" s="40"/>
      <c r="R38" s="34">
        <f t="array" ref="R38">XLOOKUP(N38, 'Data jarak '!$A$2:$A$11, XLOOKUP(O38, 'Data jarak '!$B$1:$K$1, 'Data jarak '!$B$2:$K$11))</f>
        <v>475.5078</v>
      </c>
      <c r="S38" s="40">
        <f t="shared" si="3"/>
        <v>20326674.58</v>
      </c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</row>
    <row r="39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22" t="s">
        <v>40</v>
      </c>
      <c r="N39" s="22" t="s">
        <v>35</v>
      </c>
      <c r="O39" s="22" t="s">
        <v>37</v>
      </c>
      <c r="P39" s="22">
        <v>1785.4</v>
      </c>
      <c r="Q39" s="40"/>
      <c r="R39" s="34">
        <f t="array" ref="R39">XLOOKUP(N39, 'Data jarak '!$A$2:$A$11, XLOOKUP(O39, 'Data jarak '!$B$1:$K$1, 'Data jarak '!$B$2:$K$11))</f>
        <v>658.2451</v>
      </c>
      <c r="S39" s="40">
        <f t="shared" si="3"/>
        <v>13221346.52</v>
      </c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</row>
    <row r="40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22" t="s">
        <v>37</v>
      </c>
      <c r="N40" s="22" t="s">
        <v>37</v>
      </c>
      <c r="O40" s="22" t="s">
        <v>32</v>
      </c>
      <c r="P40" s="22">
        <v>67260.9</v>
      </c>
      <c r="Q40" s="40"/>
      <c r="R40" s="34">
        <f t="array" ref="R40">XLOOKUP(N40, 'Data jarak '!$A$2:$A$11, XLOOKUP(O40, 'Data jarak '!$B$1:$K$1, 'Data jarak '!$B$2:$K$11))</f>
        <v>1535.299</v>
      </c>
      <c r="S40" s="40">
        <f t="shared" si="3"/>
        <v>1161737916</v>
      </c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</row>
    <row r="41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22" t="s">
        <v>37</v>
      </c>
      <c r="N41" s="22" t="s">
        <v>37</v>
      </c>
      <c r="O41" s="22" t="s">
        <v>33</v>
      </c>
      <c r="P41" s="22">
        <v>28143.8</v>
      </c>
      <c r="Q41" s="40"/>
      <c r="R41" s="34">
        <f t="array" ref="R41">XLOOKUP(N41, 'Data jarak '!$A$2:$A$11, XLOOKUP(O41, 'Data jarak '!$B$1:$K$1, 'Data jarak '!$B$2:$K$11))</f>
        <v>1024.79</v>
      </c>
      <c r="S41" s="40">
        <f t="shared" si="3"/>
        <v>324466704</v>
      </c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</row>
    <row r="42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22" t="s">
        <v>37</v>
      </c>
      <c r="N42" s="22" t="s">
        <v>37</v>
      </c>
      <c r="O42" s="22" t="s">
        <v>35</v>
      </c>
      <c r="P42" s="22">
        <v>60930.54</v>
      </c>
      <c r="Q42" s="40"/>
      <c r="R42" s="34">
        <f t="array" ref="R42">XLOOKUP(N42, 'Data jarak '!$A$2:$A$11, XLOOKUP(O42, 'Data jarak '!$B$1:$K$1, 'Data jarak '!$B$2:$K$11))</f>
        <v>658.2451</v>
      </c>
      <c r="S42" s="40">
        <f t="shared" si="3"/>
        <v>451206330.7</v>
      </c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</row>
    <row r="43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</row>
    <row r="44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</row>
    <row r="4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</row>
    <row r="46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</row>
    <row r="47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</row>
    <row r="48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</row>
    <row r="49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</row>
    <row r="50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</row>
    <row r="51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</row>
    <row r="52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</row>
    <row r="53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</row>
    <row r="54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</row>
    <row r="55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</row>
    <row r="56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</row>
    <row r="57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</row>
    <row r="58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</row>
    <row r="59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</row>
    <row r="60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</row>
    <row r="61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</row>
    <row r="62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</row>
    <row r="63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</row>
    <row r="64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</row>
    <row r="6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</row>
    <row r="66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</row>
    <row r="67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</row>
    <row r="68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</row>
    <row r="69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</row>
    <row r="70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</row>
    <row r="71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</row>
    <row r="72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</row>
    <row r="73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</row>
    <row r="74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</row>
    <row r="75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</row>
    <row r="76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</row>
    <row r="77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</row>
    <row r="78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</row>
    <row r="79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</row>
    <row r="80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</row>
    <row r="81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</row>
    <row r="82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</row>
    <row r="83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</row>
    <row r="84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</row>
    <row r="85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</row>
    <row r="86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</row>
    <row r="87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</row>
    <row r="88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</row>
    <row r="89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</row>
    <row r="90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</row>
    <row r="91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</row>
    <row r="9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</row>
    <row r="93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</row>
    <row r="94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</row>
    <row r="9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</row>
    <row r="96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</row>
    <row r="97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</row>
    <row r="98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</row>
    <row r="99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</row>
    <row r="100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</row>
    <row r="101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</row>
    <row r="10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</row>
    <row r="103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</row>
    <row r="104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</row>
    <row r="10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</row>
    <row r="106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</row>
    <row r="107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</row>
    <row r="108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</row>
    <row r="109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</row>
    <row r="110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</row>
    <row r="11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</row>
    <row r="11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</row>
    <row r="113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</row>
    <row r="114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</row>
    <row r="11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</row>
    <row r="116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</row>
    <row r="117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</row>
    <row r="118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</row>
    <row r="119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</row>
    <row r="120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</row>
    <row r="12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</row>
    <row r="12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</row>
    <row r="123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</row>
    <row r="124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</row>
    <row r="12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</row>
    <row r="126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</row>
    <row r="127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</row>
    <row r="128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</row>
    <row r="129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</row>
    <row r="130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</row>
    <row r="13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</row>
    <row r="13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</row>
    <row r="133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</row>
    <row r="134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</row>
    <row r="13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</row>
    <row r="136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</row>
    <row r="137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</row>
    <row r="138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</row>
    <row r="139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</row>
    <row r="140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</row>
    <row r="14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</row>
    <row r="14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</row>
    <row r="143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</row>
    <row r="144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</row>
    <row r="14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</row>
    <row r="1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</row>
    <row r="147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</row>
    <row r="148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</row>
    <row r="149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</row>
    <row r="150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</row>
    <row r="15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</row>
    <row r="15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</row>
    <row r="153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</row>
    <row r="154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</row>
    <row r="15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</row>
    <row r="156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</row>
    <row r="157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</row>
    <row r="158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</row>
    <row r="159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</row>
    <row r="160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</row>
    <row r="16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</row>
    <row r="16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</row>
    <row r="163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</row>
    <row r="164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</row>
    <row r="16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</row>
    <row r="166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</row>
    <row r="167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</row>
    <row r="168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</row>
    <row r="169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</row>
    <row r="170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</row>
    <row r="17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</row>
    <row r="17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</row>
    <row r="173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</row>
    <row r="174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</row>
    <row r="17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</row>
    <row r="176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</row>
    <row r="177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</row>
    <row r="178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</row>
    <row r="179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</row>
    <row r="180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</row>
    <row r="18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</row>
    <row r="18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</row>
    <row r="183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</row>
    <row r="184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</row>
    <row r="18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</row>
    <row r="186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</row>
    <row r="187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</row>
    <row r="188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</row>
    <row r="189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</row>
    <row r="190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</row>
    <row r="19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</row>
    <row r="19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</row>
    <row r="193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</row>
    <row r="194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</row>
    <row r="19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</row>
    <row r="196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</row>
    <row r="197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</row>
    <row r="198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</row>
    <row r="199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</row>
    <row r="200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</row>
    <row r="20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</row>
    <row r="20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</row>
    <row r="203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</row>
    <row r="204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</row>
    <row r="20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</row>
    <row r="206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</row>
    <row r="207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</row>
    <row r="208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</row>
    <row r="209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</row>
    <row r="210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</row>
    <row r="21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</row>
    <row r="21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</row>
    <row r="213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</row>
    <row r="214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</row>
    <row r="21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</row>
    <row r="216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</row>
    <row r="217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</row>
    <row r="218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</row>
    <row r="219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</row>
    <row r="220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</row>
    <row r="22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</row>
    <row r="22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</row>
    <row r="223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</row>
    <row r="224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</row>
    <row r="2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</row>
    <row r="226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</row>
    <row r="227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</row>
    <row r="228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</row>
    <row r="229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</row>
    <row r="230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</row>
    <row r="23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</row>
    <row r="23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</row>
    <row r="233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</row>
    <row r="234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</row>
    <row r="23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</row>
    <row r="236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</row>
    <row r="237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</row>
    <row r="238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</row>
    <row r="239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</row>
    <row r="240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</row>
    <row r="24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</row>
    <row r="24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</row>
    <row r="243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</row>
    <row r="244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</row>
    <row r="24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</row>
    <row r="246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</row>
    <row r="247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</row>
    <row r="248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</row>
    <row r="249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</row>
    <row r="250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</row>
    <row r="25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</row>
    <row r="25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</row>
    <row r="253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</row>
    <row r="254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</row>
    <row r="25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</row>
    <row r="256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</row>
    <row r="257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</row>
    <row r="258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</row>
    <row r="259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</row>
    <row r="260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</row>
    <row r="26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</row>
    <row r="26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</row>
    <row r="263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</row>
    <row r="264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</row>
    <row r="26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</row>
    <row r="266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</row>
    <row r="267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</row>
    <row r="268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</row>
    <row r="269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</row>
    <row r="270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</row>
    <row r="27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</row>
    <row r="27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</row>
    <row r="27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</row>
    <row r="274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</row>
    <row r="27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</row>
    <row r="276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</row>
    <row r="277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</row>
    <row r="278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</row>
    <row r="279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</row>
    <row r="280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</row>
    <row r="28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</row>
    <row r="28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</row>
    <row r="283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</row>
    <row r="284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</row>
    <row r="28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</row>
    <row r="286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</row>
    <row r="287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</row>
    <row r="288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</row>
    <row r="289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</row>
    <row r="290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</row>
    <row r="29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</row>
    <row r="29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</row>
    <row r="293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</row>
    <row r="294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</row>
    <row r="29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</row>
    <row r="296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</row>
    <row r="297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</row>
    <row r="298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</row>
    <row r="299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</row>
    <row r="300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</row>
    <row r="30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</row>
    <row r="30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</row>
    <row r="303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</row>
    <row r="304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</row>
    <row r="30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</row>
    <row r="306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</row>
    <row r="307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</row>
    <row r="308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</row>
    <row r="309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</row>
    <row r="310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</row>
    <row r="31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</row>
    <row r="31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</row>
    <row r="313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</row>
    <row r="314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</row>
    <row r="31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</row>
    <row r="316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</row>
    <row r="317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</row>
    <row r="318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</row>
    <row r="319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</row>
    <row r="320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</row>
    <row r="32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</row>
    <row r="32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</row>
    <row r="323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</row>
    <row r="324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</row>
    <row r="3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</row>
    <row r="326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</row>
    <row r="327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</row>
    <row r="328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</row>
    <row r="329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</row>
    <row r="330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</row>
    <row r="33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</row>
    <row r="33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</row>
    <row r="333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</row>
    <row r="334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</row>
    <row r="33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</row>
    <row r="336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</row>
    <row r="337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</row>
    <row r="338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</row>
    <row r="339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</row>
    <row r="340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</row>
    <row r="34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</row>
    <row r="34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</row>
    <row r="343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</row>
    <row r="344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</row>
    <row r="34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</row>
    <row r="346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</row>
    <row r="347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</row>
    <row r="348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</row>
    <row r="349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</row>
    <row r="350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</row>
    <row r="35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</row>
    <row r="35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</row>
    <row r="353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</row>
    <row r="354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</row>
    <row r="35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</row>
    <row r="356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</row>
    <row r="357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</row>
    <row r="358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</row>
    <row r="359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</row>
    <row r="360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</row>
    <row r="36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</row>
    <row r="36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</row>
    <row r="363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</row>
    <row r="364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</row>
    <row r="36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</row>
    <row r="366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</row>
    <row r="367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</row>
    <row r="368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</row>
    <row r="369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</row>
    <row r="370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</row>
    <row r="37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</row>
    <row r="37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</row>
    <row r="373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</row>
    <row r="374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</row>
    <row r="37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</row>
    <row r="376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</row>
    <row r="377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</row>
    <row r="378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</row>
    <row r="379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</row>
    <row r="380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</row>
    <row r="38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</row>
    <row r="38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</row>
    <row r="383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</row>
    <row r="384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</row>
    <row r="38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</row>
    <row r="386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</row>
    <row r="387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</row>
    <row r="388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</row>
    <row r="389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</row>
    <row r="390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</row>
    <row r="39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</row>
    <row r="39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</row>
    <row r="393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</row>
    <row r="394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</row>
    <row r="39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</row>
    <row r="396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</row>
    <row r="397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</row>
    <row r="398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</row>
    <row r="399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</row>
    <row r="400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</row>
    <row r="40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</row>
    <row r="40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</row>
    <row r="403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</row>
    <row r="404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</row>
    <row r="40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</row>
    <row r="406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</row>
    <row r="407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</row>
    <row r="408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</row>
    <row r="409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</row>
    <row r="410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</row>
    <row r="41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</row>
    <row r="41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</row>
    <row r="413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</row>
    <row r="414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</row>
    <row r="41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</row>
    <row r="416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</row>
    <row r="417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</row>
    <row r="418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</row>
    <row r="419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</row>
    <row r="420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</row>
    <row r="42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</row>
    <row r="42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</row>
    <row r="423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</row>
    <row r="424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</row>
    <row r="4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</row>
    <row r="426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</row>
    <row r="427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</row>
    <row r="428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</row>
    <row r="429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</row>
    <row r="430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</row>
    <row r="43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</row>
    <row r="43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</row>
    <row r="433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</row>
    <row r="434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</row>
    <row r="43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</row>
    <row r="436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</row>
    <row r="437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</row>
    <row r="438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</row>
    <row r="439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</row>
    <row r="440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</row>
    <row r="44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</row>
    <row r="44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</row>
    <row r="443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</row>
    <row r="444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</row>
    <row r="44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</row>
    <row r="446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</row>
    <row r="447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</row>
    <row r="448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</row>
    <row r="449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</row>
    <row r="450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</row>
    <row r="45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</row>
    <row r="45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</row>
    <row r="453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</row>
    <row r="454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</row>
    <row r="45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</row>
    <row r="456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</row>
    <row r="457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</row>
    <row r="458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</row>
    <row r="459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</row>
    <row r="460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</row>
    <row r="46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</row>
    <row r="46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</row>
    <row r="463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</row>
    <row r="464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</row>
    <row r="46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</row>
    <row r="466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</row>
    <row r="467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</row>
    <row r="468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</row>
    <row r="469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</row>
    <row r="470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</row>
    <row r="47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</row>
    <row r="47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</row>
    <row r="473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</row>
    <row r="474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</row>
    <row r="47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</row>
    <row r="476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</row>
    <row r="477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</row>
    <row r="478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</row>
    <row r="479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</row>
    <row r="480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</row>
    <row r="48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</row>
    <row r="48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</row>
    <row r="483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</row>
    <row r="484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</row>
    <row r="48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</row>
    <row r="486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</row>
    <row r="487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</row>
    <row r="488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</row>
    <row r="489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</row>
    <row r="490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</row>
    <row r="49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</row>
    <row r="49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</row>
    <row r="493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</row>
    <row r="494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</row>
    <row r="49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</row>
    <row r="496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</row>
    <row r="497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</row>
    <row r="498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</row>
    <row r="499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</row>
    <row r="500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</row>
    <row r="50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</row>
    <row r="50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</row>
    <row r="503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</row>
    <row r="504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</row>
    <row r="50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</row>
    <row r="506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</row>
    <row r="507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</row>
    <row r="508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</row>
    <row r="509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</row>
    <row r="510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</row>
    <row r="51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</row>
    <row r="51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</row>
    <row r="513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</row>
    <row r="514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</row>
    <row r="51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</row>
    <row r="516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</row>
    <row r="517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</row>
    <row r="518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</row>
    <row r="519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</row>
    <row r="520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</row>
    <row r="52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</row>
    <row r="52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</row>
    <row r="523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</row>
    <row r="524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</row>
    <row r="5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</row>
    <row r="526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</row>
    <row r="527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</row>
    <row r="528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</row>
    <row r="529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</row>
    <row r="530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</row>
    <row r="53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</row>
    <row r="53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</row>
    <row r="533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</row>
    <row r="534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</row>
    <row r="5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</row>
    <row r="536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</row>
    <row r="537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</row>
    <row r="538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</row>
    <row r="539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</row>
    <row r="540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</row>
    <row r="54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</row>
    <row r="54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</row>
    <row r="543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</row>
    <row r="544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</row>
    <row r="54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</row>
    <row r="546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</row>
    <row r="547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</row>
    <row r="548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</row>
    <row r="549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</row>
    <row r="550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</row>
    <row r="55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</row>
    <row r="55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</row>
    <row r="553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</row>
    <row r="554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</row>
    <row r="55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</row>
    <row r="556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</row>
    <row r="557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</row>
    <row r="558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</row>
    <row r="559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</row>
    <row r="560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</row>
    <row r="56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</row>
    <row r="56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</row>
    <row r="563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</row>
    <row r="564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</row>
    <row r="56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</row>
    <row r="566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</row>
    <row r="567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</row>
    <row r="568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</row>
    <row r="569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</row>
    <row r="570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</row>
    <row r="57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</row>
    <row r="57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</row>
    <row r="573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</row>
    <row r="574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</row>
    <row r="57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</row>
    <row r="576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</row>
    <row r="577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</row>
    <row r="578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</row>
    <row r="579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</row>
    <row r="580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</row>
    <row r="58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</row>
    <row r="58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</row>
    <row r="583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</row>
    <row r="584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</row>
    <row r="58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</row>
    <row r="586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</row>
    <row r="587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</row>
    <row r="588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</row>
    <row r="589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</row>
    <row r="590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</row>
    <row r="59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</row>
    <row r="59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</row>
    <row r="593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</row>
    <row r="594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</row>
    <row r="59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</row>
    <row r="596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</row>
    <row r="597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</row>
    <row r="598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</row>
    <row r="599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</row>
    <row r="600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</row>
    <row r="60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</row>
    <row r="60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</row>
    <row r="603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</row>
    <row r="604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</row>
    <row r="60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</row>
    <row r="606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</row>
    <row r="607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</row>
    <row r="608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</row>
    <row r="609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</row>
    <row r="610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</row>
    <row r="61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</row>
    <row r="61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</row>
    <row r="613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</row>
    <row r="614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</row>
    <row r="61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</row>
    <row r="616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</row>
    <row r="617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</row>
    <row r="618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</row>
    <row r="619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</row>
    <row r="620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</row>
    <row r="62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</row>
    <row r="62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</row>
    <row r="623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</row>
    <row r="624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</row>
    <row r="6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</row>
    <row r="626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</row>
    <row r="627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</row>
    <row r="628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</row>
    <row r="629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</row>
    <row r="630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</row>
    <row r="63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</row>
    <row r="63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</row>
    <row r="633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</row>
    <row r="634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</row>
    <row r="6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</row>
    <row r="636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</row>
    <row r="637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</row>
    <row r="638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</row>
    <row r="639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</row>
    <row r="640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</row>
    <row r="64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</row>
    <row r="64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</row>
    <row r="643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</row>
    <row r="644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</row>
    <row r="64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</row>
    <row r="646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</row>
    <row r="647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</row>
    <row r="648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</row>
    <row r="649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</row>
    <row r="650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</row>
    <row r="65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</row>
    <row r="65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</row>
    <row r="653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</row>
    <row r="654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</row>
    <row r="65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</row>
    <row r="656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</row>
    <row r="657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</row>
    <row r="658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</row>
    <row r="659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</row>
    <row r="660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</row>
    <row r="66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</row>
    <row r="66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</row>
    <row r="663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</row>
    <row r="664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</row>
    <row r="66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</row>
    <row r="666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</row>
    <row r="667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</row>
    <row r="668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</row>
    <row r="669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</row>
    <row r="670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</row>
    <row r="67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</row>
    <row r="67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</row>
    <row r="673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</row>
    <row r="674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</row>
    <row r="67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</row>
    <row r="676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</row>
    <row r="677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</row>
    <row r="678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</row>
    <row r="679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</row>
    <row r="680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</row>
    <row r="68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</row>
    <row r="68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</row>
    <row r="683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</row>
    <row r="684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</row>
    <row r="68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</row>
    <row r="686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</row>
    <row r="687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</row>
    <row r="688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</row>
    <row r="689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</row>
    <row r="690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</row>
    <row r="69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</row>
    <row r="69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</row>
    <row r="693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</row>
    <row r="694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</row>
    <row r="69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</row>
    <row r="696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</row>
    <row r="697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</row>
    <row r="698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</row>
    <row r="699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</row>
    <row r="700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</row>
    <row r="70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</row>
    <row r="70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</row>
    <row r="703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</row>
    <row r="704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</row>
    <row r="70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</row>
    <row r="706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</row>
    <row r="707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</row>
    <row r="708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</row>
    <row r="709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</row>
    <row r="710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</row>
    <row r="71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</row>
    <row r="71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</row>
    <row r="713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</row>
    <row r="714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</row>
    <row r="71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</row>
    <row r="716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</row>
    <row r="717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</row>
    <row r="718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</row>
    <row r="719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</row>
    <row r="720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</row>
    <row r="72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</row>
    <row r="72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</row>
    <row r="723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</row>
    <row r="724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</row>
    <row r="7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</row>
    <row r="726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</row>
    <row r="727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</row>
    <row r="728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</row>
    <row r="729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</row>
    <row r="730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</row>
    <row r="73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</row>
    <row r="73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</row>
    <row r="733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</row>
    <row r="734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</row>
    <row r="7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</row>
    <row r="736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</row>
    <row r="737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</row>
    <row r="738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</row>
    <row r="739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</row>
    <row r="740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</row>
    <row r="74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</row>
    <row r="74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</row>
    <row r="743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</row>
    <row r="744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</row>
    <row r="74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</row>
    <row r="746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</row>
    <row r="747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</row>
    <row r="748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</row>
    <row r="749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</row>
    <row r="750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</row>
    <row r="75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</row>
    <row r="75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</row>
    <row r="753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</row>
    <row r="754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</row>
    <row r="75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</row>
    <row r="756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</row>
    <row r="757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</row>
    <row r="758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</row>
    <row r="759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</row>
    <row r="760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</row>
    <row r="76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</row>
    <row r="76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</row>
    <row r="763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</row>
    <row r="764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</row>
    <row r="76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</row>
    <row r="766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</row>
    <row r="767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</row>
    <row r="768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</row>
    <row r="769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</row>
    <row r="770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</row>
    <row r="77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</row>
    <row r="77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</row>
    <row r="773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</row>
    <row r="774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</row>
    <row r="77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</row>
    <row r="776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</row>
    <row r="777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</row>
    <row r="778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</row>
    <row r="779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</row>
    <row r="780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</row>
    <row r="78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</row>
    <row r="78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</row>
    <row r="783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</row>
    <row r="784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</row>
    <row r="78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</row>
    <row r="786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</row>
    <row r="787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</row>
    <row r="788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</row>
    <row r="789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</row>
    <row r="790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</row>
    <row r="79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</row>
    <row r="79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</row>
    <row r="793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</row>
    <row r="794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</row>
    <row r="79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</row>
    <row r="796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</row>
    <row r="797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</row>
    <row r="798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</row>
    <row r="799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</row>
    <row r="800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</row>
    <row r="80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</row>
    <row r="80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</row>
    <row r="803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</row>
    <row r="804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</row>
    <row r="80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</row>
    <row r="806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</row>
    <row r="807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</row>
    <row r="808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</row>
    <row r="809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</row>
    <row r="810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</row>
    <row r="81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</row>
    <row r="81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</row>
    <row r="813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</row>
    <row r="814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</row>
    <row r="81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</row>
    <row r="816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</row>
    <row r="817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</row>
    <row r="818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</row>
    <row r="819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</row>
    <row r="820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</row>
    <row r="82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</row>
    <row r="82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</row>
    <row r="823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</row>
    <row r="824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</row>
    <row r="8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</row>
    <row r="826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</row>
    <row r="827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</row>
    <row r="828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</row>
    <row r="829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</row>
    <row r="830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</row>
    <row r="83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</row>
    <row r="83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</row>
    <row r="833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</row>
    <row r="834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</row>
    <row r="8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</row>
    <row r="836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</row>
    <row r="837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</row>
    <row r="838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</row>
    <row r="839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</row>
    <row r="840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</row>
    <row r="84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</row>
    <row r="84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</row>
    <row r="843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</row>
    <row r="844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</row>
    <row r="84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</row>
    <row r="846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</row>
    <row r="847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</row>
    <row r="848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</row>
    <row r="849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</row>
    <row r="850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</row>
    <row r="85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</row>
    <row r="85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</row>
    <row r="853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</row>
    <row r="854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</row>
    <row r="85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</row>
    <row r="856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</row>
    <row r="857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</row>
    <row r="858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</row>
    <row r="859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</row>
    <row r="860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</row>
    <row r="86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</row>
    <row r="86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</row>
    <row r="863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</row>
    <row r="864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</row>
    <row r="86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</row>
    <row r="866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</row>
    <row r="867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</row>
    <row r="868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</row>
    <row r="869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</row>
    <row r="870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</row>
    <row r="87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</row>
    <row r="87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</row>
    <row r="873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</row>
    <row r="874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</row>
    <row r="87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</row>
    <row r="876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</row>
    <row r="877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</row>
    <row r="878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</row>
    <row r="879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</row>
    <row r="880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</row>
    <row r="88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</row>
    <row r="88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</row>
    <row r="883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</row>
    <row r="884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</row>
    <row r="88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</row>
    <row r="886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</row>
    <row r="887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</row>
    <row r="888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</row>
    <row r="889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</row>
    <row r="890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</row>
    <row r="89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</row>
    <row r="89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</row>
    <row r="893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</row>
    <row r="894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</row>
    <row r="89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</row>
    <row r="896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</row>
    <row r="897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</row>
    <row r="898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</row>
    <row r="899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</row>
    <row r="900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</row>
    <row r="90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</row>
    <row r="90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</row>
    <row r="903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</row>
    <row r="904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</row>
    <row r="90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</row>
    <row r="906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</row>
    <row r="907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</row>
    <row r="908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</row>
    <row r="909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</row>
    <row r="910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</row>
    <row r="91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</row>
    <row r="91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</row>
    <row r="913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</row>
    <row r="914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</row>
    <row r="91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</row>
    <row r="916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</row>
    <row r="917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</row>
    <row r="918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</row>
    <row r="919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</row>
    <row r="920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</row>
    <row r="92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</row>
    <row r="92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</row>
    <row r="923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</row>
    <row r="924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</row>
    <row r="9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</row>
    <row r="926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</row>
    <row r="927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</row>
    <row r="928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</row>
    <row r="929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</row>
    <row r="930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</row>
    <row r="93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</row>
    <row r="93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</row>
    <row r="933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</row>
    <row r="934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</row>
    <row r="93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</row>
    <row r="936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</row>
    <row r="937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</row>
    <row r="938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</row>
    <row r="939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</row>
    <row r="940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</row>
    <row r="94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</row>
    <row r="94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</row>
    <row r="943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</row>
    <row r="944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</row>
    <row r="94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</row>
    <row r="946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</row>
    <row r="947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</row>
    <row r="948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</row>
    <row r="949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</row>
    <row r="950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</row>
    <row r="95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</row>
    <row r="95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</row>
    <row r="953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</row>
    <row r="954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</row>
    <row r="95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</row>
    <row r="956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</row>
    <row r="957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</row>
    <row r="958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</row>
    <row r="959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</row>
    <row r="960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</row>
    <row r="96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</row>
    <row r="96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</row>
    <row r="963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</row>
    <row r="964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</row>
    <row r="96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</row>
    <row r="966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</row>
    <row r="967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</row>
    <row r="968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</row>
    <row r="969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</row>
    <row r="970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</row>
    <row r="97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</row>
    <row r="97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</row>
    <row r="973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</row>
    <row r="974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</row>
    <row r="97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</row>
    <row r="976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</row>
    <row r="977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</row>
    <row r="978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</row>
    <row r="979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</row>
    <row r="980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</row>
    <row r="98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</row>
    <row r="98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</row>
    <row r="983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</row>
    <row r="984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</row>
    <row r="98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</row>
    <row r="986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</row>
    <row r="987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</row>
    <row r="988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</row>
    <row r="989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</row>
    <row r="990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</row>
    <row r="99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</row>
    <row r="99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</row>
    <row r="993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</row>
    <row r="994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</row>
    <row r="99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</row>
    <row r="996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</row>
    <row r="997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</row>
    <row r="998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</row>
    <row r="999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</row>
    <row r="1000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</row>
  </sheetData>
  <mergeCells count="4">
    <mergeCell ref="A11:B11"/>
    <mergeCell ref="D11:F11"/>
    <mergeCell ref="M11:S11"/>
    <mergeCell ref="A25:F2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10.25"/>
    <col customWidth="1" min="7" max="8" width="14.0"/>
    <col customWidth="1" min="9" max="9" width="14.88"/>
  </cols>
  <sheetData>
    <row r="1">
      <c r="A1" s="18"/>
      <c r="B1" s="18"/>
      <c r="C1" s="16"/>
      <c r="D1" s="16"/>
      <c r="E1" s="18"/>
      <c r="F1" s="18" t="s">
        <v>50</v>
      </c>
      <c r="G1" s="18" t="s">
        <v>51</v>
      </c>
      <c r="H1" s="18" t="s">
        <v>52</v>
      </c>
      <c r="I1" s="18" t="s">
        <v>14</v>
      </c>
      <c r="J1" s="16"/>
      <c r="K1" s="18" t="s">
        <v>3</v>
      </c>
      <c r="L1" s="16"/>
      <c r="M1" s="16"/>
      <c r="N1" s="16"/>
      <c r="O1" s="40"/>
      <c r="P1" s="25" t="s">
        <v>41</v>
      </c>
      <c r="Q1" s="26"/>
      <c r="R1" s="26"/>
      <c r="S1" s="26"/>
      <c r="T1" s="26"/>
      <c r="U1" s="6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</row>
    <row r="2">
      <c r="A2" s="16"/>
      <c r="B2" s="16"/>
      <c r="C2" s="18" t="s">
        <v>11</v>
      </c>
      <c r="D2" s="18"/>
      <c r="E2" s="18"/>
      <c r="F2" s="18">
        <f>sum(V12:V89)</f>
        <v>3960470952</v>
      </c>
      <c r="G2" s="19">
        <f>sum(AD12:AD65)</f>
        <v>4420371640</v>
      </c>
      <c r="H2" s="19">
        <f>sum(AP12:AP117)</f>
        <v>6929785222</v>
      </c>
      <c r="I2" s="19">
        <f>sum(F2:H2)</f>
        <v>15310627814</v>
      </c>
      <c r="J2" s="19"/>
      <c r="K2" s="15">
        <v>1.5310629059E10</v>
      </c>
      <c r="L2" s="19"/>
      <c r="M2" s="19">
        <f>I2-K2</f>
        <v>-1244.545788</v>
      </c>
      <c r="N2" s="19"/>
      <c r="O2" s="40"/>
      <c r="P2" s="27" t="s">
        <v>42</v>
      </c>
      <c r="Q2" s="27" t="s">
        <v>43</v>
      </c>
      <c r="R2" s="27" t="s">
        <v>44</v>
      </c>
      <c r="S2" s="27" t="s">
        <v>45</v>
      </c>
      <c r="T2" s="27" t="s">
        <v>46</v>
      </c>
      <c r="U2" s="27" t="s">
        <v>47</v>
      </c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</row>
    <row r="3">
      <c r="A3" s="18" t="s">
        <v>53</v>
      </c>
      <c r="B3" s="18">
        <v>15.0</v>
      </c>
      <c r="C3" s="40"/>
      <c r="D3" s="40"/>
      <c r="E3" s="40"/>
      <c r="F3" s="40"/>
      <c r="G3" s="16"/>
      <c r="H3" s="16"/>
      <c r="I3" s="16"/>
      <c r="J3" s="18"/>
      <c r="K3" s="18"/>
      <c r="L3" s="18"/>
      <c r="M3" s="18"/>
      <c r="N3" s="18"/>
      <c r="O3" s="24"/>
      <c r="P3" s="27" t="s">
        <v>31</v>
      </c>
      <c r="Q3" s="27" t="s">
        <v>37</v>
      </c>
      <c r="R3" s="27" t="s">
        <v>38</v>
      </c>
      <c r="S3" s="27" t="s">
        <v>48</v>
      </c>
      <c r="T3" s="27" t="s">
        <v>40</v>
      </c>
      <c r="U3" s="27" t="s">
        <v>49</v>
      </c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</row>
    <row r="4">
      <c r="A4" s="18" t="s">
        <v>16</v>
      </c>
      <c r="B4" s="18">
        <v>0.75</v>
      </c>
      <c r="C4" s="40"/>
      <c r="D4" s="40"/>
      <c r="E4" s="40"/>
      <c r="F4" s="40"/>
      <c r="G4" s="16"/>
      <c r="H4" s="16"/>
      <c r="I4" s="16"/>
      <c r="J4" s="16"/>
      <c r="K4" s="16"/>
      <c r="L4" s="16"/>
      <c r="M4" s="16"/>
      <c r="N4" s="16"/>
      <c r="O4" s="40"/>
      <c r="P4" s="27" t="s">
        <v>36</v>
      </c>
      <c r="Q4" s="27" t="s">
        <v>35</v>
      </c>
      <c r="R4" s="27" t="s">
        <v>33</v>
      </c>
      <c r="S4" s="27" t="s">
        <v>60</v>
      </c>
      <c r="T4" s="27" t="s">
        <v>39</v>
      </c>
      <c r="U4" s="27" t="s">
        <v>49</v>
      </c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</row>
    <row r="5">
      <c r="A5" s="18"/>
      <c r="B5" s="18"/>
      <c r="C5" s="40"/>
      <c r="D5" s="40"/>
      <c r="E5" s="40"/>
      <c r="F5" s="40"/>
      <c r="G5" s="16"/>
      <c r="H5" s="16"/>
      <c r="I5" s="16"/>
      <c r="J5" s="16"/>
      <c r="K5" s="16"/>
      <c r="L5" s="16"/>
      <c r="M5" s="16"/>
      <c r="N5" s="16"/>
      <c r="O5" s="40"/>
      <c r="P5" s="27" t="s">
        <v>38</v>
      </c>
      <c r="Q5" s="27" t="s">
        <v>33</v>
      </c>
      <c r="R5" s="27" t="s">
        <v>32</v>
      </c>
      <c r="S5" s="27" t="s">
        <v>60</v>
      </c>
      <c r="T5" s="27" t="s">
        <v>32</v>
      </c>
      <c r="U5" s="27" t="s">
        <v>49</v>
      </c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</row>
    <row r="6">
      <c r="A6" s="44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27" t="s">
        <v>39</v>
      </c>
      <c r="Q6" s="27" t="s">
        <v>32</v>
      </c>
      <c r="R6" s="27" t="s">
        <v>32</v>
      </c>
      <c r="S6" s="27" t="s">
        <v>60</v>
      </c>
      <c r="T6" s="27" t="s">
        <v>32</v>
      </c>
      <c r="U6" s="27" t="s">
        <v>49</v>
      </c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</row>
    <row r="7">
      <c r="A7" s="44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27" t="s">
        <v>40</v>
      </c>
      <c r="Q7" s="27" t="s">
        <v>34</v>
      </c>
      <c r="R7" s="27" t="s">
        <v>35</v>
      </c>
      <c r="S7" s="27" t="s">
        <v>48</v>
      </c>
      <c r="T7" s="27" t="s">
        <v>32</v>
      </c>
      <c r="U7" s="27" t="s">
        <v>49</v>
      </c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</row>
    <row r="8">
      <c r="A8" s="44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</row>
    <row r="9">
      <c r="A9" s="45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</row>
    <row r="10">
      <c r="A10" s="40"/>
      <c r="B10" s="40"/>
      <c r="C10" s="40"/>
      <c r="D10" s="18" t="s">
        <v>82</v>
      </c>
      <c r="E10" s="16"/>
      <c r="F10" s="16"/>
      <c r="G10" s="40"/>
      <c r="H10" s="46" t="s">
        <v>83</v>
      </c>
      <c r="K10" s="46"/>
      <c r="L10" s="46"/>
      <c r="M10" s="46"/>
      <c r="N10" s="22"/>
      <c r="O10" s="40"/>
      <c r="P10" s="22" t="s">
        <v>84</v>
      </c>
      <c r="T10" s="40"/>
      <c r="U10" s="40"/>
      <c r="V10" s="40"/>
      <c r="W10" s="40"/>
      <c r="X10" s="22" t="s">
        <v>85</v>
      </c>
      <c r="AB10" s="40"/>
      <c r="AC10" s="40"/>
      <c r="AD10" s="40"/>
      <c r="AE10" s="40"/>
      <c r="AF10" s="22" t="s">
        <v>86</v>
      </c>
      <c r="AI10" s="40"/>
      <c r="AJ10" s="22" t="s">
        <v>87</v>
      </c>
      <c r="AN10" s="40"/>
      <c r="AO10" s="40"/>
      <c r="AP10" s="40"/>
      <c r="AQ10" s="40"/>
      <c r="AR10" s="40"/>
      <c r="AS10" s="40"/>
    </row>
    <row r="11">
      <c r="A11" s="30" t="s">
        <v>21</v>
      </c>
      <c r="B11" s="30" t="s">
        <v>22</v>
      </c>
      <c r="C11" s="40"/>
      <c r="D11" s="47" t="s">
        <v>88</v>
      </c>
      <c r="E11" s="47" t="s">
        <v>89</v>
      </c>
      <c r="F11" s="48" t="s">
        <v>90</v>
      </c>
      <c r="G11" s="40"/>
      <c r="H11" s="49" t="s">
        <v>23</v>
      </c>
      <c r="I11" s="49" t="s">
        <v>30</v>
      </c>
      <c r="J11" s="49" t="s">
        <v>24</v>
      </c>
      <c r="K11" s="50" t="s">
        <v>58</v>
      </c>
      <c r="L11" s="50" t="s">
        <v>27</v>
      </c>
      <c r="M11" s="50" t="s">
        <v>29</v>
      </c>
      <c r="N11" s="31"/>
      <c r="O11" s="40"/>
      <c r="P11" s="30" t="s">
        <v>23</v>
      </c>
      <c r="Q11" s="30" t="s">
        <v>30</v>
      </c>
      <c r="R11" s="30" t="s">
        <v>17</v>
      </c>
      <c r="S11" s="30" t="s">
        <v>24</v>
      </c>
      <c r="T11" s="31" t="s">
        <v>58</v>
      </c>
      <c r="U11" s="31" t="s">
        <v>27</v>
      </c>
      <c r="V11" s="31" t="s">
        <v>29</v>
      </c>
      <c r="W11" s="31"/>
      <c r="X11" s="30" t="s">
        <v>23</v>
      </c>
      <c r="Y11" s="30" t="s">
        <v>30</v>
      </c>
      <c r="Z11" s="30" t="s">
        <v>17</v>
      </c>
      <c r="AA11" s="30" t="s">
        <v>24</v>
      </c>
      <c r="AB11" s="31" t="s">
        <v>58</v>
      </c>
      <c r="AC11" s="31" t="s">
        <v>27</v>
      </c>
      <c r="AD11" s="31" t="s">
        <v>29</v>
      </c>
      <c r="AE11" s="40"/>
      <c r="AF11" s="30" t="s">
        <v>91</v>
      </c>
      <c r="AG11" s="30" t="s">
        <v>92</v>
      </c>
      <c r="AH11" s="30" t="s">
        <v>93</v>
      </c>
      <c r="AI11" s="40"/>
      <c r="AJ11" s="44" t="s">
        <v>23</v>
      </c>
      <c r="AK11" s="44" t="s">
        <v>30</v>
      </c>
      <c r="AL11" s="44" t="s">
        <v>25</v>
      </c>
      <c r="AM11" s="44" t="s">
        <v>26</v>
      </c>
      <c r="AN11" s="31" t="s">
        <v>58</v>
      </c>
      <c r="AO11" s="31" t="s">
        <v>27</v>
      </c>
      <c r="AP11" s="31" t="s">
        <v>29</v>
      </c>
      <c r="AQ11" s="31"/>
      <c r="AR11" s="31"/>
      <c r="AS11" s="31"/>
    </row>
    <row r="12">
      <c r="A12" s="51" t="s">
        <v>31</v>
      </c>
      <c r="B12" s="51">
        <v>0.0</v>
      </c>
      <c r="C12" s="31"/>
      <c r="D12" s="52" t="s">
        <v>31</v>
      </c>
      <c r="E12" s="52" t="s">
        <v>31</v>
      </c>
      <c r="F12" s="53">
        <v>0.0</v>
      </c>
      <c r="G12" s="22"/>
      <c r="H12" s="54" t="s">
        <v>31</v>
      </c>
      <c r="I12" s="54" t="s">
        <v>32</v>
      </c>
      <c r="J12" s="54">
        <v>1.0</v>
      </c>
      <c r="K12" s="55">
        <f t="array" ref="K12">XLOOKUP(H12, 'Data jarak '!$A$2:$A$11, XLOOKUP(I12, 'Data jarak '!$B$1:$K$1, 'Data jarak '!$B$2:$K$11))</f>
        <v>909.2041</v>
      </c>
      <c r="L12" s="56">
        <f t="array" ref="L12">XLOOKUP(H12&amp;I12, Sheet4!$A:$A&amp;Sheet4!$B:$B, Sheet4!$D:$D)</f>
        <v>11535.68</v>
      </c>
      <c r="M12" s="57">
        <f t="shared" ref="M12:M43" si="1">$B$3*J12*K12*L12</f>
        <v>157324313.3</v>
      </c>
      <c r="N12" s="43"/>
      <c r="O12" s="40"/>
      <c r="P12" s="51" t="s">
        <v>31</v>
      </c>
      <c r="Q12" s="51" t="s">
        <v>34</v>
      </c>
      <c r="R12" s="51" t="s">
        <v>38</v>
      </c>
      <c r="S12" s="51">
        <v>1.0</v>
      </c>
      <c r="T12" s="58">
        <f t="array" ref="T12">XLOOKUP(P12, 'Data jarak '!$A$2:$A$11, XLOOKUP(R12, 'Data jarak '!$B$1:$K$1, 'Data jarak '!$B$2:$K$11))</f>
        <v>1187.826</v>
      </c>
      <c r="U12" s="24">
        <f t="array" ref="U12">XLOOKUP(P12&amp;Q12, Sheet4!$A:$A&amp;Sheet4!$B:$B, Sheet4!$D:$D)</f>
        <v>1460.8</v>
      </c>
      <c r="V12" s="43">
        <f t="shared" ref="V12:V65" si="2">$B$3*S12*T12*U12</f>
        <v>26027643.31</v>
      </c>
      <c r="W12" s="43"/>
      <c r="X12" s="51" t="s">
        <v>31</v>
      </c>
      <c r="Y12" s="51" t="s">
        <v>34</v>
      </c>
      <c r="Z12" s="51" t="s">
        <v>38</v>
      </c>
      <c r="AA12" s="51">
        <v>1.0</v>
      </c>
      <c r="AB12" s="58">
        <f t="array" ref="AB12">XLOOKUP(Y12, 'Data jarak '!$A$2:$A$11, XLOOKUP(Z12, 'Data jarak '!$B$1:$K$1, 'Data jarak '!$B$2:$K$11))</f>
        <v>790.5225</v>
      </c>
      <c r="AC12" s="24">
        <f t="array" ref="AC12">XLOOKUP(X12&amp;Y12, Sheet4!$A:$A&amp;Sheet4!$B:$B, Sheet4!$D:$D)</f>
        <v>1460.8</v>
      </c>
      <c r="AD12" s="43">
        <f t="shared" ref="AD12:AD65" si="3">$B$3*AA12*AB12*AC12</f>
        <v>17321929.02</v>
      </c>
      <c r="AE12" s="40"/>
      <c r="AF12" s="51" t="s">
        <v>32</v>
      </c>
      <c r="AG12" s="51" t="s">
        <v>33</v>
      </c>
      <c r="AH12" s="51">
        <v>1.0</v>
      </c>
      <c r="AI12" s="40"/>
      <c r="AJ12" s="44" t="s">
        <v>31</v>
      </c>
      <c r="AK12" s="44" t="s">
        <v>38</v>
      </c>
      <c r="AL12" s="44" t="s">
        <v>38</v>
      </c>
      <c r="AM12" s="44" t="s">
        <v>35</v>
      </c>
      <c r="AN12" s="58">
        <f t="array" ref="AN12">XLOOKUP(AL12, 'Data jarak '!$A$2:$A$11, XLOOKUP(AM12, 'Data jarak '!$B$1:$K$1, 'Data jarak '!$B$2:$K$11))</f>
        <v>647.3369</v>
      </c>
      <c r="AO12" s="24">
        <f t="array" ref="AO12">XLOOKUP(AJ12&amp;AK12, Sheet4!$A:$A&amp;Sheet4!$B:$B, Sheet4!$D:$D)</f>
        <v>2464.44</v>
      </c>
      <c r="AP12" s="43">
        <f t="shared" ref="AP12:AP117" si="4">$B$3*$B$4*AN12*AO12</f>
        <v>17947383.19</v>
      </c>
      <c r="AQ12" s="43"/>
      <c r="AR12" s="43"/>
      <c r="AS12" s="43"/>
    </row>
    <row r="13">
      <c r="A13" s="51" t="s">
        <v>34</v>
      </c>
      <c r="B13" s="51">
        <v>0.0</v>
      </c>
      <c r="C13" s="43"/>
      <c r="D13" s="52" t="s">
        <v>31</v>
      </c>
      <c r="E13" s="52" t="s">
        <v>34</v>
      </c>
      <c r="F13" s="59">
        <v>1460.8</v>
      </c>
      <c r="G13" s="24"/>
      <c r="H13" s="54" t="s">
        <v>34</v>
      </c>
      <c r="I13" s="54" t="s">
        <v>32</v>
      </c>
      <c r="J13" s="54">
        <v>1.0</v>
      </c>
      <c r="K13" s="55">
        <f t="array" ref="K13">XLOOKUP(H13, 'Data jarak '!$A$2:$A$11, XLOOKUP(I13, 'Data jarak '!$B$1:$K$1, 'Data jarak '!$B$2:$K$11))</f>
        <v>563.3406</v>
      </c>
      <c r="L13" s="56">
        <f t="array" ref="L13">XLOOKUP(H13&amp;I13, Sheet4!$A:$A&amp;Sheet4!$B:$B, Sheet4!$D:$D)</f>
        <v>4244.08</v>
      </c>
      <c r="M13" s="57">
        <f t="shared" si="1"/>
        <v>35862938.6</v>
      </c>
      <c r="N13" s="43"/>
      <c r="O13" s="40"/>
      <c r="P13" s="51" t="s">
        <v>31</v>
      </c>
      <c r="Q13" s="51" t="s">
        <v>36</v>
      </c>
      <c r="R13" s="51" t="s">
        <v>38</v>
      </c>
      <c r="S13" s="51">
        <v>1.0</v>
      </c>
      <c r="T13" s="58">
        <f t="array" ref="T13">XLOOKUP(P13, 'Data jarak '!$A$2:$A$11, XLOOKUP(R13, 'Data jarak '!$B$1:$K$1, 'Data jarak '!$B$2:$K$11))</f>
        <v>1187.826</v>
      </c>
      <c r="U13" s="24">
        <f t="array" ref="U13">XLOOKUP(P13&amp;Q13, Sheet4!$A:$A&amp;Sheet4!$B:$B, Sheet4!$D:$D)</f>
        <v>1864.4</v>
      </c>
      <c r="V13" s="43">
        <f t="shared" si="2"/>
        <v>33218741.92</v>
      </c>
      <c r="W13" s="43"/>
      <c r="X13" s="51" t="s">
        <v>31</v>
      </c>
      <c r="Y13" s="51" t="s">
        <v>36</v>
      </c>
      <c r="Z13" s="51" t="s">
        <v>38</v>
      </c>
      <c r="AA13" s="51">
        <v>1.0</v>
      </c>
      <c r="AB13" s="58">
        <f t="array" ref="AB13">XLOOKUP(Y13, 'Data jarak '!$A$2:$A$11, XLOOKUP(Z13, 'Data jarak '!$B$1:$K$1, 'Data jarak '!$B$2:$K$11))</f>
        <v>254.9509</v>
      </c>
      <c r="AC13" s="24">
        <f t="array" ref="AC13">XLOOKUP(X13&amp;Y13, Sheet4!$A:$A&amp;Sheet4!$B:$B, Sheet4!$D:$D)</f>
        <v>1864.4</v>
      </c>
      <c r="AD13" s="43">
        <f t="shared" si="3"/>
        <v>7129956.869</v>
      </c>
      <c r="AE13" s="40"/>
      <c r="AF13" s="51" t="s">
        <v>32</v>
      </c>
      <c r="AG13" s="51" t="s">
        <v>35</v>
      </c>
      <c r="AH13" s="51">
        <v>1.0</v>
      </c>
      <c r="AI13" s="40"/>
      <c r="AJ13" s="44" t="s">
        <v>31</v>
      </c>
      <c r="AK13" s="44" t="s">
        <v>38</v>
      </c>
      <c r="AL13" s="44" t="s">
        <v>39</v>
      </c>
      <c r="AM13" s="44" t="s">
        <v>38</v>
      </c>
      <c r="AN13" s="58">
        <f t="array" ref="AN13">XLOOKUP(AL13, 'Data jarak '!$A$2:$A$11, XLOOKUP(AM13, 'Data jarak '!$B$1:$K$1, 'Data jarak '!$B$2:$K$11))</f>
        <v>510.3344</v>
      </c>
      <c r="AO13" s="24">
        <f t="array" ref="AO13">XLOOKUP(AJ13&amp;AK13, Sheet4!$A:$A&amp;Sheet4!$B:$B, Sheet4!$D:$D)</f>
        <v>2464.44</v>
      </c>
      <c r="AP13" s="43">
        <f t="shared" si="4"/>
        <v>14148995.72</v>
      </c>
      <c r="AQ13" s="40"/>
      <c r="AR13" s="40"/>
      <c r="AS13" s="40"/>
    </row>
    <row r="14">
      <c r="A14" s="51" t="s">
        <v>36</v>
      </c>
      <c r="B14" s="51">
        <v>0.0</v>
      </c>
      <c r="C14" s="43"/>
      <c r="D14" s="52" t="s">
        <v>31</v>
      </c>
      <c r="E14" s="52" t="s">
        <v>36</v>
      </c>
      <c r="F14" s="59">
        <v>1864.4</v>
      </c>
      <c r="G14" s="24"/>
      <c r="H14" s="54" t="s">
        <v>36</v>
      </c>
      <c r="I14" s="54" t="s">
        <v>32</v>
      </c>
      <c r="J14" s="54">
        <v>1.0</v>
      </c>
      <c r="K14" s="55">
        <f t="array" ref="K14">XLOOKUP(H14, 'Data jarak '!$A$2:$A$11, XLOOKUP(I14, 'Data jarak '!$B$1:$K$1, 'Data jarak '!$B$2:$K$11))</f>
        <v>469.9265</v>
      </c>
      <c r="L14" s="56">
        <f t="array" ref="L14">XLOOKUP(H14&amp;I14, Sheet4!$A:$A&amp;Sheet4!$B:$B, Sheet4!$D:$D)</f>
        <v>2095.4</v>
      </c>
      <c r="M14" s="57">
        <f t="shared" si="1"/>
        <v>14770259.82</v>
      </c>
      <c r="N14" s="43"/>
      <c r="O14" s="40"/>
      <c r="P14" s="51" t="s">
        <v>31</v>
      </c>
      <c r="Q14" s="51" t="s">
        <v>32</v>
      </c>
      <c r="R14" s="51" t="s">
        <v>38</v>
      </c>
      <c r="S14" s="51">
        <v>1.0</v>
      </c>
      <c r="T14" s="58">
        <f t="array" ref="T14">XLOOKUP(P14, 'Data jarak '!$A$2:$A$11, XLOOKUP(R14, 'Data jarak '!$B$1:$K$1, 'Data jarak '!$B$2:$K$11))</f>
        <v>1187.826</v>
      </c>
      <c r="U14" s="24">
        <f t="array" ref="U14">XLOOKUP(P14&amp;Q14, Sheet4!$A:$A&amp;Sheet4!$B:$B, Sheet4!$D:$D)</f>
        <v>11535.68</v>
      </c>
      <c r="V14" s="43">
        <f t="shared" si="2"/>
        <v>205535709.5</v>
      </c>
      <c r="W14" s="43"/>
      <c r="X14" s="51" t="s">
        <v>31</v>
      </c>
      <c r="Y14" s="51" t="s">
        <v>32</v>
      </c>
      <c r="Z14" s="51" t="s">
        <v>38</v>
      </c>
      <c r="AA14" s="51">
        <v>1.0</v>
      </c>
      <c r="AB14" s="58">
        <f t="array" ref="AB14">XLOOKUP(Y14, 'Data jarak '!$A$2:$A$11, XLOOKUP(Z14, 'Data jarak '!$B$1:$K$1, 'Data jarak '!$B$2:$K$11))</f>
        <v>386.2807</v>
      </c>
      <c r="AC14" s="24">
        <f t="array" ref="AC14">XLOOKUP(X14&amp;Y14, Sheet4!$A:$A&amp;Sheet4!$B:$B, Sheet4!$D:$D)</f>
        <v>11535.68</v>
      </c>
      <c r="AD14" s="43">
        <f t="shared" si="3"/>
        <v>66840158.18</v>
      </c>
      <c r="AE14" s="40"/>
      <c r="AF14" s="51" t="s">
        <v>32</v>
      </c>
      <c r="AG14" s="51" t="s">
        <v>37</v>
      </c>
      <c r="AH14" s="51">
        <v>1.0</v>
      </c>
      <c r="AI14" s="40"/>
      <c r="AJ14" s="44" t="s">
        <v>31</v>
      </c>
      <c r="AK14" s="44" t="s">
        <v>39</v>
      </c>
      <c r="AL14" s="44" t="s">
        <v>38</v>
      </c>
      <c r="AM14" s="44" t="s">
        <v>39</v>
      </c>
      <c r="AN14" s="58">
        <f t="array" ref="AN14">XLOOKUP(AL14, 'Data jarak '!$A$2:$A$11, XLOOKUP(AM14, 'Data jarak '!$B$1:$K$1, 'Data jarak '!$B$2:$K$11))</f>
        <v>510.3344</v>
      </c>
      <c r="AO14" s="24">
        <f t="array" ref="AO14">XLOOKUP(AJ14&amp;AK14, Sheet4!$A:$A&amp;Sheet4!$B:$B, Sheet4!$D:$D)</f>
        <v>2382.68</v>
      </c>
      <c r="AP14" s="43">
        <f t="shared" si="4"/>
        <v>13679590.14</v>
      </c>
      <c r="AQ14" s="40"/>
      <c r="AR14" s="40"/>
      <c r="AS14" s="40"/>
    </row>
    <row r="15">
      <c r="A15" s="51" t="s">
        <v>32</v>
      </c>
      <c r="B15" s="51">
        <v>0.0</v>
      </c>
      <c r="C15" s="43"/>
      <c r="D15" s="52" t="s">
        <v>31</v>
      </c>
      <c r="E15" s="52" t="s">
        <v>32</v>
      </c>
      <c r="F15" s="59">
        <v>11535.68</v>
      </c>
      <c r="G15" s="24"/>
      <c r="H15" s="54" t="s">
        <v>36</v>
      </c>
      <c r="I15" s="54" t="s">
        <v>35</v>
      </c>
      <c r="J15" s="54">
        <v>1.0</v>
      </c>
      <c r="K15" s="55">
        <f t="array" ref="K15">XLOOKUP(H15, 'Data jarak '!$A$2:$A$11, XLOOKUP(I15, 'Data jarak '!$B$1:$K$1, 'Data jarak '!$B$2:$K$11))</f>
        <v>867.9308</v>
      </c>
      <c r="L15" s="56">
        <f t="array" ref="L15">XLOOKUP(H15&amp;I15, Sheet4!$A:$A&amp;Sheet4!$B:$B, Sheet4!$D:$D)</f>
        <v>5041.36</v>
      </c>
      <c r="M15" s="57">
        <f t="shared" si="1"/>
        <v>65633274.27</v>
      </c>
      <c r="N15" s="43"/>
      <c r="O15" s="40"/>
      <c r="P15" s="51" t="s">
        <v>31</v>
      </c>
      <c r="Q15" s="51" t="s">
        <v>38</v>
      </c>
      <c r="R15" s="51" t="s">
        <v>39</v>
      </c>
      <c r="S15" s="51">
        <v>1.0</v>
      </c>
      <c r="T15" s="58">
        <f t="array" ref="T15">XLOOKUP(P15, 'Data jarak '!$A$2:$A$11, XLOOKUP(R15, 'Data jarak '!$B$1:$K$1, 'Data jarak '!$B$2:$K$11))</f>
        <v>1641.94</v>
      </c>
      <c r="U15" s="24">
        <f t="array" ref="U15">XLOOKUP(P15&amp;Q15, Sheet4!$A:$A&amp;Sheet4!$B:$B, Sheet4!$D:$D)</f>
        <v>2464.44</v>
      </c>
      <c r="V15" s="43">
        <f t="shared" si="2"/>
        <v>60696939.2</v>
      </c>
      <c r="W15" s="43"/>
      <c r="X15" s="51" t="s">
        <v>31</v>
      </c>
      <c r="Y15" s="51" t="s">
        <v>33</v>
      </c>
      <c r="Z15" s="51" t="s">
        <v>38</v>
      </c>
      <c r="AA15" s="51">
        <v>1.0</v>
      </c>
      <c r="AB15" s="58">
        <f t="array" ref="AB15">XLOOKUP(Y15, 'Data jarak '!$A$2:$A$11, XLOOKUP(Z15, 'Data jarak '!$B$1:$K$1, 'Data jarak '!$B$2:$K$11))</f>
        <v>176.4669</v>
      </c>
      <c r="AC15" s="24">
        <f t="array" ref="AC15">XLOOKUP(X15&amp;Y15, Sheet4!$A:$A&amp;Sheet4!$B:$B, Sheet4!$D:$D)</f>
        <v>7952</v>
      </c>
      <c r="AD15" s="43">
        <f t="shared" si="3"/>
        <v>21048971.83</v>
      </c>
      <c r="AE15" s="40"/>
      <c r="AF15" s="51" t="s">
        <v>33</v>
      </c>
      <c r="AG15" s="51" t="s">
        <v>35</v>
      </c>
      <c r="AH15" s="51">
        <v>1.0</v>
      </c>
      <c r="AI15" s="40"/>
      <c r="AJ15" s="44" t="s">
        <v>31</v>
      </c>
      <c r="AK15" s="44" t="s">
        <v>39</v>
      </c>
      <c r="AL15" s="44" t="s">
        <v>39</v>
      </c>
      <c r="AM15" s="44" t="s">
        <v>35</v>
      </c>
      <c r="AN15" s="58">
        <f t="array" ref="AN15">XLOOKUP(AL15, 'Data jarak '!$A$2:$A$11, XLOOKUP(AM15, 'Data jarak '!$B$1:$K$1, 'Data jarak '!$B$2:$K$11))</f>
        <v>186.18</v>
      </c>
      <c r="AO15" s="24">
        <f t="array" ref="AO15">XLOOKUP(AJ15&amp;AK15, Sheet4!$A:$A&amp;Sheet4!$B:$B, Sheet4!$D:$D)</f>
        <v>2382.68</v>
      </c>
      <c r="AP15" s="43">
        <f t="shared" si="4"/>
        <v>4990582.827</v>
      </c>
      <c r="AQ15" s="40"/>
      <c r="AR15" s="40"/>
      <c r="AS15" s="40"/>
    </row>
    <row r="16">
      <c r="A16" s="51" t="s">
        <v>38</v>
      </c>
      <c r="B16" s="51">
        <v>1.0</v>
      </c>
      <c r="C16" s="43"/>
      <c r="D16" s="52" t="s">
        <v>31</v>
      </c>
      <c r="E16" s="52" t="s">
        <v>38</v>
      </c>
      <c r="F16" s="59">
        <v>2464.44</v>
      </c>
      <c r="G16" s="24"/>
      <c r="H16" s="54" t="s">
        <v>36</v>
      </c>
      <c r="I16" s="54" t="s">
        <v>37</v>
      </c>
      <c r="J16" s="54">
        <v>1.0</v>
      </c>
      <c r="K16" s="55">
        <f t="array" ref="K16">XLOOKUP(H16, 'Data jarak '!$A$2:$A$11, XLOOKUP(I16, 'Data jarak '!$B$1:$K$1, 'Data jarak '!$B$2:$K$11))</f>
        <v>1344.494</v>
      </c>
      <c r="L16" s="56">
        <f t="array" ref="L16">XLOOKUP(H16&amp;I16, Sheet4!$A:$A&amp;Sheet4!$B:$B, Sheet4!$D:$D)</f>
        <v>2415.04</v>
      </c>
      <c r="M16" s="57">
        <f t="shared" si="1"/>
        <v>48705101.85</v>
      </c>
      <c r="N16" s="43"/>
      <c r="O16" s="40"/>
      <c r="P16" s="51" t="s">
        <v>31</v>
      </c>
      <c r="Q16" s="51" t="s">
        <v>33</v>
      </c>
      <c r="R16" s="51" t="s">
        <v>38</v>
      </c>
      <c r="S16" s="51">
        <v>1.0</v>
      </c>
      <c r="T16" s="58">
        <f t="array" ref="T16">XLOOKUP(P16, 'Data jarak '!$A$2:$A$11, XLOOKUP(R16, 'Data jarak '!$B$1:$K$1, 'Data jarak '!$B$2:$K$11))</f>
        <v>1187.826</v>
      </c>
      <c r="U16" s="24">
        <f t="array" ref="U16">XLOOKUP(P16&amp;Q16, Sheet4!$A:$A&amp;Sheet4!$B:$B, Sheet4!$D:$D)</f>
        <v>7952</v>
      </c>
      <c r="V16" s="43">
        <f t="shared" si="2"/>
        <v>141683885.3</v>
      </c>
      <c r="W16" s="43"/>
      <c r="X16" s="51" t="s">
        <v>31</v>
      </c>
      <c r="Y16" s="51" t="s">
        <v>37</v>
      </c>
      <c r="Z16" s="51" t="s">
        <v>40</v>
      </c>
      <c r="AA16" s="51">
        <v>1.0</v>
      </c>
      <c r="AB16" s="58">
        <f t="array" ref="AB16">XLOOKUP(Y16, 'Data jarak '!$A$2:$A$11, XLOOKUP(Z16, 'Data jarak '!$B$1:$K$1, 'Data jarak '!$B$2:$K$11))</f>
        <v>256.303</v>
      </c>
      <c r="AC16" s="24">
        <f t="array" ref="AC16">XLOOKUP(X16&amp;Y16, Sheet4!$A:$A&amp;Sheet4!$B:$B, Sheet4!$D:$D)</f>
        <v>70439.32</v>
      </c>
      <c r="AD16" s="43">
        <f t="shared" si="3"/>
        <v>270807135.5</v>
      </c>
      <c r="AE16" s="40"/>
      <c r="AF16" s="51" t="s">
        <v>33</v>
      </c>
      <c r="AG16" s="51" t="s">
        <v>37</v>
      </c>
      <c r="AH16" s="51">
        <v>1.0</v>
      </c>
      <c r="AI16" s="40"/>
      <c r="AJ16" s="44" t="s">
        <v>31</v>
      </c>
      <c r="AK16" s="44" t="s">
        <v>35</v>
      </c>
      <c r="AL16" s="44" t="s">
        <v>38</v>
      </c>
      <c r="AM16" s="44" t="s">
        <v>35</v>
      </c>
      <c r="AN16" s="58">
        <f t="array" ref="AN16">XLOOKUP(AL16, 'Data jarak '!$A$2:$A$11, XLOOKUP(AM16, 'Data jarak '!$B$1:$K$1, 'Data jarak '!$B$2:$K$11))</f>
        <v>647.3369</v>
      </c>
      <c r="AO16" s="24">
        <f t="array" ref="AO16">XLOOKUP(AJ16&amp;AK16, Sheet4!$A:$A&amp;Sheet4!$B:$B, Sheet4!$D:$D)</f>
        <v>24726.24</v>
      </c>
      <c r="AP16" s="43">
        <f t="shared" si="4"/>
        <v>180069834.9</v>
      </c>
      <c r="AQ16" s="40"/>
      <c r="AR16" s="40"/>
      <c r="AS16" s="40"/>
    </row>
    <row r="17">
      <c r="A17" s="51" t="s">
        <v>33</v>
      </c>
      <c r="B17" s="51">
        <v>0.0</v>
      </c>
      <c r="C17" s="43"/>
      <c r="D17" s="52" t="s">
        <v>31</v>
      </c>
      <c r="E17" s="52" t="s">
        <v>33</v>
      </c>
      <c r="F17" s="59">
        <v>7952.0</v>
      </c>
      <c r="G17" s="24"/>
      <c r="H17" s="54" t="s">
        <v>32</v>
      </c>
      <c r="I17" s="54" t="s">
        <v>31</v>
      </c>
      <c r="J17" s="54">
        <v>1.0</v>
      </c>
      <c r="K17" s="55">
        <f t="array" ref="K17">XLOOKUP(H17, 'Data jarak '!$A$2:$A$11, XLOOKUP(I17, 'Data jarak '!$B$1:$K$1, 'Data jarak '!$B$2:$K$11))</f>
        <v>909.2041</v>
      </c>
      <c r="L17" s="56">
        <f t="array" ref="L17">XLOOKUP(H17&amp;I17, Sheet4!$A:$A&amp;Sheet4!$B:$B, Sheet4!$D:$D)</f>
        <v>2877.88</v>
      </c>
      <c r="M17" s="57">
        <f t="shared" si="1"/>
        <v>39248704.43</v>
      </c>
      <c r="N17" s="43"/>
      <c r="O17" s="40"/>
      <c r="P17" s="51" t="s">
        <v>31</v>
      </c>
      <c r="Q17" s="51" t="s">
        <v>39</v>
      </c>
      <c r="R17" s="51" t="s">
        <v>38</v>
      </c>
      <c r="S17" s="51">
        <v>1.0</v>
      </c>
      <c r="T17" s="58">
        <f t="array" ref="T17">XLOOKUP(P17, 'Data jarak '!$A$2:$A$11, XLOOKUP(R17, 'Data jarak '!$B$1:$K$1, 'Data jarak '!$B$2:$K$11))</f>
        <v>1187.826</v>
      </c>
      <c r="U17" s="24">
        <f t="array" ref="U17">XLOOKUP(P17&amp;Q17, Sheet4!$A:$A&amp;Sheet4!$B:$B, Sheet4!$D:$D)</f>
        <v>2382.68</v>
      </c>
      <c r="V17" s="43">
        <f t="shared" si="2"/>
        <v>42453138.81</v>
      </c>
      <c r="W17" s="43"/>
      <c r="X17" s="51" t="s">
        <v>34</v>
      </c>
      <c r="Y17" s="51" t="s">
        <v>31</v>
      </c>
      <c r="Z17" s="51" t="s">
        <v>38</v>
      </c>
      <c r="AA17" s="51">
        <v>1.0</v>
      </c>
      <c r="AB17" s="58">
        <f t="array" ref="AB17">XLOOKUP(Y17, 'Data jarak '!$A$2:$A$11, XLOOKUP(Z17, 'Data jarak '!$B$1:$K$1, 'Data jarak '!$B$2:$K$11))</f>
        <v>1187.826</v>
      </c>
      <c r="AC17" s="24">
        <f t="array" ref="AC17">XLOOKUP(X17&amp;Y17, Sheet4!$A:$A&amp;Sheet4!$B:$B, Sheet4!$D:$D)</f>
        <v>1517.88</v>
      </c>
      <c r="AD17" s="43">
        <f t="shared" si="3"/>
        <v>27044659.93</v>
      </c>
      <c r="AE17" s="40"/>
      <c r="AF17" s="51" t="s">
        <v>35</v>
      </c>
      <c r="AG17" s="51" t="s">
        <v>37</v>
      </c>
      <c r="AH17" s="51">
        <v>1.0</v>
      </c>
      <c r="AI17" s="40"/>
      <c r="AJ17" s="44" t="s">
        <v>31</v>
      </c>
      <c r="AK17" s="44" t="s">
        <v>35</v>
      </c>
      <c r="AL17" s="44" t="s">
        <v>35</v>
      </c>
      <c r="AM17" s="44" t="s">
        <v>39</v>
      </c>
      <c r="AN17" s="58">
        <f t="array" ref="AN17">XLOOKUP(AL17, 'Data jarak '!$A$2:$A$11, XLOOKUP(AM17, 'Data jarak '!$B$1:$K$1, 'Data jarak '!$B$2:$K$11))</f>
        <v>186.18</v>
      </c>
      <c r="AO17" s="24">
        <f t="array" ref="AO17">XLOOKUP(AJ17&amp;AK17, Sheet4!$A:$A&amp;Sheet4!$B:$B, Sheet4!$D:$D)</f>
        <v>24726.24</v>
      </c>
      <c r="AP17" s="43">
        <f t="shared" si="4"/>
        <v>51789727.84</v>
      </c>
      <c r="AQ17" s="40"/>
      <c r="AR17" s="40"/>
      <c r="AS17" s="40"/>
    </row>
    <row r="18">
      <c r="A18" s="51" t="s">
        <v>39</v>
      </c>
      <c r="B18" s="51">
        <v>1.0</v>
      </c>
      <c r="C18" s="43"/>
      <c r="D18" s="52" t="s">
        <v>31</v>
      </c>
      <c r="E18" s="52" t="s">
        <v>39</v>
      </c>
      <c r="F18" s="59">
        <v>2382.68</v>
      </c>
      <c r="G18" s="24"/>
      <c r="H18" s="54" t="s">
        <v>32</v>
      </c>
      <c r="I18" s="54" t="s">
        <v>34</v>
      </c>
      <c r="J18" s="54">
        <v>1.0</v>
      </c>
      <c r="K18" s="55">
        <f t="array" ref="K18">XLOOKUP(H18, 'Data jarak '!$A$2:$A$11, XLOOKUP(I18, 'Data jarak '!$B$1:$K$1, 'Data jarak '!$B$2:$K$11))</f>
        <v>563.3406</v>
      </c>
      <c r="L18" s="56">
        <f t="array" ref="L18">XLOOKUP(H18&amp;I18, Sheet4!$A:$A&amp;Sheet4!$B:$B, Sheet4!$D:$D)</f>
        <v>2837.36</v>
      </c>
      <c r="M18" s="57">
        <f t="shared" si="1"/>
        <v>23976001.27</v>
      </c>
      <c r="N18" s="43"/>
      <c r="O18" s="40"/>
      <c r="P18" s="51" t="s">
        <v>31</v>
      </c>
      <c r="Q18" s="51" t="s">
        <v>35</v>
      </c>
      <c r="R18" s="51" t="s">
        <v>38</v>
      </c>
      <c r="S18" s="51">
        <v>1.0</v>
      </c>
      <c r="T18" s="58">
        <f t="array" ref="T18">XLOOKUP(P18, 'Data jarak '!$A$2:$A$11, XLOOKUP(R18, 'Data jarak '!$B$1:$K$1, 'Data jarak '!$B$2:$K$11))</f>
        <v>1187.826</v>
      </c>
      <c r="U18" s="24">
        <f t="array" ref="U18">XLOOKUP(P18&amp;Q18, Sheet4!$A:$A&amp;Sheet4!$B:$B, Sheet4!$D:$D)</f>
        <v>24726.24</v>
      </c>
      <c r="V18" s="43">
        <f t="shared" si="2"/>
        <v>440557061.3</v>
      </c>
      <c r="W18" s="43"/>
      <c r="X18" s="51" t="s">
        <v>34</v>
      </c>
      <c r="Y18" s="51" t="s">
        <v>36</v>
      </c>
      <c r="Z18" s="51" t="s">
        <v>38</v>
      </c>
      <c r="AA18" s="51">
        <v>1.0</v>
      </c>
      <c r="AB18" s="58">
        <f t="array" ref="AB18">XLOOKUP(Y18, 'Data jarak '!$A$2:$A$11, XLOOKUP(Z18, 'Data jarak '!$B$1:$K$1, 'Data jarak '!$B$2:$K$11))</f>
        <v>254.9509</v>
      </c>
      <c r="AC18" s="24">
        <f t="array" ref="AC18">XLOOKUP(X18&amp;Y18, Sheet4!$A:$A&amp;Sheet4!$B:$B, Sheet4!$D:$D)</f>
        <v>1940.48</v>
      </c>
      <c r="AD18" s="43">
        <f t="shared" si="3"/>
        <v>7420906.836</v>
      </c>
      <c r="AE18" s="40"/>
      <c r="AF18" s="43"/>
      <c r="AG18" s="43"/>
      <c r="AH18" s="43"/>
      <c r="AI18" s="40"/>
      <c r="AJ18" s="44" t="s">
        <v>31</v>
      </c>
      <c r="AK18" s="44" t="s">
        <v>40</v>
      </c>
      <c r="AL18" s="44" t="s">
        <v>38</v>
      </c>
      <c r="AM18" s="44" t="s">
        <v>40</v>
      </c>
      <c r="AN18" s="58">
        <f t="array" ref="AN18">XLOOKUP(AL18, 'Data jarak '!$A$2:$A$11, XLOOKUP(AM18, 'Data jarak '!$B$1:$K$1, 'Data jarak '!$B$2:$K$11))</f>
        <v>976.2167</v>
      </c>
      <c r="AO18" s="24">
        <f t="array" ref="AO18">XLOOKUP(AJ18&amp;AK18, Sheet4!$A:$A&amp;Sheet4!$B:$B, Sheet4!$D:$D)</f>
        <v>2266.6</v>
      </c>
      <c r="AP18" s="43">
        <f t="shared" si="4"/>
        <v>24892793.69</v>
      </c>
      <c r="AQ18" s="40"/>
      <c r="AR18" s="40"/>
      <c r="AS18" s="40"/>
    </row>
    <row r="19">
      <c r="A19" s="51" t="s">
        <v>35</v>
      </c>
      <c r="B19" s="51">
        <v>1.0</v>
      </c>
      <c r="C19" s="43"/>
      <c r="D19" s="52" t="s">
        <v>31</v>
      </c>
      <c r="E19" s="52" t="s">
        <v>35</v>
      </c>
      <c r="F19" s="59">
        <v>24726.24</v>
      </c>
      <c r="G19" s="24"/>
      <c r="H19" s="54" t="s">
        <v>32</v>
      </c>
      <c r="I19" s="54" t="s">
        <v>36</v>
      </c>
      <c r="J19" s="54">
        <v>1.0</v>
      </c>
      <c r="K19" s="55">
        <f t="array" ref="K19">XLOOKUP(H19, 'Data jarak '!$A$2:$A$11, XLOOKUP(I19, 'Data jarak '!$B$1:$K$1, 'Data jarak '!$B$2:$K$11))</f>
        <v>469.9265</v>
      </c>
      <c r="L19" s="56">
        <f t="array" ref="L19">XLOOKUP(H19&amp;I19, Sheet4!$A:$A&amp;Sheet4!$B:$B, Sheet4!$D:$D)</f>
        <v>2340.64</v>
      </c>
      <c r="M19" s="57">
        <f t="shared" si="1"/>
        <v>16498931.44</v>
      </c>
      <c r="N19" s="43"/>
      <c r="O19" s="40"/>
      <c r="P19" s="51" t="s">
        <v>31</v>
      </c>
      <c r="Q19" s="51" t="s">
        <v>40</v>
      </c>
      <c r="R19" s="51" t="s">
        <v>38</v>
      </c>
      <c r="S19" s="51">
        <v>1.0</v>
      </c>
      <c r="T19" s="58">
        <f t="array" ref="T19">XLOOKUP(P19, 'Data jarak '!$A$2:$A$11, XLOOKUP(R19, 'Data jarak '!$B$1:$K$1, 'Data jarak '!$B$2:$K$11))</f>
        <v>1187.826</v>
      </c>
      <c r="U19" s="24">
        <f t="array" ref="U19">XLOOKUP(P19&amp;Q19, Sheet4!$A:$A&amp;Sheet4!$B:$B, Sheet4!$D:$D)</f>
        <v>2266.6</v>
      </c>
      <c r="V19" s="43">
        <f t="shared" si="2"/>
        <v>40384896.17</v>
      </c>
      <c r="W19" s="43"/>
      <c r="X19" s="51" t="s">
        <v>34</v>
      </c>
      <c r="Y19" s="51" t="s">
        <v>32</v>
      </c>
      <c r="Z19" s="51" t="s">
        <v>38</v>
      </c>
      <c r="AA19" s="51">
        <v>1.0</v>
      </c>
      <c r="AB19" s="58">
        <f t="array" ref="AB19">XLOOKUP(Y19, 'Data jarak '!$A$2:$A$11, XLOOKUP(Z19, 'Data jarak '!$B$1:$K$1, 'Data jarak '!$B$2:$K$11))</f>
        <v>386.2807</v>
      </c>
      <c r="AC19" s="24">
        <f t="array" ref="AC19">XLOOKUP(X19&amp;Y19, Sheet4!$A:$A&amp;Sheet4!$B:$B, Sheet4!$D:$D)</f>
        <v>4244.08</v>
      </c>
      <c r="AD19" s="43">
        <f t="shared" si="3"/>
        <v>24591092.9</v>
      </c>
      <c r="AE19" s="40"/>
      <c r="AF19" s="43"/>
      <c r="AG19" s="43"/>
      <c r="AH19" s="43"/>
      <c r="AI19" s="40"/>
      <c r="AJ19" s="44" t="s">
        <v>31</v>
      </c>
      <c r="AK19" s="44" t="s">
        <v>40</v>
      </c>
      <c r="AL19" s="44" t="s">
        <v>40</v>
      </c>
      <c r="AM19" s="44" t="s">
        <v>35</v>
      </c>
      <c r="AN19" s="58">
        <f t="array" ref="AN19">XLOOKUP(AL19, 'Data jarak '!$A$2:$A$11, XLOOKUP(AM19, 'Data jarak '!$B$1:$K$1, 'Data jarak '!$B$2:$K$11))</f>
        <v>403.0102</v>
      </c>
      <c r="AO19" s="24">
        <f t="array" ref="AO19">XLOOKUP(AJ19&amp;AK19, Sheet4!$A:$A&amp;Sheet4!$B:$B, Sheet4!$D:$D)</f>
        <v>2266.6</v>
      </c>
      <c r="AP19" s="43">
        <f t="shared" si="4"/>
        <v>10276457.84</v>
      </c>
      <c r="AQ19" s="40"/>
      <c r="AR19" s="40"/>
      <c r="AS19" s="40"/>
    </row>
    <row r="20">
      <c r="A20" s="51" t="s">
        <v>40</v>
      </c>
      <c r="B20" s="51">
        <v>1.0</v>
      </c>
      <c r="C20" s="43"/>
      <c r="D20" s="52" t="s">
        <v>31</v>
      </c>
      <c r="E20" s="52" t="s">
        <v>40</v>
      </c>
      <c r="F20" s="59">
        <v>2266.6</v>
      </c>
      <c r="G20" s="24"/>
      <c r="H20" s="54" t="s">
        <v>32</v>
      </c>
      <c r="I20" s="54" t="s">
        <v>38</v>
      </c>
      <c r="J20" s="54">
        <v>1.0</v>
      </c>
      <c r="K20" s="55">
        <f t="array" ref="K20">XLOOKUP(H20, 'Data jarak '!$A$2:$A$11, XLOOKUP(I20, 'Data jarak '!$B$1:$K$1, 'Data jarak '!$B$2:$K$11))</f>
        <v>386.2807</v>
      </c>
      <c r="L20" s="56">
        <f t="array" ref="L20">XLOOKUP(H20&amp;I20, Sheet4!$A:$A&amp;Sheet4!$B:$B, Sheet4!$D:$D)</f>
        <v>1346.84</v>
      </c>
      <c r="M20" s="57">
        <f t="shared" si="1"/>
        <v>7803874.47</v>
      </c>
      <c r="N20" s="43"/>
      <c r="O20" s="40"/>
      <c r="P20" s="51" t="s">
        <v>31</v>
      </c>
      <c r="Q20" s="51" t="s">
        <v>37</v>
      </c>
      <c r="R20" s="51" t="s">
        <v>38</v>
      </c>
      <c r="S20" s="51">
        <v>1.0</v>
      </c>
      <c r="T20" s="58">
        <f t="array" ref="T20">XLOOKUP(P20, 'Data jarak '!$A$2:$A$11, XLOOKUP(R20, 'Data jarak '!$B$1:$K$1, 'Data jarak '!$B$2:$K$11))</f>
        <v>1187.826</v>
      </c>
      <c r="U20" s="24">
        <f t="array" ref="U20">XLOOKUP(P20&amp;Q20, Sheet4!$A:$A&amp;Sheet4!$B:$B, Sheet4!$D:$D)</f>
        <v>70439.32</v>
      </c>
      <c r="V20" s="43">
        <f t="shared" si="2"/>
        <v>1255044836</v>
      </c>
      <c r="W20" s="43"/>
      <c r="X20" s="51" t="s">
        <v>34</v>
      </c>
      <c r="Y20" s="51" t="s">
        <v>33</v>
      </c>
      <c r="Z20" s="51" t="s">
        <v>38</v>
      </c>
      <c r="AA20" s="51">
        <v>1.0</v>
      </c>
      <c r="AB20" s="58">
        <f t="array" ref="AB20">XLOOKUP(Y20, 'Data jarak '!$A$2:$A$11, XLOOKUP(Z20, 'Data jarak '!$B$1:$K$1, 'Data jarak '!$B$2:$K$11))</f>
        <v>176.4669</v>
      </c>
      <c r="AC20" s="24">
        <f t="array" ref="AC20">XLOOKUP(X20&amp;Y20, Sheet4!$A:$A&amp;Sheet4!$B:$B, Sheet4!$D:$D)</f>
        <v>6251.72</v>
      </c>
      <c r="AD20" s="43">
        <f t="shared" si="3"/>
        <v>16548324.72</v>
      </c>
      <c r="AE20" s="40"/>
      <c r="AF20" s="43"/>
      <c r="AG20" s="43"/>
      <c r="AH20" s="43"/>
      <c r="AI20" s="40"/>
      <c r="AJ20" s="44" t="s">
        <v>31</v>
      </c>
      <c r="AK20" s="44" t="s">
        <v>37</v>
      </c>
      <c r="AL20" s="44" t="s">
        <v>38</v>
      </c>
      <c r="AM20" s="44" t="s">
        <v>40</v>
      </c>
      <c r="AN20" s="58">
        <f t="array" ref="AN20">XLOOKUP(AL20, 'Data jarak '!$A$2:$A$11, XLOOKUP(AM20, 'Data jarak '!$B$1:$K$1, 'Data jarak '!$B$2:$K$11))</f>
        <v>976.2167</v>
      </c>
      <c r="AO20" s="24">
        <f t="array" ref="AO20">XLOOKUP(AJ20&amp;AK20, Sheet4!$A:$A&amp;Sheet4!$B:$B, Sheet4!$D:$D)</f>
        <v>70439.32</v>
      </c>
      <c r="AP20" s="43">
        <f t="shared" si="4"/>
        <v>773595455.9</v>
      </c>
      <c r="AQ20" s="40"/>
      <c r="AR20" s="40"/>
      <c r="AS20" s="40"/>
    </row>
    <row r="21">
      <c r="A21" s="51" t="s">
        <v>37</v>
      </c>
      <c r="B21" s="51">
        <v>0.0</v>
      </c>
      <c r="C21" s="43"/>
      <c r="D21" s="52" t="s">
        <v>31</v>
      </c>
      <c r="E21" s="52" t="s">
        <v>37</v>
      </c>
      <c r="F21" s="59">
        <v>70439.32</v>
      </c>
      <c r="G21" s="24"/>
      <c r="H21" s="54" t="s">
        <v>32</v>
      </c>
      <c r="I21" s="54" t="s">
        <v>33</v>
      </c>
      <c r="J21" s="54">
        <v>1.0</v>
      </c>
      <c r="K21" s="55">
        <f t="array" ref="K21">XLOOKUP(H21, 'Data jarak '!$A$2:$A$11, XLOOKUP(I21, 'Data jarak '!$B$1:$K$1, 'Data jarak '!$B$2:$K$11))</f>
        <v>525.4495</v>
      </c>
      <c r="L21" s="56">
        <f t="array" ref="L21">XLOOKUP(H21&amp;I21, Sheet4!$A:$A&amp;Sheet4!$B:$B, Sheet4!$D:$D)</f>
        <v>7897.68</v>
      </c>
      <c r="M21" s="57">
        <f t="shared" si="1"/>
        <v>62247480.11</v>
      </c>
      <c r="N21" s="43"/>
      <c r="O21" s="40"/>
      <c r="P21" s="51" t="s">
        <v>34</v>
      </c>
      <c r="Q21" s="51" t="s">
        <v>31</v>
      </c>
      <c r="R21" s="51" t="s">
        <v>38</v>
      </c>
      <c r="S21" s="51">
        <v>1.0</v>
      </c>
      <c r="T21" s="58">
        <f t="array" ref="T21">XLOOKUP(P21, 'Data jarak '!$A$2:$A$11, XLOOKUP(R21, 'Data jarak '!$B$1:$K$1, 'Data jarak '!$B$2:$K$11))</f>
        <v>790.5225</v>
      </c>
      <c r="U21" s="24">
        <f t="array" ref="U21">XLOOKUP(P21&amp;Q21, Sheet4!$A:$A&amp;Sheet4!$B:$B, Sheet4!$D:$D)</f>
        <v>1517.88</v>
      </c>
      <c r="V21" s="43">
        <f t="shared" si="2"/>
        <v>17998774.38</v>
      </c>
      <c r="W21" s="43"/>
      <c r="X21" s="51" t="s">
        <v>34</v>
      </c>
      <c r="Y21" s="51" t="s">
        <v>37</v>
      </c>
      <c r="Z21" s="51" t="s">
        <v>40</v>
      </c>
      <c r="AA21" s="51">
        <v>1.0</v>
      </c>
      <c r="AB21" s="58">
        <f t="array" ref="AB21">XLOOKUP(Y21, 'Data jarak '!$A$2:$A$11, XLOOKUP(Z21, 'Data jarak '!$B$1:$K$1, 'Data jarak '!$B$2:$K$11))</f>
        <v>256.303</v>
      </c>
      <c r="AC21" s="24">
        <f t="array" ref="AC21">XLOOKUP(X21&amp;Y21, Sheet4!$A:$A&amp;Sheet4!$B:$B, Sheet4!$D:$D)</f>
        <v>4136.76</v>
      </c>
      <c r="AD21" s="43">
        <f t="shared" si="3"/>
        <v>15903959.97</v>
      </c>
      <c r="AE21" s="40"/>
      <c r="AF21" s="43"/>
      <c r="AG21" s="43"/>
      <c r="AH21" s="43"/>
      <c r="AI21" s="40"/>
      <c r="AJ21" s="44" t="s">
        <v>34</v>
      </c>
      <c r="AK21" s="44" t="s">
        <v>38</v>
      </c>
      <c r="AL21" s="44" t="s">
        <v>38</v>
      </c>
      <c r="AM21" s="44" t="s">
        <v>35</v>
      </c>
      <c r="AN21" s="58">
        <f t="array" ref="AN21">XLOOKUP(AL21, 'Data jarak '!$A$2:$A$11, XLOOKUP(AM21, 'Data jarak '!$B$1:$K$1, 'Data jarak '!$B$2:$K$11))</f>
        <v>647.3369</v>
      </c>
      <c r="AO21" s="24">
        <f t="array" ref="AO21">XLOOKUP(AJ21&amp;AK21, Sheet4!$A:$A&amp;Sheet4!$B:$B, Sheet4!$D:$D)</f>
        <v>547.44</v>
      </c>
      <c r="AP21" s="43">
        <f t="shared" si="4"/>
        <v>3986753.766</v>
      </c>
      <c r="AQ21" s="40"/>
      <c r="AR21" s="40"/>
      <c r="AS21" s="40"/>
    </row>
    <row r="22">
      <c r="A22" s="43"/>
      <c r="B22" s="43"/>
      <c r="C22" s="43"/>
      <c r="D22" s="60" t="s">
        <v>34</v>
      </c>
      <c r="E22" s="60" t="s">
        <v>31</v>
      </c>
      <c r="F22" s="59">
        <v>1517.87</v>
      </c>
      <c r="G22" s="24"/>
      <c r="H22" s="54" t="s">
        <v>32</v>
      </c>
      <c r="I22" s="54" t="s">
        <v>39</v>
      </c>
      <c r="J22" s="54">
        <v>1.0</v>
      </c>
      <c r="K22" s="55">
        <f t="array" ref="K22">XLOOKUP(H22, 'Data jarak '!$A$2:$A$11, XLOOKUP(I22, 'Data jarak '!$B$1:$K$1, 'Data jarak '!$B$2:$K$11))</f>
        <v>741.0224</v>
      </c>
      <c r="L22" s="56">
        <f t="array" ref="L22">XLOOKUP(H22&amp;I22, Sheet4!$A:$A&amp;Sheet4!$B:$B, Sheet4!$D:$D)</f>
        <v>3023.8</v>
      </c>
      <c r="M22" s="57">
        <f t="shared" si="1"/>
        <v>33610553</v>
      </c>
      <c r="N22" s="43"/>
      <c r="O22" s="40"/>
      <c r="P22" s="51" t="s">
        <v>34</v>
      </c>
      <c r="Q22" s="51" t="s">
        <v>36</v>
      </c>
      <c r="R22" s="51" t="s">
        <v>38</v>
      </c>
      <c r="S22" s="51">
        <v>1.0</v>
      </c>
      <c r="T22" s="58">
        <f t="array" ref="T22">XLOOKUP(P22, 'Data jarak '!$A$2:$A$11, XLOOKUP(R22, 'Data jarak '!$B$1:$K$1, 'Data jarak '!$B$2:$K$11))</f>
        <v>790.5225</v>
      </c>
      <c r="U22" s="24">
        <f t="array" ref="U22">XLOOKUP(P22&amp;Q22, Sheet4!$A:$A&amp;Sheet4!$B:$B, Sheet4!$D:$D)</f>
        <v>1940.48</v>
      </c>
      <c r="V22" s="43">
        <f t="shared" si="2"/>
        <v>23009896.51</v>
      </c>
      <c r="W22" s="43"/>
      <c r="X22" s="51" t="s">
        <v>36</v>
      </c>
      <c r="Y22" s="51" t="s">
        <v>31</v>
      </c>
      <c r="Z22" s="51" t="s">
        <v>38</v>
      </c>
      <c r="AA22" s="51">
        <v>1.0</v>
      </c>
      <c r="AB22" s="58">
        <f t="array" ref="AB22">XLOOKUP(Y22, 'Data jarak '!$A$2:$A$11, XLOOKUP(Z22, 'Data jarak '!$B$1:$K$1, 'Data jarak '!$B$2:$K$11))</f>
        <v>1187.826</v>
      </c>
      <c r="AC22" s="24">
        <f t="array" ref="AC22">XLOOKUP(X22&amp;Y22, Sheet4!$A:$A&amp;Sheet4!$B:$B, Sheet4!$D:$D)</f>
        <v>881.92</v>
      </c>
      <c r="AD22" s="43">
        <f t="shared" si="3"/>
        <v>15713512.59</v>
      </c>
      <c r="AE22" s="40"/>
      <c r="AF22" s="43"/>
      <c r="AG22" s="43"/>
      <c r="AH22" s="43"/>
      <c r="AI22" s="40"/>
      <c r="AJ22" s="44" t="s">
        <v>34</v>
      </c>
      <c r="AK22" s="44" t="s">
        <v>38</v>
      </c>
      <c r="AL22" s="44" t="s">
        <v>39</v>
      </c>
      <c r="AM22" s="44" t="s">
        <v>38</v>
      </c>
      <c r="AN22" s="58">
        <f t="array" ref="AN22">XLOOKUP(AL22, 'Data jarak '!$A$2:$A$11, XLOOKUP(AM22, 'Data jarak '!$B$1:$K$1, 'Data jarak '!$B$2:$K$11))</f>
        <v>510.3344</v>
      </c>
      <c r="AO22" s="24">
        <f t="array" ref="AO22">XLOOKUP(AJ22&amp;AK22, Sheet4!$A:$A&amp;Sheet4!$B:$B, Sheet4!$D:$D)</f>
        <v>547.44</v>
      </c>
      <c r="AP22" s="43">
        <f t="shared" si="4"/>
        <v>3142996.469</v>
      </c>
      <c r="AQ22" s="40"/>
      <c r="AR22" s="40"/>
      <c r="AS22" s="40"/>
    </row>
    <row r="23">
      <c r="A23" s="40"/>
      <c r="B23" s="40"/>
      <c r="C23" s="40"/>
      <c r="D23" s="60" t="s">
        <v>34</v>
      </c>
      <c r="E23" s="60" t="s">
        <v>34</v>
      </c>
      <c r="F23" s="53">
        <v>0.0</v>
      </c>
      <c r="G23" s="40"/>
      <c r="H23" s="54" t="s">
        <v>32</v>
      </c>
      <c r="I23" s="54" t="s">
        <v>40</v>
      </c>
      <c r="J23" s="54">
        <v>1.0</v>
      </c>
      <c r="K23" s="55">
        <f t="array" ref="K23">XLOOKUP(H23, 'Data jarak '!$A$2:$A$11, XLOOKUP(I23, 'Data jarak '!$B$1:$K$1, 'Data jarak '!$B$2:$K$11))</f>
        <v>1296.792</v>
      </c>
      <c r="L23" s="56">
        <f t="array" ref="L23">XLOOKUP(H23&amp;I23, Sheet4!$A:$A&amp;Sheet4!$B:$B, Sheet4!$D:$D)</f>
        <v>2504.16</v>
      </c>
      <c r="M23" s="57">
        <f t="shared" si="1"/>
        <v>48710619.82</v>
      </c>
      <c r="N23" s="43"/>
      <c r="O23" s="40"/>
      <c r="P23" s="51" t="s">
        <v>34</v>
      </c>
      <c r="Q23" s="51" t="s">
        <v>32</v>
      </c>
      <c r="R23" s="51" t="s">
        <v>38</v>
      </c>
      <c r="S23" s="51">
        <v>1.0</v>
      </c>
      <c r="T23" s="58">
        <f t="array" ref="T23">XLOOKUP(P23, 'Data jarak '!$A$2:$A$11, XLOOKUP(R23, 'Data jarak '!$B$1:$K$1, 'Data jarak '!$B$2:$K$11))</f>
        <v>790.5225</v>
      </c>
      <c r="U23" s="24">
        <f t="array" ref="U23">XLOOKUP(P23&amp;Q23, Sheet4!$A:$A&amp;Sheet4!$B:$B, Sheet4!$D:$D)</f>
        <v>4244.08</v>
      </c>
      <c r="V23" s="43">
        <f t="shared" si="2"/>
        <v>50325610.98</v>
      </c>
      <c r="W23" s="43"/>
      <c r="X23" s="51" t="s">
        <v>36</v>
      </c>
      <c r="Y23" s="51" t="s">
        <v>34</v>
      </c>
      <c r="Z23" s="51" t="s">
        <v>38</v>
      </c>
      <c r="AA23" s="51">
        <v>1.0</v>
      </c>
      <c r="AB23" s="58">
        <f t="array" ref="AB23">XLOOKUP(Y23, 'Data jarak '!$A$2:$A$11, XLOOKUP(Z23, 'Data jarak '!$B$1:$K$1, 'Data jarak '!$B$2:$K$11))</f>
        <v>790.5225</v>
      </c>
      <c r="AC23" s="24">
        <f t="array" ref="AC23">XLOOKUP(X23&amp;Y23, Sheet4!$A:$A&amp;Sheet4!$B:$B, Sheet4!$D:$D)</f>
        <v>768.88</v>
      </c>
      <c r="AD23" s="43">
        <f t="shared" si="3"/>
        <v>9117254.097</v>
      </c>
      <c r="AE23" s="40"/>
      <c r="AF23" s="43"/>
      <c r="AG23" s="43"/>
      <c r="AH23" s="43"/>
      <c r="AI23" s="40"/>
      <c r="AJ23" s="44" t="s">
        <v>34</v>
      </c>
      <c r="AK23" s="44" t="s">
        <v>39</v>
      </c>
      <c r="AL23" s="44" t="s">
        <v>38</v>
      </c>
      <c r="AM23" s="44" t="s">
        <v>39</v>
      </c>
      <c r="AN23" s="58">
        <f t="array" ref="AN23">XLOOKUP(AL23, 'Data jarak '!$A$2:$A$11, XLOOKUP(AM23, 'Data jarak '!$B$1:$K$1, 'Data jarak '!$B$2:$K$11))</f>
        <v>510.3344</v>
      </c>
      <c r="AO23" s="24">
        <f t="array" ref="AO23">XLOOKUP(AJ23&amp;AK23, Sheet4!$A:$A&amp;Sheet4!$B:$B, Sheet4!$D:$D)</f>
        <v>2635.72</v>
      </c>
      <c r="AP23" s="43">
        <f t="shared" si="4"/>
        <v>15132359.08</v>
      </c>
      <c r="AQ23" s="40"/>
      <c r="AR23" s="40"/>
      <c r="AS23" s="40"/>
    </row>
    <row r="24">
      <c r="A24" s="40"/>
      <c r="B24" s="40"/>
      <c r="C24" s="40"/>
      <c r="D24" s="60" t="s">
        <v>34</v>
      </c>
      <c r="E24" s="60" t="s">
        <v>36</v>
      </c>
      <c r="F24" s="59">
        <v>1940.46</v>
      </c>
      <c r="G24" s="40"/>
      <c r="H24" s="54" t="s">
        <v>38</v>
      </c>
      <c r="I24" s="54" t="s">
        <v>32</v>
      </c>
      <c r="J24" s="54">
        <v>1.0</v>
      </c>
      <c r="K24" s="55">
        <f t="array" ref="K24">XLOOKUP(H24, 'Data jarak '!$A$2:$A$11, XLOOKUP(I24, 'Data jarak '!$B$1:$K$1, 'Data jarak '!$B$2:$K$11))</f>
        <v>386.2807</v>
      </c>
      <c r="L24" s="56">
        <f t="array" ref="L24">XLOOKUP(H24&amp;I24, Sheet4!$A:$A&amp;Sheet4!$B:$B, Sheet4!$D:$D)</f>
        <v>3869.6</v>
      </c>
      <c r="M24" s="57">
        <f t="shared" si="1"/>
        <v>22421276.95</v>
      </c>
      <c r="N24" s="43"/>
      <c r="O24" s="40"/>
      <c r="P24" s="51" t="s">
        <v>34</v>
      </c>
      <c r="Q24" s="51" t="s">
        <v>38</v>
      </c>
      <c r="R24" s="51" t="s">
        <v>39</v>
      </c>
      <c r="S24" s="51">
        <v>1.0</v>
      </c>
      <c r="T24" s="58">
        <f t="array" ref="T24">XLOOKUP(P24, 'Data jarak '!$A$2:$A$11, XLOOKUP(R24, 'Data jarak '!$B$1:$K$1, 'Data jarak '!$B$2:$K$11))</f>
        <v>1264.945</v>
      </c>
      <c r="U24" s="24">
        <f t="array" ref="U24">XLOOKUP(P24&amp;Q24, Sheet4!$A:$A&amp;Sheet4!$B:$B, Sheet4!$D:$D)</f>
        <v>547.44</v>
      </c>
      <c r="V24" s="43">
        <f t="shared" si="2"/>
        <v>10387222.36</v>
      </c>
      <c r="W24" s="43"/>
      <c r="X24" s="51" t="s">
        <v>36</v>
      </c>
      <c r="Y24" s="51" t="s">
        <v>32</v>
      </c>
      <c r="Z24" s="51" t="s">
        <v>38</v>
      </c>
      <c r="AA24" s="51">
        <v>1.0</v>
      </c>
      <c r="AB24" s="58">
        <f t="array" ref="AB24">XLOOKUP(Y24, 'Data jarak '!$A$2:$A$11, XLOOKUP(Z24, 'Data jarak '!$B$1:$K$1, 'Data jarak '!$B$2:$K$11))</f>
        <v>386.2807</v>
      </c>
      <c r="AC24" s="24">
        <f t="array" ref="AC24">XLOOKUP(X24&amp;Y24, Sheet4!$A:$A&amp;Sheet4!$B:$B, Sheet4!$D:$D)</f>
        <v>2095.4</v>
      </c>
      <c r="AD24" s="43">
        <f t="shared" si="3"/>
        <v>12141188.68</v>
      </c>
      <c r="AE24" s="40"/>
      <c r="AF24" s="43"/>
      <c r="AG24" s="43"/>
      <c r="AH24" s="43"/>
      <c r="AI24" s="40"/>
      <c r="AJ24" s="44" t="s">
        <v>34</v>
      </c>
      <c r="AK24" s="44" t="s">
        <v>39</v>
      </c>
      <c r="AL24" s="44" t="s">
        <v>39</v>
      </c>
      <c r="AM24" s="44" t="s">
        <v>35</v>
      </c>
      <c r="AN24" s="58">
        <f t="array" ref="AN24">XLOOKUP(AL24, 'Data jarak '!$A$2:$A$11, XLOOKUP(AM24, 'Data jarak '!$B$1:$K$1, 'Data jarak '!$B$2:$K$11))</f>
        <v>186.18</v>
      </c>
      <c r="AO24" s="24">
        <f t="array" ref="AO24">XLOOKUP(AJ24&amp;AK24, Sheet4!$A:$A&amp;Sheet4!$B:$B, Sheet4!$D:$D)</f>
        <v>2635.72</v>
      </c>
      <c r="AP24" s="43">
        <f t="shared" si="4"/>
        <v>5520581.433</v>
      </c>
      <c r="AQ24" s="40"/>
      <c r="AR24" s="40"/>
      <c r="AS24" s="40"/>
    </row>
    <row r="25">
      <c r="A25" s="40"/>
      <c r="B25" s="40"/>
      <c r="C25" s="40"/>
      <c r="D25" s="60" t="s">
        <v>34</v>
      </c>
      <c r="E25" s="60" t="s">
        <v>32</v>
      </c>
      <c r="F25" s="59">
        <v>4244.09</v>
      </c>
      <c r="G25" s="40"/>
      <c r="H25" s="54" t="s">
        <v>38</v>
      </c>
      <c r="I25" s="54" t="s">
        <v>35</v>
      </c>
      <c r="J25" s="54">
        <v>1.0</v>
      </c>
      <c r="K25" s="55">
        <f t="array" ref="K25">XLOOKUP(H25, 'Data jarak '!$A$2:$A$11, XLOOKUP(I25, 'Data jarak '!$B$1:$K$1, 'Data jarak '!$B$2:$K$11))</f>
        <v>647.3369</v>
      </c>
      <c r="L25" s="56">
        <f t="array" ref="L25">XLOOKUP(H25&amp;I25, Sheet4!$A:$A&amp;Sheet4!$B:$B, Sheet4!$D:$D)</f>
        <v>20364.36</v>
      </c>
      <c r="M25" s="57">
        <f t="shared" si="1"/>
        <v>197739025.1</v>
      </c>
      <c r="N25" s="43"/>
      <c r="O25" s="40"/>
      <c r="P25" s="51" t="s">
        <v>34</v>
      </c>
      <c r="Q25" s="51" t="s">
        <v>33</v>
      </c>
      <c r="R25" s="51" t="s">
        <v>38</v>
      </c>
      <c r="S25" s="51">
        <v>1.0</v>
      </c>
      <c r="T25" s="58">
        <f t="array" ref="T25">XLOOKUP(P25, 'Data jarak '!$A$2:$A$11, XLOOKUP(R25, 'Data jarak '!$B$1:$K$1, 'Data jarak '!$B$2:$K$11))</f>
        <v>790.5225</v>
      </c>
      <c r="U25" s="24">
        <f t="array" ref="U25">XLOOKUP(P25&amp;Q25, Sheet4!$A:$A&amp;Sheet4!$B:$B, Sheet4!$D:$D)</f>
        <v>6251.72</v>
      </c>
      <c r="V25" s="43">
        <f t="shared" si="2"/>
        <v>74131879.86</v>
      </c>
      <c r="W25" s="43"/>
      <c r="X25" s="51" t="s">
        <v>36</v>
      </c>
      <c r="Y25" s="51" t="s">
        <v>33</v>
      </c>
      <c r="Z25" s="51" t="s">
        <v>38</v>
      </c>
      <c r="AA25" s="51">
        <v>1.0</v>
      </c>
      <c r="AB25" s="58">
        <f t="array" ref="AB25">XLOOKUP(Y25, 'Data jarak '!$A$2:$A$11, XLOOKUP(Z25, 'Data jarak '!$B$1:$K$1, 'Data jarak '!$B$2:$K$11))</f>
        <v>176.4669</v>
      </c>
      <c r="AC25" s="24">
        <f t="array" ref="AC25">XLOOKUP(X25&amp;Y25, Sheet4!$A:$A&amp;Sheet4!$B:$B, Sheet4!$D:$D)</f>
        <v>4265.72</v>
      </c>
      <c r="AD25" s="43">
        <f t="shared" si="3"/>
        <v>11291375.77</v>
      </c>
      <c r="AE25" s="40"/>
      <c r="AF25" s="43"/>
      <c r="AG25" s="43"/>
      <c r="AH25" s="43"/>
      <c r="AI25" s="40"/>
      <c r="AJ25" s="44" t="s">
        <v>34</v>
      </c>
      <c r="AK25" s="44" t="s">
        <v>35</v>
      </c>
      <c r="AL25" s="44" t="s">
        <v>38</v>
      </c>
      <c r="AM25" s="44" t="s">
        <v>35</v>
      </c>
      <c r="AN25" s="58">
        <f t="array" ref="AN25">XLOOKUP(AL25, 'Data jarak '!$A$2:$A$11, XLOOKUP(AM25, 'Data jarak '!$B$1:$K$1, 'Data jarak '!$B$2:$K$11))</f>
        <v>647.3369</v>
      </c>
      <c r="AO25" s="24">
        <f t="array" ref="AO25">XLOOKUP(AJ25&amp;AK25, Sheet4!$A:$A&amp;Sheet4!$B:$B, Sheet4!$D:$D)</f>
        <v>6039.8</v>
      </c>
      <c r="AP25" s="43">
        <f t="shared" si="4"/>
        <v>43985085.85</v>
      </c>
      <c r="AQ25" s="40"/>
      <c r="AR25" s="40"/>
      <c r="AS25" s="40"/>
    </row>
    <row r="26">
      <c r="A26" s="40"/>
      <c r="B26" s="40"/>
      <c r="C26" s="40"/>
      <c r="D26" s="60" t="s">
        <v>34</v>
      </c>
      <c r="E26" s="60" t="s">
        <v>38</v>
      </c>
      <c r="F26" s="61">
        <v>547.44</v>
      </c>
      <c r="G26" s="40"/>
      <c r="H26" s="54" t="s">
        <v>33</v>
      </c>
      <c r="I26" s="54" t="s">
        <v>32</v>
      </c>
      <c r="J26" s="54">
        <v>1.0</v>
      </c>
      <c r="K26" s="55">
        <f t="array" ref="K26">XLOOKUP(H26, 'Data jarak '!$A$2:$A$11, XLOOKUP(I26, 'Data jarak '!$B$1:$K$1, 'Data jarak '!$B$2:$K$11))</f>
        <v>525.4495</v>
      </c>
      <c r="L26" s="56">
        <f t="array" ref="L26">XLOOKUP(H26&amp;I26, Sheet4!$A:$A&amp;Sheet4!$B:$B, Sheet4!$D:$D)</f>
        <v>10240.56</v>
      </c>
      <c r="M26" s="57">
        <f t="shared" si="1"/>
        <v>80713456.98</v>
      </c>
      <c r="N26" s="43"/>
      <c r="O26" s="40"/>
      <c r="P26" s="51" t="s">
        <v>34</v>
      </c>
      <c r="Q26" s="51" t="s">
        <v>39</v>
      </c>
      <c r="R26" s="51" t="s">
        <v>38</v>
      </c>
      <c r="S26" s="51">
        <v>1.0</v>
      </c>
      <c r="T26" s="58">
        <f t="array" ref="T26">XLOOKUP(P26, 'Data jarak '!$A$2:$A$11, XLOOKUP(R26, 'Data jarak '!$B$1:$K$1, 'Data jarak '!$B$2:$K$11))</f>
        <v>790.5225</v>
      </c>
      <c r="U26" s="24">
        <f t="array" ref="U26">XLOOKUP(P26&amp;Q26, Sheet4!$A:$A&amp;Sheet4!$B:$B, Sheet4!$D:$D)</f>
        <v>2635.72</v>
      </c>
      <c r="V26" s="43">
        <f t="shared" si="2"/>
        <v>31253939.46</v>
      </c>
      <c r="W26" s="43"/>
      <c r="X26" s="51" t="s">
        <v>36</v>
      </c>
      <c r="Y26" s="51" t="s">
        <v>37</v>
      </c>
      <c r="Z26" s="51" t="s">
        <v>40</v>
      </c>
      <c r="AA26" s="51">
        <v>1.0</v>
      </c>
      <c r="AB26" s="58">
        <f t="array" ref="AB26">XLOOKUP(Y26, 'Data jarak '!$A$2:$A$11, XLOOKUP(Z26, 'Data jarak '!$B$1:$K$1, 'Data jarak '!$B$2:$K$11))</f>
        <v>256.303</v>
      </c>
      <c r="AC26" s="24">
        <f t="array" ref="AC26">XLOOKUP(X26&amp;Y26, Sheet4!$A:$A&amp;Sheet4!$B:$B, Sheet4!$D:$D)</f>
        <v>2415.04</v>
      </c>
      <c r="AD26" s="43">
        <f t="shared" si="3"/>
        <v>9284729.957</v>
      </c>
      <c r="AE26" s="40"/>
      <c r="AF26" s="43"/>
      <c r="AG26" s="43"/>
      <c r="AH26" s="43"/>
      <c r="AI26" s="40"/>
      <c r="AJ26" s="44" t="s">
        <v>34</v>
      </c>
      <c r="AK26" s="44" t="s">
        <v>35</v>
      </c>
      <c r="AL26" s="44" t="s">
        <v>35</v>
      </c>
      <c r="AM26" s="44" t="s">
        <v>39</v>
      </c>
      <c r="AN26" s="58">
        <f t="array" ref="AN26">XLOOKUP(AL26, 'Data jarak '!$A$2:$A$11, XLOOKUP(AM26, 'Data jarak '!$B$1:$K$1, 'Data jarak '!$B$2:$K$11))</f>
        <v>186.18</v>
      </c>
      <c r="AO26" s="24">
        <f t="array" ref="AO26">XLOOKUP(AJ26&amp;AK26, Sheet4!$A:$A&amp;Sheet4!$B:$B, Sheet4!$D:$D)</f>
        <v>6039.8</v>
      </c>
      <c r="AP26" s="43">
        <f t="shared" si="4"/>
        <v>12650512.1</v>
      </c>
      <c r="AQ26" s="40"/>
      <c r="AR26" s="40"/>
      <c r="AS26" s="40"/>
    </row>
    <row r="27">
      <c r="A27" s="40"/>
      <c r="B27" s="40"/>
      <c r="C27" s="40"/>
      <c r="D27" s="60" t="s">
        <v>34</v>
      </c>
      <c r="E27" s="60" t="s">
        <v>33</v>
      </c>
      <c r="F27" s="59">
        <v>6251.74</v>
      </c>
      <c r="G27" s="40"/>
      <c r="H27" s="54" t="s">
        <v>33</v>
      </c>
      <c r="I27" s="54" t="s">
        <v>35</v>
      </c>
      <c r="J27" s="54">
        <v>1.0</v>
      </c>
      <c r="K27" s="55">
        <f t="array" ref="K27">XLOOKUP(H27, 'Data jarak '!$A$2:$A$11, XLOOKUP(I27, 'Data jarak '!$B$1:$K$1, 'Data jarak '!$B$2:$K$11))</f>
        <v>475.5078</v>
      </c>
      <c r="L27" s="56">
        <f t="array" ref="L27">XLOOKUP(H27&amp;I27, Sheet4!$A:$A&amp;Sheet4!$B:$B, Sheet4!$D:$D)</f>
        <v>33272.84</v>
      </c>
      <c r="M27" s="57">
        <f t="shared" si="1"/>
        <v>237322424.2</v>
      </c>
      <c r="N27" s="43"/>
      <c r="O27" s="40"/>
      <c r="P27" s="51" t="s">
        <v>34</v>
      </c>
      <c r="Q27" s="51" t="s">
        <v>35</v>
      </c>
      <c r="R27" s="51" t="s">
        <v>38</v>
      </c>
      <c r="S27" s="51">
        <v>1.0</v>
      </c>
      <c r="T27" s="58">
        <f t="array" ref="T27">XLOOKUP(P27, 'Data jarak '!$A$2:$A$11, XLOOKUP(R27, 'Data jarak '!$B$1:$K$1, 'Data jarak '!$B$2:$K$11))</f>
        <v>790.5225</v>
      </c>
      <c r="U27" s="24">
        <f t="array" ref="U27">XLOOKUP(P27&amp;Q27, Sheet4!$A:$A&amp;Sheet4!$B:$B, Sheet4!$D:$D)</f>
        <v>6039.8</v>
      </c>
      <c r="V27" s="43">
        <f t="shared" si="2"/>
        <v>71618966.93</v>
      </c>
      <c r="W27" s="43"/>
      <c r="X27" s="51" t="s">
        <v>32</v>
      </c>
      <c r="Y27" s="51" t="s">
        <v>31</v>
      </c>
      <c r="Z27" s="51" t="s">
        <v>38</v>
      </c>
      <c r="AA27" s="51">
        <v>1.0</v>
      </c>
      <c r="AB27" s="58">
        <f t="array" ref="AB27">XLOOKUP(Y27, 'Data jarak '!$A$2:$A$11, XLOOKUP(Z27, 'Data jarak '!$B$1:$K$1, 'Data jarak '!$B$2:$K$11))</f>
        <v>1187.826</v>
      </c>
      <c r="AC27" s="24">
        <f t="array" ref="AC27">XLOOKUP(X27&amp;Y27, Sheet4!$A:$A&amp;Sheet4!$B:$B, Sheet4!$D:$D)</f>
        <v>2877.88</v>
      </c>
      <c r="AD27" s="43">
        <f t="shared" si="3"/>
        <v>51276310.33</v>
      </c>
      <c r="AE27" s="40"/>
      <c r="AF27" s="43"/>
      <c r="AG27" s="43"/>
      <c r="AH27" s="43"/>
      <c r="AI27" s="40"/>
      <c r="AJ27" s="44" t="s">
        <v>34</v>
      </c>
      <c r="AK27" s="44" t="s">
        <v>40</v>
      </c>
      <c r="AL27" s="44" t="s">
        <v>38</v>
      </c>
      <c r="AM27" s="44" t="s">
        <v>40</v>
      </c>
      <c r="AN27" s="58">
        <f t="array" ref="AN27">XLOOKUP(AL27, 'Data jarak '!$A$2:$A$11, XLOOKUP(AM27, 'Data jarak '!$B$1:$K$1, 'Data jarak '!$B$2:$K$11))</f>
        <v>976.2167</v>
      </c>
      <c r="AO27" s="24">
        <f t="array" ref="AO27">XLOOKUP(AJ27&amp;AK27, Sheet4!$A:$A&amp;Sheet4!$B:$B, Sheet4!$D:$D)</f>
        <v>3678.84</v>
      </c>
      <c r="AP27" s="43">
        <f t="shared" si="4"/>
        <v>40402631.75</v>
      </c>
      <c r="AQ27" s="40"/>
      <c r="AR27" s="40"/>
      <c r="AS27" s="40"/>
    </row>
    <row r="28">
      <c r="A28" s="40"/>
      <c r="B28" s="40"/>
      <c r="C28" s="40"/>
      <c r="D28" s="60" t="s">
        <v>34</v>
      </c>
      <c r="E28" s="60" t="s">
        <v>39</v>
      </c>
      <c r="F28" s="59">
        <v>2635.73</v>
      </c>
      <c r="G28" s="40"/>
      <c r="H28" s="54" t="s">
        <v>39</v>
      </c>
      <c r="I28" s="54" t="s">
        <v>32</v>
      </c>
      <c r="J28" s="54">
        <v>1.0</v>
      </c>
      <c r="K28" s="55">
        <f t="array" ref="K28">XLOOKUP(H28, 'Data jarak '!$A$2:$A$11, XLOOKUP(I28, 'Data jarak '!$B$1:$K$1, 'Data jarak '!$B$2:$K$11))</f>
        <v>741.0224</v>
      </c>
      <c r="L28" s="56">
        <f t="array" ref="L28">XLOOKUP(H28&amp;I28, Sheet4!$A:$A&amp;Sheet4!$B:$B, Sheet4!$D:$D)</f>
        <v>6602.08</v>
      </c>
      <c r="M28" s="57">
        <f t="shared" si="1"/>
        <v>73384337.5</v>
      </c>
      <c r="N28" s="43"/>
      <c r="O28" s="40"/>
      <c r="P28" s="51" t="s">
        <v>34</v>
      </c>
      <c r="Q28" s="51" t="s">
        <v>40</v>
      </c>
      <c r="R28" s="51" t="s">
        <v>38</v>
      </c>
      <c r="S28" s="51">
        <v>1.0</v>
      </c>
      <c r="T28" s="58">
        <f t="array" ref="T28">XLOOKUP(P28, 'Data jarak '!$A$2:$A$11, XLOOKUP(R28, 'Data jarak '!$B$1:$K$1, 'Data jarak '!$B$2:$K$11))</f>
        <v>790.5225</v>
      </c>
      <c r="U28" s="24">
        <f t="array" ref="U28">XLOOKUP(P28&amp;Q28, Sheet4!$A:$A&amp;Sheet4!$B:$B, Sheet4!$D:$D)</f>
        <v>3678.84</v>
      </c>
      <c r="V28" s="43">
        <f t="shared" si="2"/>
        <v>43623086.91</v>
      </c>
      <c r="W28" s="43"/>
      <c r="X28" s="51" t="s">
        <v>32</v>
      </c>
      <c r="Y28" s="51" t="s">
        <v>34</v>
      </c>
      <c r="Z28" s="51" t="s">
        <v>38</v>
      </c>
      <c r="AA28" s="51">
        <v>1.0</v>
      </c>
      <c r="AB28" s="58">
        <f t="array" ref="AB28">XLOOKUP(Y28, 'Data jarak '!$A$2:$A$11, XLOOKUP(Z28, 'Data jarak '!$B$1:$K$1, 'Data jarak '!$B$2:$K$11))</f>
        <v>790.5225</v>
      </c>
      <c r="AC28" s="24">
        <f t="array" ref="AC28">XLOOKUP(X28&amp;Y28, Sheet4!$A:$A&amp;Sheet4!$B:$B, Sheet4!$D:$D)</f>
        <v>2837.36</v>
      </c>
      <c r="AD28" s="43">
        <f t="shared" si="3"/>
        <v>33644953.81</v>
      </c>
      <c r="AE28" s="40"/>
      <c r="AF28" s="43"/>
      <c r="AG28" s="43"/>
      <c r="AH28" s="43"/>
      <c r="AI28" s="40"/>
      <c r="AJ28" s="44" t="s">
        <v>34</v>
      </c>
      <c r="AK28" s="44" t="s">
        <v>40</v>
      </c>
      <c r="AL28" s="44" t="s">
        <v>40</v>
      </c>
      <c r="AM28" s="44" t="s">
        <v>35</v>
      </c>
      <c r="AN28" s="58">
        <f t="array" ref="AN28">XLOOKUP(AL28, 'Data jarak '!$A$2:$A$11, XLOOKUP(AM28, 'Data jarak '!$B$1:$K$1, 'Data jarak '!$B$2:$K$11))</f>
        <v>403.0102</v>
      </c>
      <c r="AO28" s="24">
        <f t="array" ref="AO28">XLOOKUP(AJ28&amp;AK28, Sheet4!$A:$A&amp;Sheet4!$B:$B, Sheet4!$D:$D)</f>
        <v>3678.84</v>
      </c>
      <c r="AP28" s="43">
        <f t="shared" si="4"/>
        <v>16679363</v>
      </c>
      <c r="AQ28" s="40"/>
      <c r="AR28" s="40"/>
      <c r="AS28" s="40"/>
    </row>
    <row r="29">
      <c r="A29" s="40"/>
      <c r="B29" s="40"/>
      <c r="C29" s="40"/>
      <c r="D29" s="60" t="s">
        <v>34</v>
      </c>
      <c r="E29" s="60" t="s">
        <v>35</v>
      </c>
      <c r="F29" s="59">
        <v>6039.82</v>
      </c>
      <c r="G29" s="40"/>
      <c r="H29" s="54" t="s">
        <v>39</v>
      </c>
      <c r="I29" s="54" t="s">
        <v>35</v>
      </c>
      <c r="J29" s="54">
        <v>1.0</v>
      </c>
      <c r="K29" s="55">
        <f t="array" ref="K29">XLOOKUP(H29, 'Data jarak '!$A$2:$A$11, XLOOKUP(I29, 'Data jarak '!$B$1:$K$1, 'Data jarak '!$B$2:$K$11))</f>
        <v>186.18</v>
      </c>
      <c r="L29" s="56">
        <f t="array" ref="L29">XLOOKUP(H29&amp;I29, Sheet4!$A:$A&amp;Sheet4!$B:$B, Sheet4!$D:$D)</f>
        <v>14964.48</v>
      </c>
      <c r="M29" s="57">
        <f t="shared" si="1"/>
        <v>41791303.3</v>
      </c>
      <c r="N29" s="43"/>
      <c r="O29" s="40"/>
      <c r="P29" s="51" t="s">
        <v>34</v>
      </c>
      <c r="Q29" s="51" t="s">
        <v>37</v>
      </c>
      <c r="R29" s="51" t="s">
        <v>38</v>
      </c>
      <c r="S29" s="51">
        <v>1.0</v>
      </c>
      <c r="T29" s="58">
        <f t="array" ref="T29">XLOOKUP(P29, 'Data jarak '!$A$2:$A$11, XLOOKUP(R29, 'Data jarak '!$B$1:$K$1, 'Data jarak '!$B$2:$K$11))</f>
        <v>790.5225</v>
      </c>
      <c r="U29" s="24">
        <f t="array" ref="U29">XLOOKUP(P29&amp;Q29, Sheet4!$A:$A&amp;Sheet4!$B:$B, Sheet4!$D:$D)</f>
        <v>4136.76</v>
      </c>
      <c r="V29" s="43">
        <f t="shared" si="2"/>
        <v>49053027.86</v>
      </c>
      <c r="W29" s="43"/>
      <c r="X29" s="51" t="s">
        <v>32</v>
      </c>
      <c r="Y29" s="51" t="s">
        <v>36</v>
      </c>
      <c r="Z29" s="51" t="s">
        <v>38</v>
      </c>
      <c r="AA29" s="51">
        <v>1.0</v>
      </c>
      <c r="AB29" s="58">
        <f t="array" ref="AB29">XLOOKUP(Y29, 'Data jarak '!$A$2:$A$11, XLOOKUP(Z29, 'Data jarak '!$B$1:$K$1, 'Data jarak '!$B$2:$K$11))</f>
        <v>254.9509</v>
      </c>
      <c r="AC29" s="24">
        <f t="array" ref="AC29">XLOOKUP(X29&amp;Y29, Sheet4!$A:$A&amp;Sheet4!$B:$B, Sheet4!$D:$D)</f>
        <v>2340.64</v>
      </c>
      <c r="AD29" s="43">
        <f t="shared" si="3"/>
        <v>8951224.119</v>
      </c>
      <c r="AE29" s="40"/>
      <c r="AF29" s="43"/>
      <c r="AG29" s="43"/>
      <c r="AH29" s="43"/>
      <c r="AI29" s="40"/>
      <c r="AJ29" s="44" t="s">
        <v>34</v>
      </c>
      <c r="AK29" s="44" t="s">
        <v>37</v>
      </c>
      <c r="AL29" s="44" t="s">
        <v>38</v>
      </c>
      <c r="AM29" s="44" t="s">
        <v>40</v>
      </c>
      <c r="AN29" s="58">
        <f t="array" ref="AN29">XLOOKUP(AL29, 'Data jarak '!$A$2:$A$11, XLOOKUP(AM29, 'Data jarak '!$B$1:$K$1, 'Data jarak '!$B$2:$K$11))</f>
        <v>976.2167</v>
      </c>
      <c r="AO29" s="24">
        <f t="array" ref="AO29">XLOOKUP(AJ29&amp;AK29, Sheet4!$A:$A&amp;Sheet4!$B:$B, Sheet4!$D:$D)</f>
        <v>4136.76</v>
      </c>
      <c r="AP29" s="43">
        <f t="shared" si="4"/>
        <v>45431709.7</v>
      </c>
      <c r="AQ29" s="40"/>
      <c r="AR29" s="40"/>
      <c r="AS29" s="40"/>
    </row>
    <row r="30">
      <c r="A30" s="40"/>
      <c r="B30" s="40"/>
      <c r="C30" s="40"/>
      <c r="D30" s="60" t="s">
        <v>34</v>
      </c>
      <c r="E30" s="60" t="s">
        <v>40</v>
      </c>
      <c r="F30" s="59">
        <v>3678.83</v>
      </c>
      <c r="G30" s="40"/>
      <c r="H30" s="54" t="s">
        <v>35</v>
      </c>
      <c r="I30" s="54" t="s">
        <v>31</v>
      </c>
      <c r="J30" s="54">
        <v>1.0</v>
      </c>
      <c r="K30" s="55">
        <f t="array" ref="K30">XLOOKUP(H30, 'Data jarak '!$A$2:$A$11, XLOOKUP(I30, 'Data jarak '!$B$1:$K$1, 'Data jarak '!$B$2:$K$11))</f>
        <v>1810.495</v>
      </c>
      <c r="L30" s="56">
        <f t="array" ref="L30">XLOOKUP(H30&amp;I30, Sheet4!$A:$A&amp;Sheet4!$B:$B, Sheet4!$D:$D)</f>
        <v>30724.48</v>
      </c>
      <c r="M30" s="57">
        <f t="shared" si="1"/>
        <v>834397761.3</v>
      </c>
      <c r="N30" s="43"/>
      <c r="O30" s="40"/>
      <c r="P30" s="51" t="s">
        <v>36</v>
      </c>
      <c r="Q30" s="51" t="s">
        <v>31</v>
      </c>
      <c r="R30" s="51" t="s">
        <v>38</v>
      </c>
      <c r="S30" s="51">
        <v>1.0</v>
      </c>
      <c r="T30" s="58">
        <f t="array" ref="T30">XLOOKUP(P30, 'Data jarak '!$A$2:$A$11, XLOOKUP(R30, 'Data jarak '!$B$1:$K$1, 'Data jarak '!$B$2:$K$11))</f>
        <v>254.9509</v>
      </c>
      <c r="U30" s="24">
        <f t="array" ref="U30">XLOOKUP(P30&amp;Q30, Sheet4!$A:$A&amp;Sheet4!$B:$B, Sheet4!$D:$D)</f>
        <v>881.92</v>
      </c>
      <c r="V30" s="43">
        <f t="shared" si="2"/>
        <v>3372694.466</v>
      </c>
      <c r="W30" s="43"/>
      <c r="X30" s="51" t="s">
        <v>32</v>
      </c>
      <c r="Y30" s="51" t="s">
        <v>33</v>
      </c>
      <c r="Z30" s="51" t="s">
        <v>38</v>
      </c>
      <c r="AA30" s="51">
        <v>1.0</v>
      </c>
      <c r="AB30" s="58">
        <f t="array" ref="AB30">XLOOKUP(Y30, 'Data jarak '!$A$2:$A$11, XLOOKUP(Z30, 'Data jarak '!$B$1:$K$1, 'Data jarak '!$B$2:$K$11))</f>
        <v>176.4669</v>
      </c>
      <c r="AC30" s="24">
        <f t="array" ref="AC30">XLOOKUP(X30&amp;Y30, Sheet4!$A:$A&amp;Sheet4!$B:$B, Sheet4!$D:$D)</f>
        <v>7897.68</v>
      </c>
      <c r="AD30" s="43">
        <f t="shared" si="3"/>
        <v>20905186.6</v>
      </c>
      <c r="AE30" s="40"/>
      <c r="AF30" s="43"/>
      <c r="AG30" s="43"/>
      <c r="AH30" s="43"/>
      <c r="AI30" s="40"/>
      <c r="AJ30" s="44" t="s">
        <v>36</v>
      </c>
      <c r="AK30" s="44" t="s">
        <v>38</v>
      </c>
      <c r="AL30" s="44" t="s">
        <v>38</v>
      </c>
      <c r="AM30" s="44" t="s">
        <v>35</v>
      </c>
      <c r="AN30" s="58">
        <f t="array" ref="AN30">XLOOKUP(AL30, 'Data jarak '!$A$2:$A$11, XLOOKUP(AM30, 'Data jarak '!$B$1:$K$1, 'Data jarak '!$B$2:$K$11))</f>
        <v>647.3369</v>
      </c>
      <c r="AO30" s="24">
        <f t="array" ref="AO30">XLOOKUP(AJ30&amp;AK30, Sheet4!$A:$A&amp;Sheet4!$B:$B, Sheet4!$D:$D)</f>
        <v>575.8</v>
      </c>
      <c r="AP30" s="43">
        <f t="shared" si="4"/>
        <v>4193286.604</v>
      </c>
      <c r="AQ30" s="40"/>
      <c r="AR30" s="40"/>
      <c r="AS30" s="40"/>
    </row>
    <row r="31">
      <c r="A31" s="40"/>
      <c r="B31" s="40"/>
      <c r="C31" s="40"/>
      <c r="D31" s="60" t="s">
        <v>34</v>
      </c>
      <c r="E31" s="60" t="s">
        <v>37</v>
      </c>
      <c r="F31" s="59">
        <v>4136.76</v>
      </c>
      <c r="G31" s="40"/>
      <c r="H31" s="54" t="s">
        <v>35</v>
      </c>
      <c r="I31" s="54" t="s">
        <v>34</v>
      </c>
      <c r="J31" s="54">
        <v>1.0</v>
      </c>
      <c r="K31" s="55">
        <f t="array" ref="K31">XLOOKUP(H31, 'Data jarak '!$A$2:$A$11, XLOOKUP(I31, 'Data jarak '!$B$1:$K$1, 'Data jarak '!$B$2:$K$11))</f>
        <v>1425.636</v>
      </c>
      <c r="L31" s="56">
        <f t="array" ref="L31">XLOOKUP(H31&amp;I31, Sheet4!$A:$A&amp;Sheet4!$B:$B, Sheet4!$D:$D)</f>
        <v>6826.24</v>
      </c>
      <c r="M31" s="57">
        <f t="shared" si="1"/>
        <v>145976002.3</v>
      </c>
      <c r="N31" s="43"/>
      <c r="O31" s="40"/>
      <c r="P31" s="51" t="s">
        <v>36</v>
      </c>
      <c r="Q31" s="51" t="s">
        <v>34</v>
      </c>
      <c r="R31" s="51" t="s">
        <v>38</v>
      </c>
      <c r="S31" s="51">
        <v>1.0</v>
      </c>
      <c r="T31" s="58">
        <f t="array" ref="T31">XLOOKUP(P31, 'Data jarak '!$A$2:$A$11, XLOOKUP(R31, 'Data jarak '!$B$1:$K$1, 'Data jarak '!$B$2:$K$11))</f>
        <v>254.9509</v>
      </c>
      <c r="U31" s="24">
        <f t="array" ref="U31">XLOOKUP(P31&amp;Q31, Sheet4!$A:$A&amp;Sheet4!$B:$B, Sheet4!$D:$D)</f>
        <v>768.88</v>
      </c>
      <c r="V31" s="43">
        <f t="shared" si="2"/>
        <v>2940399.72</v>
      </c>
      <c r="W31" s="43"/>
      <c r="X31" s="51" t="s">
        <v>32</v>
      </c>
      <c r="Y31" s="51" t="s">
        <v>37</v>
      </c>
      <c r="Z31" s="51" t="s">
        <v>40</v>
      </c>
      <c r="AA31" s="51">
        <v>1.0</v>
      </c>
      <c r="AB31" s="58">
        <f t="array" ref="AB31">XLOOKUP(Y31, 'Data jarak '!$A$2:$A$11, XLOOKUP(Z31, 'Data jarak '!$B$1:$K$1, 'Data jarak '!$B$2:$K$11))</f>
        <v>256.303</v>
      </c>
      <c r="AC31" s="24">
        <f t="array" ref="AC31">XLOOKUP(X31&amp;Y31, Sheet4!$A:$A&amp;Sheet4!$B:$B, Sheet4!$D:$D)</f>
        <v>12387.4</v>
      </c>
      <c r="AD31" s="43">
        <f t="shared" si="3"/>
        <v>47623916.73</v>
      </c>
      <c r="AE31" s="40"/>
      <c r="AF31" s="43"/>
      <c r="AG31" s="43"/>
      <c r="AH31" s="43"/>
      <c r="AI31" s="40"/>
      <c r="AJ31" s="44" t="s">
        <v>36</v>
      </c>
      <c r="AK31" s="44" t="s">
        <v>38</v>
      </c>
      <c r="AL31" s="44" t="s">
        <v>39</v>
      </c>
      <c r="AM31" s="44" t="s">
        <v>38</v>
      </c>
      <c r="AN31" s="58">
        <f t="array" ref="AN31">XLOOKUP(AL31, 'Data jarak '!$A$2:$A$11, XLOOKUP(AM31, 'Data jarak '!$B$1:$K$1, 'Data jarak '!$B$2:$K$11))</f>
        <v>510.3344</v>
      </c>
      <c r="AO31" s="24">
        <f t="array" ref="AO31">XLOOKUP(AJ31&amp;AK31, Sheet4!$A:$A&amp;Sheet4!$B:$B, Sheet4!$D:$D)</f>
        <v>575.8</v>
      </c>
      <c r="AP31" s="43">
        <f t="shared" si="4"/>
        <v>3305818.66</v>
      </c>
      <c r="AQ31" s="40"/>
      <c r="AR31" s="40"/>
      <c r="AS31" s="40"/>
    </row>
    <row r="32">
      <c r="A32" s="40"/>
      <c r="B32" s="40"/>
      <c r="C32" s="40"/>
      <c r="D32" s="62" t="s">
        <v>36</v>
      </c>
      <c r="E32" s="62" t="s">
        <v>31</v>
      </c>
      <c r="F32" s="61">
        <v>881.92</v>
      </c>
      <c r="G32" s="40"/>
      <c r="H32" s="54" t="s">
        <v>35</v>
      </c>
      <c r="I32" s="54" t="s">
        <v>36</v>
      </c>
      <c r="J32" s="54">
        <v>1.0</v>
      </c>
      <c r="K32" s="55">
        <f t="array" ref="K32">XLOOKUP(H32, 'Data jarak '!$A$2:$A$11, XLOOKUP(I32, 'Data jarak '!$B$1:$K$1, 'Data jarak '!$B$2:$K$11))</f>
        <v>867.9308</v>
      </c>
      <c r="L32" s="56">
        <f t="array" ref="L32">XLOOKUP(H32&amp;I32, Sheet4!$A:$A&amp;Sheet4!$B:$B, Sheet4!$D:$D)</f>
        <v>12802.76</v>
      </c>
      <c r="M32" s="57">
        <f t="shared" si="1"/>
        <v>166678645.9</v>
      </c>
      <c r="N32" s="43"/>
      <c r="O32" s="40"/>
      <c r="P32" s="51" t="s">
        <v>36</v>
      </c>
      <c r="Q32" s="51" t="s">
        <v>32</v>
      </c>
      <c r="R32" s="51" t="s">
        <v>38</v>
      </c>
      <c r="S32" s="51">
        <v>1.0</v>
      </c>
      <c r="T32" s="58">
        <f t="array" ref="T32">XLOOKUP(P32, 'Data jarak '!$A$2:$A$11, XLOOKUP(R32, 'Data jarak '!$B$1:$K$1, 'Data jarak '!$B$2:$K$11))</f>
        <v>254.9509</v>
      </c>
      <c r="U32" s="24">
        <f t="array" ref="U32">XLOOKUP(P32&amp;Q32, Sheet4!$A:$A&amp;Sheet4!$B:$B, Sheet4!$D:$D)</f>
        <v>2095.4</v>
      </c>
      <c r="V32" s="43">
        <f t="shared" si="2"/>
        <v>8013361.738</v>
      </c>
      <c r="W32" s="43"/>
      <c r="X32" s="51" t="s">
        <v>38</v>
      </c>
      <c r="Y32" s="51" t="s">
        <v>31</v>
      </c>
      <c r="Z32" s="51" t="s">
        <v>39</v>
      </c>
      <c r="AA32" s="51">
        <v>1.0</v>
      </c>
      <c r="AB32" s="58">
        <f t="array" ref="AB32">XLOOKUP(Y32, 'Data jarak '!$A$2:$A$11, XLOOKUP(Z32, 'Data jarak '!$B$1:$K$1, 'Data jarak '!$B$2:$K$11))</f>
        <v>1641.94</v>
      </c>
      <c r="AC32" s="24">
        <f t="array" ref="AC32">XLOOKUP(X32&amp;Y32, Sheet4!$A:$A&amp;Sheet4!$B:$B, Sheet4!$D:$D)</f>
        <v>1916.56</v>
      </c>
      <c r="AD32" s="43">
        <f t="shared" si="3"/>
        <v>47203147.9</v>
      </c>
      <c r="AE32" s="40"/>
      <c r="AF32" s="43"/>
      <c r="AG32" s="43"/>
      <c r="AH32" s="43"/>
      <c r="AI32" s="40"/>
      <c r="AJ32" s="22" t="s">
        <v>36</v>
      </c>
      <c r="AK32" s="22" t="s">
        <v>39</v>
      </c>
      <c r="AL32" s="22" t="s">
        <v>38</v>
      </c>
      <c r="AM32" s="22" t="s">
        <v>39</v>
      </c>
      <c r="AN32" s="58">
        <f t="array" ref="AN32">XLOOKUP(AL32, 'Data jarak '!$A$2:$A$11, XLOOKUP(AM32, 'Data jarak '!$B$1:$K$1, 'Data jarak '!$B$2:$K$11))</f>
        <v>510.3344</v>
      </c>
      <c r="AO32" s="24">
        <f t="array" ref="AO32">XLOOKUP(AJ32&amp;AK32, Sheet4!$A:$A&amp;Sheet4!$B:$B, Sheet4!$D:$D)</f>
        <v>10479.28</v>
      </c>
      <c r="AP32" s="43">
        <f t="shared" si="4"/>
        <v>60164292.05</v>
      </c>
      <c r="AQ32" s="40"/>
      <c r="AR32" s="40"/>
      <c r="AS32" s="40"/>
    </row>
    <row r="33">
      <c r="A33" s="40"/>
      <c r="B33" s="40"/>
      <c r="C33" s="40"/>
      <c r="D33" s="62" t="s">
        <v>36</v>
      </c>
      <c r="E33" s="62" t="s">
        <v>34</v>
      </c>
      <c r="F33" s="61">
        <v>768.89</v>
      </c>
      <c r="G33" s="40"/>
      <c r="H33" s="54" t="s">
        <v>35</v>
      </c>
      <c r="I33" s="54" t="s">
        <v>38</v>
      </c>
      <c r="J33" s="54">
        <v>1.0</v>
      </c>
      <c r="K33" s="55">
        <f t="array" ref="K33">XLOOKUP(H33, 'Data jarak '!$A$2:$A$11, XLOOKUP(I33, 'Data jarak '!$B$1:$K$1, 'Data jarak '!$B$2:$K$11))</f>
        <v>647.3369</v>
      </c>
      <c r="L33" s="56">
        <f t="array" ref="L33">XLOOKUP(H33&amp;I33, Sheet4!$A:$A&amp;Sheet4!$B:$B, Sheet4!$D:$D)</f>
        <v>34996.76</v>
      </c>
      <c r="M33" s="57">
        <f t="shared" si="1"/>
        <v>339820411.9</v>
      </c>
      <c r="N33" s="43"/>
      <c r="O33" s="40"/>
      <c r="P33" s="51" t="s">
        <v>36</v>
      </c>
      <c r="Q33" s="51" t="s">
        <v>38</v>
      </c>
      <c r="R33" s="51" t="s">
        <v>39</v>
      </c>
      <c r="S33" s="51">
        <v>1.0</v>
      </c>
      <c r="T33" s="58">
        <f t="array" ref="T33">XLOOKUP(P33, 'Data jarak '!$A$2:$A$11, XLOOKUP(R33, 'Data jarak '!$B$1:$K$1, 'Data jarak '!$B$2:$K$11))</f>
        <v>751.9781</v>
      </c>
      <c r="U33" s="24">
        <f t="array" ref="U33">XLOOKUP(P33&amp;Q33, Sheet4!$A:$A&amp;Sheet4!$B:$B, Sheet4!$D:$D)</f>
        <v>575.8</v>
      </c>
      <c r="V33" s="43">
        <f t="shared" si="2"/>
        <v>6494834.85</v>
      </c>
      <c r="W33" s="43"/>
      <c r="X33" s="51" t="s">
        <v>38</v>
      </c>
      <c r="Y33" s="51" t="s">
        <v>34</v>
      </c>
      <c r="Z33" s="51" t="s">
        <v>39</v>
      </c>
      <c r="AA33" s="51">
        <v>1.0</v>
      </c>
      <c r="AB33" s="58">
        <f t="array" ref="AB33">XLOOKUP(Y33, 'Data jarak '!$A$2:$A$11, XLOOKUP(Z33, 'Data jarak '!$B$1:$K$1, 'Data jarak '!$B$2:$K$11))</f>
        <v>1264.945</v>
      </c>
      <c r="AC33" s="24">
        <f t="array" ref="AC33">XLOOKUP(X33&amp;Y33, Sheet4!$A:$A&amp;Sheet4!$B:$B, Sheet4!$D:$D)</f>
        <v>453.68</v>
      </c>
      <c r="AD33" s="43">
        <f t="shared" si="3"/>
        <v>8608203.714</v>
      </c>
      <c r="AE33" s="40"/>
      <c r="AF33" s="43"/>
      <c r="AG33" s="43"/>
      <c r="AH33" s="43"/>
      <c r="AI33" s="40"/>
      <c r="AJ33" s="22" t="s">
        <v>36</v>
      </c>
      <c r="AK33" s="22" t="s">
        <v>39</v>
      </c>
      <c r="AL33" s="22" t="s">
        <v>39</v>
      </c>
      <c r="AM33" s="22" t="s">
        <v>35</v>
      </c>
      <c r="AN33" s="58">
        <f t="array" ref="AN33">XLOOKUP(AL33, 'Data jarak '!$A$2:$A$11, XLOOKUP(AM33, 'Data jarak '!$B$1:$K$1, 'Data jarak '!$B$2:$K$11))</f>
        <v>186.18</v>
      </c>
      <c r="AO33" s="24">
        <f t="array" ref="AO33">XLOOKUP(AJ33&amp;AK33, Sheet4!$A:$A&amp;Sheet4!$B:$B, Sheet4!$D:$D)</f>
        <v>10479.28</v>
      </c>
      <c r="AP33" s="43">
        <f t="shared" si="4"/>
        <v>21949113.94</v>
      </c>
      <c r="AQ33" s="40"/>
      <c r="AR33" s="40"/>
      <c r="AS33" s="40"/>
    </row>
    <row r="34">
      <c r="A34" s="40"/>
      <c r="B34" s="40"/>
      <c r="C34" s="40"/>
      <c r="D34" s="62" t="s">
        <v>36</v>
      </c>
      <c r="E34" s="62" t="s">
        <v>36</v>
      </c>
      <c r="F34" s="53">
        <v>0.0</v>
      </c>
      <c r="G34" s="40"/>
      <c r="H34" s="54" t="s">
        <v>35</v>
      </c>
      <c r="I34" s="54" t="s">
        <v>33</v>
      </c>
      <c r="J34" s="54">
        <v>1.0</v>
      </c>
      <c r="K34" s="55">
        <f t="array" ref="K34">XLOOKUP(H34, 'Data jarak '!$A$2:$A$11, XLOOKUP(I34, 'Data jarak '!$B$1:$K$1, 'Data jarak '!$B$2:$K$11))</f>
        <v>475.5078</v>
      </c>
      <c r="L34" s="56">
        <f t="array" ref="L34">XLOOKUP(H34&amp;I34, Sheet4!$A:$A&amp;Sheet4!$B:$B, Sheet4!$D:$D)</f>
        <v>121568.92</v>
      </c>
      <c r="M34" s="57">
        <f t="shared" si="1"/>
        <v>867104545.5</v>
      </c>
      <c r="N34" s="43"/>
      <c r="O34" s="40"/>
      <c r="P34" s="51" t="s">
        <v>36</v>
      </c>
      <c r="Q34" s="51" t="s">
        <v>33</v>
      </c>
      <c r="R34" s="51" t="s">
        <v>38</v>
      </c>
      <c r="S34" s="51">
        <v>1.0</v>
      </c>
      <c r="T34" s="58">
        <f t="array" ref="T34">XLOOKUP(P34, 'Data jarak '!$A$2:$A$11, XLOOKUP(R34, 'Data jarak '!$B$1:$K$1, 'Data jarak '!$B$2:$K$11))</f>
        <v>254.9509</v>
      </c>
      <c r="U34" s="24">
        <f t="array" ref="U34">XLOOKUP(P34&amp;Q34, Sheet4!$A:$A&amp;Sheet4!$B:$B, Sheet4!$D:$D)</f>
        <v>4265.72</v>
      </c>
      <c r="V34" s="43">
        <f t="shared" si="2"/>
        <v>16313237.3</v>
      </c>
      <c r="W34" s="43"/>
      <c r="X34" s="51" t="s">
        <v>38</v>
      </c>
      <c r="Y34" s="51" t="s">
        <v>36</v>
      </c>
      <c r="Z34" s="51" t="s">
        <v>39</v>
      </c>
      <c r="AA34" s="51">
        <v>1.0</v>
      </c>
      <c r="AB34" s="58">
        <f t="array" ref="AB34">XLOOKUP(Y34, 'Data jarak '!$A$2:$A$11, XLOOKUP(Z34, 'Data jarak '!$B$1:$K$1, 'Data jarak '!$B$2:$K$11))</f>
        <v>751.9781</v>
      </c>
      <c r="AC34" s="24">
        <f t="array" ref="AC34">XLOOKUP(X34&amp;Y34, Sheet4!$A:$A&amp;Sheet4!$B:$B, Sheet4!$D:$D)</f>
        <v>821.08</v>
      </c>
      <c r="AD34" s="43">
        <f t="shared" si="3"/>
        <v>9261512.675</v>
      </c>
      <c r="AE34" s="40"/>
      <c r="AF34" s="43"/>
      <c r="AG34" s="43"/>
      <c r="AH34" s="43"/>
      <c r="AI34" s="40"/>
      <c r="AJ34" s="22" t="s">
        <v>36</v>
      </c>
      <c r="AK34" s="22" t="s">
        <v>35</v>
      </c>
      <c r="AL34" s="22" t="s">
        <v>38</v>
      </c>
      <c r="AM34" s="22" t="s">
        <v>35</v>
      </c>
      <c r="AN34" s="58">
        <f t="array" ref="AN34">XLOOKUP(AL34, 'Data jarak '!$A$2:$A$11, XLOOKUP(AM34, 'Data jarak '!$B$1:$K$1, 'Data jarak '!$B$2:$K$11))</f>
        <v>647.3369</v>
      </c>
      <c r="AO34" s="24">
        <f t="array" ref="AO34">XLOOKUP(AJ34&amp;AK34, Sheet4!$A:$A&amp;Sheet4!$B:$B, Sheet4!$D:$D)</f>
        <v>5041.36</v>
      </c>
      <c r="AP34" s="43">
        <f t="shared" si="4"/>
        <v>36713906.48</v>
      </c>
      <c r="AQ34" s="40"/>
      <c r="AR34" s="40"/>
      <c r="AS34" s="40"/>
    </row>
    <row r="35">
      <c r="A35" s="40"/>
      <c r="B35" s="40"/>
      <c r="C35" s="40"/>
      <c r="D35" s="62" t="s">
        <v>36</v>
      </c>
      <c r="E35" s="62" t="s">
        <v>32</v>
      </c>
      <c r="F35" s="59">
        <v>2095.4</v>
      </c>
      <c r="G35" s="40"/>
      <c r="H35" s="54" t="s">
        <v>35</v>
      </c>
      <c r="I35" s="54" t="s">
        <v>39</v>
      </c>
      <c r="J35" s="54">
        <v>1.0</v>
      </c>
      <c r="K35" s="55">
        <f t="array" ref="K35">XLOOKUP(H35, 'Data jarak '!$A$2:$A$11, XLOOKUP(I35, 'Data jarak '!$B$1:$K$1, 'Data jarak '!$B$2:$K$11))</f>
        <v>186.18</v>
      </c>
      <c r="L35" s="56">
        <f t="array" ref="L35">XLOOKUP(H35&amp;I35, Sheet4!$A:$A&amp;Sheet4!$B:$B, Sheet4!$D:$D)</f>
        <v>16938.64</v>
      </c>
      <c r="M35" s="57">
        <f t="shared" si="1"/>
        <v>47304539.93</v>
      </c>
      <c r="N35" s="43"/>
      <c r="O35" s="40"/>
      <c r="P35" s="51" t="s">
        <v>36</v>
      </c>
      <c r="Q35" s="51" t="s">
        <v>39</v>
      </c>
      <c r="R35" s="51" t="s">
        <v>38</v>
      </c>
      <c r="S35" s="51">
        <v>1.0</v>
      </c>
      <c r="T35" s="58">
        <f t="array" ref="T35">XLOOKUP(P35, 'Data jarak '!$A$2:$A$11, XLOOKUP(R35, 'Data jarak '!$B$1:$K$1, 'Data jarak '!$B$2:$K$11))</f>
        <v>254.9509</v>
      </c>
      <c r="U35" s="24">
        <f t="array" ref="U35">XLOOKUP(P35&amp;Q35, Sheet4!$A:$A&amp;Sheet4!$B:$B, Sheet4!$D:$D)</f>
        <v>10479.28</v>
      </c>
      <c r="V35" s="43">
        <f t="shared" si="2"/>
        <v>40075528.01</v>
      </c>
      <c r="W35" s="43"/>
      <c r="X35" s="51" t="s">
        <v>38</v>
      </c>
      <c r="Y35" s="51" t="s">
        <v>32</v>
      </c>
      <c r="Z35" s="51" t="s">
        <v>39</v>
      </c>
      <c r="AA35" s="51">
        <v>1.0</v>
      </c>
      <c r="AB35" s="58">
        <f t="array" ref="AB35">XLOOKUP(Y35, 'Data jarak '!$A$2:$A$11, XLOOKUP(Z35, 'Data jarak '!$B$1:$K$1, 'Data jarak '!$B$2:$K$11))</f>
        <v>741.0224</v>
      </c>
      <c r="AC35" s="24">
        <f t="array" ref="AC35">XLOOKUP(X35&amp;Y35, Sheet4!$A:$A&amp;Sheet4!$B:$B, Sheet4!$D:$D)</f>
        <v>3869.6</v>
      </c>
      <c r="AD35" s="43">
        <f t="shared" si="3"/>
        <v>43011904.19</v>
      </c>
      <c r="AE35" s="40"/>
      <c r="AF35" s="43"/>
      <c r="AG35" s="43"/>
      <c r="AH35" s="43"/>
      <c r="AI35" s="40"/>
      <c r="AJ35" s="22" t="s">
        <v>36</v>
      </c>
      <c r="AK35" s="22" t="s">
        <v>35</v>
      </c>
      <c r="AL35" s="22" t="s">
        <v>35</v>
      </c>
      <c r="AM35" s="22" t="s">
        <v>39</v>
      </c>
      <c r="AN35" s="58">
        <f t="array" ref="AN35">XLOOKUP(AL35, 'Data jarak '!$A$2:$A$11, XLOOKUP(AM35, 'Data jarak '!$B$1:$K$1, 'Data jarak '!$B$2:$K$11))</f>
        <v>186.18</v>
      </c>
      <c r="AO35" s="24">
        <f t="array" ref="AO35">XLOOKUP(AJ35&amp;AK35, Sheet4!$A:$A&amp;Sheet4!$B:$B, Sheet4!$D:$D)</f>
        <v>5041.36</v>
      </c>
      <c r="AP35" s="43">
        <f t="shared" si="4"/>
        <v>10559254.55</v>
      </c>
      <c r="AQ35" s="40"/>
      <c r="AR35" s="40"/>
      <c r="AS35" s="40"/>
    </row>
    <row r="36">
      <c r="A36" s="40"/>
      <c r="B36" s="40"/>
      <c r="C36" s="40"/>
      <c r="D36" s="62" t="s">
        <v>36</v>
      </c>
      <c r="E36" s="62" t="s">
        <v>38</v>
      </c>
      <c r="F36" s="61">
        <v>575.8</v>
      </c>
      <c r="G36" s="40"/>
      <c r="H36" s="54" t="s">
        <v>35</v>
      </c>
      <c r="I36" s="54" t="s">
        <v>40</v>
      </c>
      <c r="J36" s="54">
        <v>1.0</v>
      </c>
      <c r="K36" s="55">
        <f t="array" ref="K36">XLOOKUP(H36, 'Data jarak '!$A$2:$A$11, XLOOKUP(I36, 'Data jarak '!$B$1:$K$1, 'Data jarak '!$B$2:$K$11))</f>
        <v>403.0102</v>
      </c>
      <c r="L36" s="56">
        <f t="array" ref="L36">XLOOKUP(H36&amp;I36, Sheet4!$A:$A&amp;Sheet4!$B:$B, Sheet4!$D:$D)</f>
        <v>23542.84</v>
      </c>
      <c r="M36" s="57">
        <f t="shared" si="1"/>
        <v>142320069.9</v>
      </c>
      <c r="N36" s="43"/>
      <c r="O36" s="40"/>
      <c r="P36" s="51" t="s">
        <v>36</v>
      </c>
      <c r="Q36" s="51" t="s">
        <v>35</v>
      </c>
      <c r="R36" s="51" t="s">
        <v>38</v>
      </c>
      <c r="S36" s="51">
        <v>1.0</v>
      </c>
      <c r="T36" s="58">
        <f t="array" ref="T36">XLOOKUP(P36, 'Data jarak '!$A$2:$A$11, XLOOKUP(R36, 'Data jarak '!$B$1:$K$1, 'Data jarak '!$B$2:$K$11))</f>
        <v>254.9509</v>
      </c>
      <c r="U36" s="24">
        <f t="array" ref="U36">XLOOKUP(P36&amp;Q36, Sheet4!$A:$A&amp;Sheet4!$B:$B, Sheet4!$D:$D)</f>
        <v>5041.36</v>
      </c>
      <c r="V36" s="43">
        <f t="shared" si="2"/>
        <v>19279489.04</v>
      </c>
      <c r="W36" s="43"/>
      <c r="X36" s="51" t="s">
        <v>38</v>
      </c>
      <c r="Y36" s="51" t="s">
        <v>33</v>
      </c>
      <c r="Z36" s="51" t="s">
        <v>39</v>
      </c>
      <c r="AA36" s="51">
        <v>1.0</v>
      </c>
      <c r="AB36" s="58">
        <f t="array" ref="AB36">XLOOKUP(Y36, 'Data jarak '!$A$2:$A$11, XLOOKUP(Z36, 'Data jarak '!$B$1:$K$1, 'Data jarak '!$B$2:$K$11))</f>
        <v>356.1662</v>
      </c>
      <c r="AC36" s="24">
        <f t="array" ref="AC36">XLOOKUP(X36&amp;Y36, Sheet4!$A:$A&amp;Sheet4!$B:$B, Sheet4!$D:$D)</f>
        <v>5400.56</v>
      </c>
      <c r="AD36" s="43">
        <f t="shared" si="3"/>
        <v>28852454</v>
      </c>
      <c r="AE36" s="40"/>
      <c r="AF36" s="43"/>
      <c r="AG36" s="43"/>
      <c r="AH36" s="43"/>
      <c r="AI36" s="40"/>
      <c r="AJ36" s="22" t="s">
        <v>36</v>
      </c>
      <c r="AK36" s="22" t="s">
        <v>40</v>
      </c>
      <c r="AL36" s="22" t="s">
        <v>38</v>
      </c>
      <c r="AM36" s="22" t="s">
        <v>40</v>
      </c>
      <c r="AN36" s="58">
        <f t="array" ref="AN36">XLOOKUP(AL36, 'Data jarak '!$A$2:$A$11, XLOOKUP(AM36, 'Data jarak '!$B$1:$K$1, 'Data jarak '!$B$2:$K$11))</f>
        <v>976.2167</v>
      </c>
      <c r="AO36" s="24">
        <f t="array" ref="AO36">XLOOKUP(AJ36&amp;AK36, Sheet4!$A:$A&amp;Sheet4!$B:$B, Sheet4!$D:$D)</f>
        <v>841.96</v>
      </c>
      <c r="AP36" s="43">
        <f t="shared" si="4"/>
        <v>9246773.393</v>
      </c>
      <c r="AQ36" s="40"/>
      <c r="AR36" s="40"/>
      <c r="AS36" s="40"/>
    </row>
    <row r="37">
      <c r="A37" s="40"/>
      <c r="B37" s="40"/>
      <c r="C37" s="40"/>
      <c r="D37" s="62" t="s">
        <v>36</v>
      </c>
      <c r="E37" s="62" t="s">
        <v>33</v>
      </c>
      <c r="F37" s="59">
        <v>4265.72</v>
      </c>
      <c r="G37" s="40"/>
      <c r="H37" s="54" t="s">
        <v>40</v>
      </c>
      <c r="I37" s="54" t="s">
        <v>35</v>
      </c>
      <c r="J37" s="54">
        <v>1.0</v>
      </c>
      <c r="K37" s="55">
        <f t="array" ref="K37">XLOOKUP(H37, 'Data jarak '!$A$2:$A$11, XLOOKUP(I37, 'Data jarak '!$B$1:$K$1, 'Data jarak '!$B$2:$K$11))</f>
        <v>403.0102</v>
      </c>
      <c r="L37" s="56">
        <f t="array" ref="L37">XLOOKUP(H37&amp;I37, Sheet4!$A:$A&amp;Sheet4!$B:$B, Sheet4!$D:$D)</f>
        <v>4287.96</v>
      </c>
      <c r="M37" s="57">
        <f t="shared" si="1"/>
        <v>25921374.26</v>
      </c>
      <c r="N37" s="43"/>
      <c r="O37" s="40"/>
      <c r="P37" s="51" t="s">
        <v>36</v>
      </c>
      <c r="Q37" s="51" t="s">
        <v>40</v>
      </c>
      <c r="R37" s="51" t="s">
        <v>38</v>
      </c>
      <c r="S37" s="51">
        <v>1.0</v>
      </c>
      <c r="T37" s="58">
        <f t="array" ref="T37">XLOOKUP(P37, 'Data jarak '!$A$2:$A$11, XLOOKUP(R37, 'Data jarak '!$B$1:$K$1, 'Data jarak '!$B$2:$K$11))</f>
        <v>254.9509</v>
      </c>
      <c r="U37" s="24">
        <f t="array" ref="U37">XLOOKUP(P37&amp;Q37, Sheet4!$A:$A&amp;Sheet4!$B:$B, Sheet4!$D:$D)</f>
        <v>841.96</v>
      </c>
      <c r="V37" s="43">
        <f t="shared" si="2"/>
        <v>3219876.896</v>
      </c>
      <c r="W37" s="43"/>
      <c r="X37" s="51" t="s">
        <v>38</v>
      </c>
      <c r="Y37" s="51" t="s">
        <v>37</v>
      </c>
      <c r="Z37" s="51" t="s">
        <v>40</v>
      </c>
      <c r="AA37" s="51">
        <v>1.0</v>
      </c>
      <c r="AB37" s="58">
        <f t="array" ref="AB37">XLOOKUP(Y37, 'Data jarak '!$A$2:$A$11, XLOOKUP(Z37, 'Data jarak '!$B$1:$K$1, 'Data jarak '!$B$2:$K$11))</f>
        <v>256.303</v>
      </c>
      <c r="AC37" s="24">
        <f t="array" ref="AC37">XLOOKUP(X37&amp;Y37, Sheet4!$A:$A&amp;Sheet4!$B:$B, Sheet4!$D:$D)</f>
        <v>5911.52</v>
      </c>
      <c r="AD37" s="43">
        <f t="shared" si="3"/>
        <v>22727104.66</v>
      </c>
      <c r="AE37" s="40"/>
      <c r="AF37" s="43"/>
      <c r="AG37" s="43"/>
      <c r="AH37" s="43"/>
      <c r="AI37" s="40"/>
      <c r="AJ37" s="22" t="s">
        <v>36</v>
      </c>
      <c r="AK37" s="22" t="s">
        <v>40</v>
      </c>
      <c r="AL37" s="22" t="s">
        <v>40</v>
      </c>
      <c r="AM37" s="22" t="s">
        <v>35</v>
      </c>
      <c r="AN37" s="58">
        <f t="array" ref="AN37">XLOOKUP(AL37, 'Data jarak '!$A$2:$A$11, XLOOKUP(AM37, 'Data jarak '!$B$1:$K$1, 'Data jarak '!$B$2:$K$11))</f>
        <v>403.0102</v>
      </c>
      <c r="AO37" s="24">
        <f t="array" ref="AO37">XLOOKUP(AJ37&amp;AK37, Sheet4!$A:$A&amp;Sheet4!$B:$B, Sheet4!$D:$D)</f>
        <v>841.96</v>
      </c>
      <c r="AP37" s="43">
        <f t="shared" si="4"/>
        <v>3817332.765</v>
      </c>
      <c r="AQ37" s="40"/>
      <c r="AR37" s="40"/>
      <c r="AS37" s="40"/>
    </row>
    <row r="38">
      <c r="A38" s="40"/>
      <c r="B38" s="40"/>
      <c r="C38" s="40"/>
      <c r="D38" s="62" t="s">
        <v>36</v>
      </c>
      <c r="E38" s="62" t="s">
        <v>39</v>
      </c>
      <c r="F38" s="59">
        <v>10479.28</v>
      </c>
      <c r="G38" s="40"/>
      <c r="H38" s="54" t="s">
        <v>40</v>
      </c>
      <c r="I38" s="54" t="s">
        <v>37</v>
      </c>
      <c r="J38" s="54">
        <v>1.0</v>
      </c>
      <c r="K38" s="55">
        <f t="array" ref="K38">XLOOKUP(H38, 'Data jarak '!$A$2:$A$11, XLOOKUP(I38, 'Data jarak '!$B$1:$K$1, 'Data jarak '!$B$2:$K$11))</f>
        <v>256.303</v>
      </c>
      <c r="L38" s="56">
        <f t="array" ref="L38">XLOOKUP(H38&amp;I38, Sheet4!$A:$A&amp;Sheet4!$B:$B, Sheet4!$D:$D)</f>
        <v>1785.4</v>
      </c>
      <c r="M38" s="57">
        <f t="shared" si="1"/>
        <v>6864050.643</v>
      </c>
      <c r="N38" s="43"/>
      <c r="O38" s="40"/>
      <c r="P38" s="51" t="s">
        <v>36</v>
      </c>
      <c r="Q38" s="51" t="s">
        <v>37</v>
      </c>
      <c r="R38" s="51" t="s">
        <v>38</v>
      </c>
      <c r="S38" s="51">
        <v>1.0</v>
      </c>
      <c r="T38" s="58">
        <f t="array" ref="T38">XLOOKUP(P38, 'Data jarak '!$A$2:$A$11, XLOOKUP(R38, 'Data jarak '!$B$1:$K$1, 'Data jarak '!$B$2:$K$11))</f>
        <v>254.9509</v>
      </c>
      <c r="U38" s="24">
        <f t="array" ref="U38">XLOOKUP(P38&amp;Q38, Sheet4!$A:$A&amp;Sheet4!$B:$B, Sheet4!$D:$D)</f>
        <v>2415.04</v>
      </c>
      <c r="V38" s="43">
        <f t="shared" si="2"/>
        <v>9235749.323</v>
      </c>
      <c r="W38" s="43"/>
      <c r="X38" s="51" t="s">
        <v>33</v>
      </c>
      <c r="Y38" s="51" t="s">
        <v>31</v>
      </c>
      <c r="Z38" s="51" t="s">
        <v>38</v>
      </c>
      <c r="AA38" s="51">
        <v>1.0</v>
      </c>
      <c r="AB38" s="58">
        <f t="array" ref="AB38">XLOOKUP(Y38, 'Data jarak '!$A$2:$A$11, XLOOKUP(Z38, 'Data jarak '!$B$1:$K$1, 'Data jarak '!$B$2:$K$11))</f>
        <v>1187.826</v>
      </c>
      <c r="AC38" s="24">
        <f t="array" ref="AC38">XLOOKUP(X38&amp;Y38, Sheet4!$A:$A&amp;Sheet4!$B:$B, Sheet4!$D:$D)</f>
        <v>2334.6</v>
      </c>
      <c r="AD38" s="43">
        <f t="shared" si="3"/>
        <v>41596478.69</v>
      </c>
      <c r="AE38" s="40"/>
      <c r="AF38" s="43"/>
      <c r="AG38" s="43"/>
      <c r="AH38" s="43"/>
      <c r="AI38" s="40"/>
      <c r="AJ38" s="22" t="s">
        <v>36</v>
      </c>
      <c r="AK38" s="22" t="s">
        <v>37</v>
      </c>
      <c r="AL38" s="22" t="s">
        <v>38</v>
      </c>
      <c r="AM38" s="22" t="s">
        <v>40</v>
      </c>
      <c r="AN38" s="58">
        <f t="array" ref="AN38">XLOOKUP(AL38, 'Data jarak '!$A$2:$A$11, XLOOKUP(AM38, 'Data jarak '!$B$1:$K$1, 'Data jarak '!$B$2:$K$11))</f>
        <v>976.2167</v>
      </c>
      <c r="AO38" s="24">
        <f t="array" ref="AO38">XLOOKUP(AJ38&amp;AK38, Sheet4!$A:$A&amp;Sheet4!$B:$B, Sheet4!$D:$D)</f>
        <v>2415.04</v>
      </c>
      <c r="AP38" s="43">
        <f t="shared" si="4"/>
        <v>26523026.77</v>
      </c>
      <c r="AQ38" s="40"/>
      <c r="AR38" s="40"/>
      <c r="AS38" s="40"/>
    </row>
    <row r="39">
      <c r="A39" s="40"/>
      <c r="B39" s="40"/>
      <c r="C39" s="40"/>
      <c r="D39" s="62" t="s">
        <v>36</v>
      </c>
      <c r="E39" s="62" t="s">
        <v>35</v>
      </c>
      <c r="F39" s="59">
        <v>5041.36</v>
      </c>
      <c r="G39" s="40"/>
      <c r="H39" s="54" t="s">
        <v>37</v>
      </c>
      <c r="I39" s="54" t="s">
        <v>36</v>
      </c>
      <c r="J39" s="54">
        <v>1.0</v>
      </c>
      <c r="K39" s="55">
        <f t="array" ref="K39">XLOOKUP(H39, 'Data jarak '!$A$2:$A$11, XLOOKUP(I39, 'Data jarak '!$B$1:$K$1, 'Data jarak '!$B$2:$K$11))</f>
        <v>1344.494</v>
      </c>
      <c r="L39" s="56">
        <f t="array" ref="L39">XLOOKUP(H39&amp;I39, Sheet4!$A:$A&amp;Sheet4!$B:$B, Sheet4!$D:$D)</f>
        <v>3648.96</v>
      </c>
      <c r="M39" s="57">
        <f t="shared" si="1"/>
        <v>73590072.39</v>
      </c>
      <c r="N39" s="43"/>
      <c r="O39" s="40"/>
      <c r="P39" s="51" t="s">
        <v>32</v>
      </c>
      <c r="Q39" s="51" t="s">
        <v>31</v>
      </c>
      <c r="R39" s="51" t="s">
        <v>38</v>
      </c>
      <c r="S39" s="51">
        <v>1.0</v>
      </c>
      <c r="T39" s="58">
        <f t="array" ref="T39">XLOOKUP(P39, 'Data jarak '!$A$2:$A$11, XLOOKUP(R39, 'Data jarak '!$B$1:$K$1, 'Data jarak '!$B$2:$K$11))</f>
        <v>386.2807</v>
      </c>
      <c r="U39" s="24">
        <f t="array" ref="U39">XLOOKUP(P39&amp;Q39, Sheet4!$A:$A&amp;Sheet4!$B:$B, Sheet4!$D:$D)</f>
        <v>2877.88</v>
      </c>
      <c r="V39" s="43">
        <f t="shared" si="2"/>
        <v>16675042.51</v>
      </c>
      <c r="W39" s="43"/>
      <c r="X39" s="51" t="s">
        <v>33</v>
      </c>
      <c r="Y39" s="51" t="s">
        <v>34</v>
      </c>
      <c r="Z39" s="51" t="s">
        <v>38</v>
      </c>
      <c r="AA39" s="51">
        <v>1.0</v>
      </c>
      <c r="AB39" s="58">
        <f t="array" ref="AB39">XLOOKUP(Y39, 'Data jarak '!$A$2:$A$11, XLOOKUP(Z39, 'Data jarak '!$B$1:$K$1, 'Data jarak '!$B$2:$K$11))</f>
        <v>790.5225</v>
      </c>
      <c r="AC39" s="24">
        <f t="array" ref="AC39">XLOOKUP(X39&amp;Y39, Sheet4!$A:$A&amp;Sheet4!$B:$B, Sheet4!$D:$D)</f>
        <v>2285.36</v>
      </c>
      <c r="AD39" s="43">
        <f t="shared" si="3"/>
        <v>27099427.51</v>
      </c>
      <c r="AE39" s="40"/>
      <c r="AF39" s="43"/>
      <c r="AG39" s="43"/>
      <c r="AH39" s="43"/>
      <c r="AI39" s="40"/>
      <c r="AJ39" s="22" t="s">
        <v>32</v>
      </c>
      <c r="AK39" s="22" t="s">
        <v>38</v>
      </c>
      <c r="AL39" s="22" t="s">
        <v>38</v>
      </c>
      <c r="AM39" s="22" t="s">
        <v>35</v>
      </c>
      <c r="AN39" s="58">
        <f t="array" ref="AN39">XLOOKUP(AL39, 'Data jarak '!$A$2:$A$11, XLOOKUP(AM39, 'Data jarak '!$B$1:$K$1, 'Data jarak '!$B$2:$K$11))</f>
        <v>647.3369</v>
      </c>
      <c r="AO39" s="24">
        <f t="array" ref="AO39">XLOOKUP(AJ39&amp;AK39, Sheet4!$A:$A&amp;Sheet4!$B:$B, Sheet4!$D:$D)</f>
        <v>1346.84</v>
      </c>
      <c r="AP39" s="43">
        <f t="shared" si="4"/>
        <v>9808416.342</v>
      </c>
      <c r="AQ39" s="40"/>
      <c r="AR39" s="40"/>
      <c r="AS39" s="40"/>
    </row>
    <row r="40">
      <c r="A40" s="40"/>
      <c r="B40" s="40"/>
      <c r="C40" s="40"/>
      <c r="D40" s="62" t="s">
        <v>36</v>
      </c>
      <c r="E40" s="62" t="s">
        <v>40</v>
      </c>
      <c r="F40" s="61">
        <v>841.95</v>
      </c>
      <c r="G40" s="40"/>
      <c r="H40" s="54" t="s">
        <v>37</v>
      </c>
      <c r="I40" s="54" t="s">
        <v>38</v>
      </c>
      <c r="J40" s="54">
        <v>1.0</v>
      </c>
      <c r="K40" s="55">
        <f t="array" ref="K40">XLOOKUP(H40, 'Data jarak '!$A$2:$A$11, XLOOKUP(I40, 'Data jarak '!$B$1:$K$1, 'Data jarak '!$B$2:$K$11))</f>
        <v>1196.258</v>
      </c>
      <c r="L40" s="56">
        <f t="array" ref="L40">XLOOKUP(H40&amp;I40, Sheet4!$A:$A&amp;Sheet4!$B:$B, Sheet4!$D:$D)</f>
        <v>4802.16</v>
      </c>
      <c r="M40" s="57">
        <f t="shared" si="1"/>
        <v>86169334.76</v>
      </c>
      <c r="N40" s="43"/>
      <c r="O40" s="40"/>
      <c r="P40" s="51" t="s">
        <v>32</v>
      </c>
      <c r="Q40" s="51" t="s">
        <v>34</v>
      </c>
      <c r="R40" s="51" t="s">
        <v>38</v>
      </c>
      <c r="S40" s="51">
        <v>1.0</v>
      </c>
      <c r="T40" s="58">
        <f t="array" ref="T40">XLOOKUP(P40, 'Data jarak '!$A$2:$A$11, XLOOKUP(R40, 'Data jarak '!$B$1:$K$1, 'Data jarak '!$B$2:$K$11))</f>
        <v>386.2807</v>
      </c>
      <c r="U40" s="24">
        <f t="array" ref="U40">XLOOKUP(P40&amp;Q40, Sheet4!$A:$A&amp;Sheet4!$B:$B, Sheet4!$D:$D)</f>
        <v>2837.36</v>
      </c>
      <c r="V40" s="43">
        <f t="shared" si="2"/>
        <v>16440261.1</v>
      </c>
      <c r="W40" s="43"/>
      <c r="X40" s="51" t="s">
        <v>33</v>
      </c>
      <c r="Y40" s="51" t="s">
        <v>36</v>
      </c>
      <c r="Z40" s="51" t="s">
        <v>38</v>
      </c>
      <c r="AA40" s="51">
        <v>1.0</v>
      </c>
      <c r="AB40" s="58">
        <f t="array" ref="AB40">XLOOKUP(Y40, 'Data jarak '!$A$2:$A$11, XLOOKUP(Z40, 'Data jarak '!$B$1:$K$1, 'Data jarak '!$B$2:$K$11))</f>
        <v>254.9509</v>
      </c>
      <c r="AC40" s="24">
        <f t="array" ref="AC40">XLOOKUP(X40&amp;Y40, Sheet4!$A:$A&amp;Sheet4!$B:$B, Sheet4!$D:$D)</f>
        <v>2193.32</v>
      </c>
      <c r="AD40" s="43">
        <f t="shared" si="3"/>
        <v>8387833.62</v>
      </c>
      <c r="AE40" s="40"/>
      <c r="AF40" s="43"/>
      <c r="AG40" s="43"/>
      <c r="AH40" s="43"/>
      <c r="AI40" s="40"/>
      <c r="AJ40" s="22" t="s">
        <v>32</v>
      </c>
      <c r="AK40" s="22" t="s">
        <v>38</v>
      </c>
      <c r="AL40" s="22" t="s">
        <v>39</v>
      </c>
      <c r="AM40" s="22" t="s">
        <v>38</v>
      </c>
      <c r="AN40" s="58">
        <f t="array" ref="AN40">XLOOKUP(AL40, 'Data jarak '!$A$2:$A$11, XLOOKUP(AM40, 'Data jarak '!$B$1:$K$1, 'Data jarak '!$B$2:$K$11))</f>
        <v>510.3344</v>
      </c>
      <c r="AO40" s="24">
        <f t="array" ref="AO40">XLOOKUP(AJ40&amp;AK40, Sheet4!$A:$A&amp;Sheet4!$B:$B, Sheet4!$D:$D)</f>
        <v>1346.84</v>
      </c>
      <c r="AP40" s="43">
        <f t="shared" si="4"/>
        <v>7732561.312</v>
      </c>
      <c r="AQ40" s="40"/>
      <c r="AR40" s="40"/>
      <c r="AS40" s="40"/>
    </row>
    <row r="41">
      <c r="A41" s="40"/>
      <c r="B41" s="40"/>
      <c r="C41" s="40"/>
      <c r="D41" s="62" t="s">
        <v>36</v>
      </c>
      <c r="E41" s="62" t="s">
        <v>37</v>
      </c>
      <c r="F41" s="59">
        <v>2415.04</v>
      </c>
      <c r="G41" s="40"/>
      <c r="H41" s="54" t="s">
        <v>37</v>
      </c>
      <c r="I41" s="54" t="s">
        <v>33</v>
      </c>
      <c r="J41" s="54">
        <v>1.0</v>
      </c>
      <c r="K41" s="55">
        <f t="array" ref="K41">XLOOKUP(H41, 'Data jarak '!$A$2:$A$11, XLOOKUP(I41, 'Data jarak '!$B$1:$K$1, 'Data jarak '!$B$2:$K$11))</f>
        <v>1024.79</v>
      </c>
      <c r="L41" s="56">
        <f t="array" ref="L41">XLOOKUP(H41&amp;I41, Sheet4!$A:$A&amp;Sheet4!$B:$B, Sheet4!$D:$D)</f>
        <v>19692.68</v>
      </c>
      <c r="M41" s="57">
        <f t="shared" si="1"/>
        <v>302712923.1</v>
      </c>
      <c r="N41" s="43"/>
      <c r="O41" s="40"/>
      <c r="P41" s="51" t="s">
        <v>32</v>
      </c>
      <c r="Q41" s="51" t="s">
        <v>36</v>
      </c>
      <c r="R41" s="51" t="s">
        <v>38</v>
      </c>
      <c r="S41" s="51">
        <v>1.0</v>
      </c>
      <c r="T41" s="58">
        <f t="array" ref="T41">XLOOKUP(P41, 'Data jarak '!$A$2:$A$11, XLOOKUP(R41, 'Data jarak '!$B$1:$K$1, 'Data jarak '!$B$2:$K$11))</f>
        <v>386.2807</v>
      </c>
      <c r="U41" s="24">
        <f t="array" ref="U41">XLOOKUP(P41&amp;Q41, Sheet4!$A:$A&amp;Sheet4!$B:$B, Sheet4!$D:$D)</f>
        <v>2340.64</v>
      </c>
      <c r="V41" s="43">
        <f t="shared" si="2"/>
        <v>13562160.86</v>
      </c>
      <c r="W41" s="43"/>
      <c r="X41" s="51" t="s">
        <v>33</v>
      </c>
      <c r="Y41" s="51" t="s">
        <v>32</v>
      </c>
      <c r="Z41" s="51" t="s">
        <v>38</v>
      </c>
      <c r="AA41" s="51">
        <v>1.0</v>
      </c>
      <c r="AB41" s="58">
        <f t="array" ref="AB41">XLOOKUP(Y41, 'Data jarak '!$A$2:$A$11, XLOOKUP(Z41, 'Data jarak '!$B$1:$K$1, 'Data jarak '!$B$2:$K$11))</f>
        <v>386.2807</v>
      </c>
      <c r="AC41" s="24">
        <f t="array" ref="AC41">XLOOKUP(X41&amp;Y41, Sheet4!$A:$A&amp;Sheet4!$B:$B, Sheet4!$D:$D)</f>
        <v>10240.56</v>
      </c>
      <c r="AD41" s="43">
        <f t="shared" si="3"/>
        <v>59335960.28</v>
      </c>
      <c r="AE41" s="40"/>
      <c r="AF41" s="43"/>
      <c r="AG41" s="43"/>
      <c r="AH41" s="43"/>
      <c r="AI41" s="40"/>
      <c r="AJ41" s="22" t="s">
        <v>32</v>
      </c>
      <c r="AK41" s="22" t="s">
        <v>39</v>
      </c>
      <c r="AL41" s="22" t="s">
        <v>38</v>
      </c>
      <c r="AM41" s="22" t="s">
        <v>39</v>
      </c>
      <c r="AN41" s="58">
        <f t="array" ref="AN41">XLOOKUP(AL41, 'Data jarak '!$A$2:$A$11, XLOOKUP(AM41, 'Data jarak '!$B$1:$K$1, 'Data jarak '!$B$2:$K$11))</f>
        <v>510.3344</v>
      </c>
      <c r="AO41" s="24">
        <f t="array" ref="AO41">XLOOKUP(AJ41&amp;AK41, Sheet4!$A:$A&amp;Sheet4!$B:$B, Sheet4!$D:$D)</f>
        <v>3023.8</v>
      </c>
      <c r="AP41" s="43">
        <f t="shared" si="4"/>
        <v>17360428.04</v>
      </c>
      <c r="AQ41" s="40"/>
      <c r="AR41" s="40"/>
      <c r="AS41" s="40"/>
    </row>
    <row r="42">
      <c r="A42" s="40"/>
      <c r="B42" s="40"/>
      <c r="C42" s="40"/>
      <c r="D42" s="63" t="s">
        <v>32</v>
      </c>
      <c r="E42" s="63" t="s">
        <v>31</v>
      </c>
      <c r="F42" s="59">
        <v>2877.88</v>
      </c>
      <c r="G42" s="40"/>
      <c r="H42" s="54" t="s">
        <v>37</v>
      </c>
      <c r="I42" s="54" t="s">
        <v>39</v>
      </c>
      <c r="J42" s="54">
        <v>1.0</v>
      </c>
      <c r="K42" s="55">
        <f t="array" ref="K42">XLOOKUP(H42, 'Data jarak '!$A$2:$A$11, XLOOKUP(I42, 'Data jarak '!$B$1:$K$1, 'Data jarak '!$B$2:$K$11))</f>
        <v>842.0161</v>
      </c>
      <c r="L42" s="56">
        <f t="array" ref="L42">XLOOKUP(H42&amp;I42, Sheet4!$A:$A&amp;Sheet4!$B:$B, Sheet4!$D:$D)</f>
        <v>4405.52</v>
      </c>
      <c r="M42" s="57">
        <f t="shared" si="1"/>
        <v>55642781.53</v>
      </c>
      <c r="N42" s="43"/>
      <c r="O42" s="40"/>
      <c r="P42" s="51" t="s">
        <v>32</v>
      </c>
      <c r="Q42" s="51" t="s">
        <v>38</v>
      </c>
      <c r="R42" s="51" t="s">
        <v>39</v>
      </c>
      <c r="S42" s="51">
        <v>1.0</v>
      </c>
      <c r="T42" s="58">
        <f t="array" ref="T42">XLOOKUP(P42, 'Data jarak '!$A$2:$A$11, XLOOKUP(R42, 'Data jarak '!$B$1:$K$1, 'Data jarak '!$B$2:$K$11))</f>
        <v>741.0224</v>
      </c>
      <c r="U42" s="24">
        <f t="array" ref="U42">XLOOKUP(P42&amp;Q42, Sheet4!$A:$A&amp;Sheet4!$B:$B, Sheet4!$D:$D)</f>
        <v>1346.84</v>
      </c>
      <c r="V42" s="43">
        <f t="shared" si="2"/>
        <v>14970579.14</v>
      </c>
      <c r="W42" s="43"/>
      <c r="X42" s="51" t="s">
        <v>33</v>
      </c>
      <c r="Y42" s="51" t="s">
        <v>37</v>
      </c>
      <c r="Z42" s="51" t="s">
        <v>40</v>
      </c>
      <c r="AA42" s="51">
        <v>1.0</v>
      </c>
      <c r="AB42" s="58">
        <f t="array" ref="AB42">XLOOKUP(Y42, 'Data jarak '!$A$2:$A$11, XLOOKUP(Z42, 'Data jarak '!$B$1:$K$1, 'Data jarak '!$B$2:$K$11))</f>
        <v>256.303</v>
      </c>
      <c r="AC42" s="24">
        <f t="array" ref="AC42">XLOOKUP(X42&amp;Y42, Sheet4!$A:$A&amp;Sheet4!$B:$B, Sheet4!$D:$D)</f>
        <v>6665.76</v>
      </c>
      <c r="AD42" s="43">
        <f t="shared" si="3"/>
        <v>25626814.28</v>
      </c>
      <c r="AE42" s="40"/>
      <c r="AF42" s="43"/>
      <c r="AG42" s="43"/>
      <c r="AH42" s="43"/>
      <c r="AI42" s="40"/>
      <c r="AJ42" s="22" t="s">
        <v>32</v>
      </c>
      <c r="AK42" s="22" t="s">
        <v>39</v>
      </c>
      <c r="AL42" s="22" t="s">
        <v>39</v>
      </c>
      <c r="AM42" s="22" t="s">
        <v>35</v>
      </c>
      <c r="AN42" s="58">
        <f t="array" ref="AN42">XLOOKUP(AL42, 'Data jarak '!$A$2:$A$11, XLOOKUP(AM42, 'Data jarak '!$B$1:$K$1, 'Data jarak '!$B$2:$K$11))</f>
        <v>186.18</v>
      </c>
      <c r="AO42" s="24">
        <f t="array" ref="AO42">XLOOKUP(AJ42&amp;AK42, Sheet4!$A:$A&amp;Sheet4!$B:$B, Sheet4!$D:$D)</f>
        <v>3023.8</v>
      </c>
      <c r="AP42" s="43">
        <f t="shared" si="4"/>
        <v>6333424.695</v>
      </c>
      <c r="AQ42" s="40"/>
      <c r="AR42" s="40"/>
      <c r="AS42" s="40"/>
    </row>
    <row r="43">
      <c r="A43" s="40"/>
      <c r="B43" s="40"/>
      <c r="C43" s="40"/>
      <c r="D43" s="63" t="s">
        <v>32</v>
      </c>
      <c r="E43" s="63" t="s">
        <v>34</v>
      </c>
      <c r="F43" s="59">
        <v>2837.35</v>
      </c>
      <c r="G43" s="40"/>
      <c r="H43" s="54" t="s">
        <v>37</v>
      </c>
      <c r="I43" s="54" t="s">
        <v>40</v>
      </c>
      <c r="J43" s="54">
        <v>1.0</v>
      </c>
      <c r="K43" s="55">
        <f t="array" ref="K43">XLOOKUP(H43, 'Data jarak '!$A$2:$A$11, XLOOKUP(I43, 'Data jarak '!$B$1:$K$1, 'Data jarak '!$B$2:$K$11))</f>
        <v>256.303</v>
      </c>
      <c r="L43" s="56">
        <f t="array" ref="L43">XLOOKUP(H43&amp;I43, Sheet4!$A:$A&amp;Sheet4!$B:$B, Sheet4!$D:$D)</f>
        <v>4601.36</v>
      </c>
      <c r="M43" s="57">
        <f t="shared" si="1"/>
        <v>17690135.58</v>
      </c>
      <c r="N43" s="43"/>
      <c r="O43" s="40"/>
      <c r="P43" s="51" t="s">
        <v>32</v>
      </c>
      <c r="Q43" s="51" t="s">
        <v>33</v>
      </c>
      <c r="R43" s="51" t="s">
        <v>38</v>
      </c>
      <c r="S43" s="51">
        <v>1.0</v>
      </c>
      <c r="T43" s="58">
        <f t="array" ref="T43">XLOOKUP(P43, 'Data jarak '!$A$2:$A$11, XLOOKUP(R43, 'Data jarak '!$B$1:$K$1, 'Data jarak '!$B$2:$K$11))</f>
        <v>386.2807</v>
      </c>
      <c r="U43" s="24">
        <f t="array" ref="U43">XLOOKUP(P43&amp;Q43, Sheet4!$A:$A&amp;Sheet4!$B:$B, Sheet4!$D:$D)</f>
        <v>7897.68</v>
      </c>
      <c r="V43" s="43">
        <f t="shared" si="2"/>
        <v>45760820.38</v>
      </c>
      <c r="W43" s="43"/>
      <c r="X43" s="51" t="s">
        <v>39</v>
      </c>
      <c r="Y43" s="51" t="s">
        <v>31</v>
      </c>
      <c r="Z43" s="51" t="s">
        <v>38</v>
      </c>
      <c r="AA43" s="51">
        <v>1.0</v>
      </c>
      <c r="AB43" s="58">
        <f t="array" ref="AB43">XLOOKUP(Y43, 'Data jarak '!$A$2:$A$11, XLOOKUP(Z43, 'Data jarak '!$B$1:$K$1, 'Data jarak '!$B$2:$K$11))</f>
        <v>1187.826</v>
      </c>
      <c r="AC43" s="24">
        <f t="array" ref="AC43">XLOOKUP(X43&amp;Y43, Sheet4!$A:$A&amp;Sheet4!$B:$B, Sheet4!$D:$D)</f>
        <v>2873.96</v>
      </c>
      <c r="AD43" s="43">
        <f t="shared" si="3"/>
        <v>51206466.16</v>
      </c>
      <c r="AE43" s="40"/>
      <c r="AF43" s="43"/>
      <c r="AG43" s="43"/>
      <c r="AH43" s="43"/>
      <c r="AI43" s="40"/>
      <c r="AJ43" s="22" t="s">
        <v>32</v>
      </c>
      <c r="AK43" s="22" t="s">
        <v>35</v>
      </c>
      <c r="AL43" s="22" t="s">
        <v>38</v>
      </c>
      <c r="AM43" s="22" t="s">
        <v>35</v>
      </c>
      <c r="AN43" s="58">
        <f t="array" ref="AN43">XLOOKUP(AL43, 'Data jarak '!$A$2:$A$11, XLOOKUP(AM43, 'Data jarak '!$B$1:$K$1, 'Data jarak '!$B$2:$K$11))</f>
        <v>647.3369</v>
      </c>
      <c r="AO43" s="24">
        <f t="array" ref="AO43">XLOOKUP(AJ43&amp;AK43, Sheet4!$A:$A&amp;Sheet4!$B:$B, Sheet4!$D:$D)</f>
        <v>15699.2</v>
      </c>
      <c r="AP43" s="43">
        <f t="shared" si="4"/>
        <v>114330053.9</v>
      </c>
      <c r="AQ43" s="40"/>
      <c r="AR43" s="40"/>
      <c r="AS43" s="40"/>
    </row>
    <row r="44">
      <c r="A44" s="40"/>
      <c r="B44" s="40"/>
      <c r="C44" s="40"/>
      <c r="D44" s="63" t="s">
        <v>32</v>
      </c>
      <c r="E44" s="63" t="s">
        <v>36</v>
      </c>
      <c r="F44" s="59">
        <v>2340.64</v>
      </c>
      <c r="G44" s="40"/>
      <c r="H44" s="43"/>
      <c r="I44" s="43"/>
      <c r="J44" s="43"/>
      <c r="K44" s="43"/>
      <c r="L44" s="43"/>
      <c r="M44" s="43"/>
      <c r="N44" s="43"/>
      <c r="O44" s="40"/>
      <c r="P44" s="51" t="s">
        <v>32</v>
      </c>
      <c r="Q44" s="51" t="s">
        <v>39</v>
      </c>
      <c r="R44" s="51" t="s">
        <v>38</v>
      </c>
      <c r="S44" s="51">
        <v>1.0</v>
      </c>
      <c r="T44" s="58">
        <f t="array" ref="T44">XLOOKUP(P44, 'Data jarak '!$A$2:$A$11, XLOOKUP(R44, 'Data jarak '!$B$1:$K$1, 'Data jarak '!$B$2:$K$11))</f>
        <v>386.2807</v>
      </c>
      <c r="U44" s="24">
        <f t="array" ref="U44">XLOOKUP(P44&amp;Q44, Sheet4!$A:$A&amp;Sheet4!$B:$B, Sheet4!$D:$D)</f>
        <v>3023.8</v>
      </c>
      <c r="V44" s="43">
        <f t="shared" si="2"/>
        <v>17520533.71</v>
      </c>
      <c r="W44" s="43"/>
      <c r="X44" s="51" t="s">
        <v>39</v>
      </c>
      <c r="Y44" s="51" t="s">
        <v>34</v>
      </c>
      <c r="Z44" s="51" t="s">
        <v>38</v>
      </c>
      <c r="AA44" s="51">
        <v>1.0</v>
      </c>
      <c r="AB44" s="58">
        <f t="array" ref="AB44">XLOOKUP(Y44, 'Data jarak '!$A$2:$A$11, XLOOKUP(Z44, 'Data jarak '!$B$1:$K$1, 'Data jarak '!$B$2:$K$11))</f>
        <v>790.5225</v>
      </c>
      <c r="AC44" s="24">
        <f t="array" ref="AC44">XLOOKUP(X44&amp;Y44, Sheet4!$A:$A&amp;Sheet4!$B:$B, Sheet4!$D:$D)</f>
        <v>3207.08</v>
      </c>
      <c r="AD44" s="43">
        <f t="shared" si="3"/>
        <v>38029033.49</v>
      </c>
      <c r="AE44" s="40"/>
      <c r="AF44" s="43"/>
      <c r="AG44" s="43"/>
      <c r="AH44" s="43"/>
      <c r="AI44" s="40"/>
      <c r="AJ44" s="22" t="s">
        <v>32</v>
      </c>
      <c r="AK44" s="22" t="s">
        <v>35</v>
      </c>
      <c r="AL44" s="22" t="s">
        <v>35</v>
      </c>
      <c r="AM44" s="22" t="s">
        <v>39</v>
      </c>
      <c r="AN44" s="58">
        <f t="array" ref="AN44">XLOOKUP(AL44, 'Data jarak '!$A$2:$A$11, XLOOKUP(AM44, 'Data jarak '!$B$1:$K$1, 'Data jarak '!$B$2:$K$11))</f>
        <v>186.18</v>
      </c>
      <c r="AO44" s="24">
        <f t="array" ref="AO44">XLOOKUP(AJ44&amp;AK44, Sheet4!$A:$A&amp;Sheet4!$B:$B, Sheet4!$D:$D)</f>
        <v>15699.2</v>
      </c>
      <c r="AP44" s="43">
        <f t="shared" si="4"/>
        <v>32882366.88</v>
      </c>
      <c r="AQ44" s="40"/>
      <c r="AR44" s="40"/>
      <c r="AS44" s="40"/>
    </row>
    <row r="45">
      <c r="A45" s="40"/>
      <c r="B45" s="40"/>
      <c r="C45" s="40"/>
      <c r="D45" s="63" t="s">
        <v>32</v>
      </c>
      <c r="E45" s="63" t="s">
        <v>32</v>
      </c>
      <c r="F45" s="53">
        <v>0.0</v>
      </c>
      <c r="G45" s="40"/>
      <c r="H45" s="43"/>
      <c r="I45" s="43"/>
      <c r="J45" s="43"/>
      <c r="K45" s="43"/>
      <c r="L45" s="43"/>
      <c r="M45" s="43"/>
      <c r="N45" s="43"/>
      <c r="O45" s="40"/>
      <c r="P45" s="51" t="s">
        <v>32</v>
      </c>
      <c r="Q45" s="51" t="s">
        <v>35</v>
      </c>
      <c r="R45" s="51" t="s">
        <v>38</v>
      </c>
      <c r="S45" s="51">
        <v>1.0</v>
      </c>
      <c r="T45" s="58">
        <f t="array" ref="T45">XLOOKUP(P45, 'Data jarak '!$A$2:$A$11, XLOOKUP(R45, 'Data jarak '!$B$1:$K$1, 'Data jarak '!$B$2:$K$11))</f>
        <v>386.2807</v>
      </c>
      <c r="U45" s="24">
        <f t="array" ref="U45">XLOOKUP(P45&amp;Q45, Sheet4!$A:$A&amp;Sheet4!$B:$B, Sheet4!$D:$D)</f>
        <v>15699.2</v>
      </c>
      <c r="V45" s="43">
        <f t="shared" si="2"/>
        <v>90964469.48</v>
      </c>
      <c r="W45" s="43"/>
      <c r="X45" s="51" t="s">
        <v>39</v>
      </c>
      <c r="Y45" s="51" t="s">
        <v>36</v>
      </c>
      <c r="Z45" s="51" t="s">
        <v>38</v>
      </c>
      <c r="AA45" s="51">
        <v>1.0</v>
      </c>
      <c r="AB45" s="58">
        <f t="array" ref="AB45">XLOOKUP(Y45, 'Data jarak '!$A$2:$A$11, XLOOKUP(Z45, 'Data jarak '!$B$1:$K$1, 'Data jarak '!$B$2:$K$11))</f>
        <v>254.9509</v>
      </c>
      <c r="AC45" s="24">
        <f t="array" ref="AC45">XLOOKUP(X45&amp;Y45, Sheet4!$A:$A&amp;Sheet4!$B:$B, Sheet4!$D:$D)</f>
        <v>22608.32</v>
      </c>
      <c r="AD45" s="43">
        <f t="shared" si="3"/>
        <v>86460172.97</v>
      </c>
      <c r="AE45" s="40"/>
      <c r="AF45" s="43"/>
      <c r="AG45" s="43"/>
      <c r="AH45" s="43"/>
      <c r="AI45" s="40"/>
      <c r="AJ45" s="22" t="s">
        <v>32</v>
      </c>
      <c r="AK45" s="22" t="s">
        <v>40</v>
      </c>
      <c r="AL45" s="22" t="s">
        <v>38</v>
      </c>
      <c r="AM45" s="22" t="s">
        <v>40</v>
      </c>
      <c r="AN45" s="58">
        <f t="array" ref="AN45">XLOOKUP(AL45, 'Data jarak '!$A$2:$A$11, XLOOKUP(AM45, 'Data jarak '!$B$1:$K$1, 'Data jarak '!$B$2:$K$11))</f>
        <v>976.2167</v>
      </c>
      <c r="AO45" s="24">
        <f t="array" ref="AO45">XLOOKUP(AJ45&amp;AK45, Sheet4!$A:$A&amp;Sheet4!$B:$B, Sheet4!$D:$D)</f>
        <v>2504.16</v>
      </c>
      <c r="AP45" s="43">
        <f t="shared" si="4"/>
        <v>27501781.63</v>
      </c>
      <c r="AQ45" s="40"/>
      <c r="AR45" s="40"/>
      <c r="AS45" s="40"/>
    </row>
    <row r="46">
      <c r="A46" s="40"/>
      <c r="B46" s="40"/>
      <c r="C46" s="40"/>
      <c r="D46" s="63" t="s">
        <v>32</v>
      </c>
      <c r="E46" s="63" t="s">
        <v>38</v>
      </c>
      <c r="F46" s="59">
        <v>1346.84</v>
      </c>
      <c r="G46" s="40"/>
      <c r="H46" s="43"/>
      <c r="I46" s="43"/>
      <c r="J46" s="43"/>
      <c r="K46" s="43"/>
      <c r="L46" s="43"/>
      <c r="M46" s="43"/>
      <c r="N46" s="43"/>
      <c r="O46" s="40"/>
      <c r="P46" s="51" t="s">
        <v>32</v>
      </c>
      <c r="Q46" s="51" t="s">
        <v>40</v>
      </c>
      <c r="R46" s="51" t="s">
        <v>38</v>
      </c>
      <c r="S46" s="51">
        <v>1.0</v>
      </c>
      <c r="T46" s="58">
        <f t="array" ref="T46">XLOOKUP(P46, 'Data jarak '!$A$2:$A$11, XLOOKUP(R46, 'Data jarak '!$B$1:$K$1, 'Data jarak '!$B$2:$K$11))</f>
        <v>386.2807</v>
      </c>
      <c r="U46" s="24">
        <f t="array" ref="U46">XLOOKUP(P46&amp;Q46, Sheet4!$A:$A&amp;Sheet4!$B:$B, Sheet4!$D:$D)</f>
        <v>2504.16</v>
      </c>
      <c r="V46" s="43">
        <f t="shared" si="2"/>
        <v>14509630.17</v>
      </c>
      <c r="W46" s="43"/>
      <c r="X46" s="51" t="s">
        <v>39</v>
      </c>
      <c r="Y46" s="51" t="s">
        <v>32</v>
      </c>
      <c r="Z46" s="51" t="s">
        <v>38</v>
      </c>
      <c r="AA46" s="51">
        <v>1.0</v>
      </c>
      <c r="AB46" s="58">
        <f t="array" ref="AB46">XLOOKUP(Y46, 'Data jarak '!$A$2:$A$11, XLOOKUP(Z46, 'Data jarak '!$B$1:$K$1, 'Data jarak '!$B$2:$K$11))</f>
        <v>386.2807</v>
      </c>
      <c r="AC46" s="24">
        <f t="array" ref="AC46">XLOOKUP(X46&amp;Y46, Sheet4!$A:$A&amp;Sheet4!$B:$B, Sheet4!$D:$D)</f>
        <v>6602.08</v>
      </c>
      <c r="AD46" s="43">
        <f t="shared" si="3"/>
        <v>38253841.26</v>
      </c>
      <c r="AE46" s="40"/>
      <c r="AF46" s="43"/>
      <c r="AG46" s="43"/>
      <c r="AH46" s="43"/>
      <c r="AI46" s="40"/>
      <c r="AJ46" s="22" t="s">
        <v>32</v>
      </c>
      <c r="AK46" s="22" t="s">
        <v>40</v>
      </c>
      <c r="AL46" s="22" t="s">
        <v>40</v>
      </c>
      <c r="AM46" s="22" t="s">
        <v>35</v>
      </c>
      <c r="AN46" s="58">
        <f t="array" ref="AN46">XLOOKUP(AL46, 'Data jarak '!$A$2:$A$11, XLOOKUP(AM46, 'Data jarak '!$B$1:$K$1, 'Data jarak '!$B$2:$K$11))</f>
        <v>403.0102</v>
      </c>
      <c r="AO46" s="24">
        <f t="array" ref="AO46">XLOOKUP(AJ46&amp;AK46, Sheet4!$A:$A&amp;Sheet4!$B:$B, Sheet4!$D:$D)</f>
        <v>2504.16</v>
      </c>
      <c r="AP46" s="43">
        <f t="shared" si="4"/>
        <v>11353522.75</v>
      </c>
      <c r="AQ46" s="40"/>
      <c r="AR46" s="40"/>
      <c r="AS46" s="40"/>
    </row>
    <row r="47">
      <c r="A47" s="40"/>
      <c r="B47" s="40"/>
      <c r="C47" s="40"/>
      <c r="D47" s="63" t="s">
        <v>32</v>
      </c>
      <c r="E47" s="63" t="s">
        <v>33</v>
      </c>
      <c r="F47" s="59">
        <v>7897.68</v>
      </c>
      <c r="G47" s="40"/>
      <c r="H47" s="43"/>
      <c r="I47" s="43"/>
      <c r="J47" s="43"/>
      <c r="K47" s="43"/>
      <c r="L47" s="43"/>
      <c r="M47" s="43"/>
      <c r="N47" s="43"/>
      <c r="O47" s="40"/>
      <c r="P47" s="51" t="s">
        <v>32</v>
      </c>
      <c r="Q47" s="51" t="s">
        <v>37</v>
      </c>
      <c r="R47" s="51" t="s">
        <v>38</v>
      </c>
      <c r="S47" s="51">
        <v>1.0</v>
      </c>
      <c r="T47" s="58">
        <f t="array" ref="T47">XLOOKUP(P47, 'Data jarak '!$A$2:$A$11, XLOOKUP(R47, 'Data jarak '!$B$1:$K$1, 'Data jarak '!$B$2:$K$11))</f>
        <v>386.2807</v>
      </c>
      <c r="U47" s="24">
        <f t="array" ref="U47">XLOOKUP(P47&amp;Q47, Sheet4!$A:$A&amp;Sheet4!$B:$B, Sheet4!$D:$D)</f>
        <v>12387.4</v>
      </c>
      <c r="V47" s="43">
        <f t="shared" si="2"/>
        <v>71775203.15</v>
      </c>
      <c r="W47" s="43"/>
      <c r="X47" s="51" t="s">
        <v>39</v>
      </c>
      <c r="Y47" s="51" t="s">
        <v>33</v>
      </c>
      <c r="Z47" s="51" t="s">
        <v>38</v>
      </c>
      <c r="AA47" s="51">
        <v>1.0</v>
      </c>
      <c r="AB47" s="58">
        <f t="array" ref="AB47">XLOOKUP(Y47, 'Data jarak '!$A$2:$A$11, XLOOKUP(Z47, 'Data jarak '!$B$1:$K$1, 'Data jarak '!$B$2:$K$11))</f>
        <v>176.4669</v>
      </c>
      <c r="AC47" s="24">
        <f t="array" ref="AC47">XLOOKUP(X47&amp;Y47, Sheet4!$A:$A&amp;Sheet4!$B:$B, Sheet4!$D:$D)</f>
        <v>11335.92</v>
      </c>
      <c r="AD47" s="43">
        <f t="shared" si="3"/>
        <v>30006219.92</v>
      </c>
      <c r="AE47" s="40"/>
      <c r="AF47" s="43"/>
      <c r="AG47" s="43"/>
      <c r="AH47" s="43"/>
      <c r="AI47" s="40"/>
      <c r="AJ47" s="22" t="s">
        <v>32</v>
      </c>
      <c r="AK47" s="22" t="s">
        <v>37</v>
      </c>
      <c r="AL47" s="22" t="s">
        <v>38</v>
      </c>
      <c r="AM47" s="22" t="s">
        <v>40</v>
      </c>
      <c r="AN47" s="58">
        <f t="array" ref="AN47">XLOOKUP(AL47, 'Data jarak '!$A$2:$A$11, XLOOKUP(AM47, 'Data jarak '!$B$1:$K$1, 'Data jarak '!$B$2:$K$11))</f>
        <v>976.2167</v>
      </c>
      <c r="AO47" s="24">
        <f t="array" ref="AO47">XLOOKUP(AJ47&amp;AK47, Sheet4!$A:$A&amp;Sheet4!$B:$B, Sheet4!$D:$D)</f>
        <v>12387.4</v>
      </c>
      <c r="AP47" s="43">
        <f t="shared" si="4"/>
        <v>136043850.9</v>
      </c>
      <c r="AQ47" s="40"/>
      <c r="AR47" s="40"/>
      <c r="AS47" s="40"/>
    </row>
    <row r="48">
      <c r="A48" s="40"/>
      <c r="B48" s="40"/>
      <c r="C48" s="40"/>
      <c r="D48" s="63" t="s">
        <v>32</v>
      </c>
      <c r="E48" s="63" t="s">
        <v>39</v>
      </c>
      <c r="F48" s="59">
        <v>3023.8</v>
      </c>
      <c r="G48" s="40"/>
      <c r="H48" s="43"/>
      <c r="I48" s="43"/>
      <c r="J48" s="43"/>
      <c r="K48" s="43"/>
      <c r="L48" s="43"/>
      <c r="M48" s="43"/>
      <c r="N48" s="43"/>
      <c r="O48" s="40"/>
      <c r="P48" s="51" t="s">
        <v>33</v>
      </c>
      <c r="Q48" s="51" t="s">
        <v>31</v>
      </c>
      <c r="R48" s="51" t="s">
        <v>38</v>
      </c>
      <c r="S48" s="51">
        <v>1.0</v>
      </c>
      <c r="T48" s="58">
        <f t="array" ref="T48">XLOOKUP(P48, 'Data jarak '!$A$2:$A$11, XLOOKUP(R48, 'Data jarak '!$B$1:$K$1, 'Data jarak '!$B$2:$K$11))</f>
        <v>176.4669</v>
      </c>
      <c r="U48" s="24">
        <f t="array" ref="U48">XLOOKUP(P48&amp;Q48, Sheet4!$A:$A&amp;Sheet4!$B:$B, Sheet4!$D:$D)</f>
        <v>2334.6</v>
      </c>
      <c r="V48" s="43">
        <f t="shared" si="2"/>
        <v>6179694.371</v>
      </c>
      <c r="W48" s="43"/>
      <c r="X48" s="51" t="s">
        <v>39</v>
      </c>
      <c r="Y48" s="51" t="s">
        <v>37</v>
      </c>
      <c r="Z48" s="51" t="s">
        <v>40</v>
      </c>
      <c r="AA48" s="51">
        <v>1.0</v>
      </c>
      <c r="AB48" s="58">
        <f t="array" ref="AB48">XLOOKUP(Y48, 'Data jarak '!$A$2:$A$11, XLOOKUP(Z48, 'Data jarak '!$B$1:$K$1, 'Data jarak '!$B$2:$K$11))</f>
        <v>256.303</v>
      </c>
      <c r="AC48" s="24">
        <f t="array" ref="AC48">XLOOKUP(X48&amp;Y48, Sheet4!$A:$A&amp;Sheet4!$B:$B, Sheet4!$D:$D)</f>
        <v>8546.4</v>
      </c>
      <c r="AD48" s="43">
        <f t="shared" si="3"/>
        <v>32857019.39</v>
      </c>
      <c r="AE48" s="40"/>
      <c r="AF48" s="43"/>
      <c r="AG48" s="43"/>
      <c r="AH48" s="43"/>
      <c r="AI48" s="40"/>
      <c r="AJ48" s="22" t="s">
        <v>38</v>
      </c>
      <c r="AK48" s="22" t="s">
        <v>31</v>
      </c>
      <c r="AL48" s="22" t="s">
        <v>38</v>
      </c>
      <c r="AM48" s="22" t="s">
        <v>39</v>
      </c>
      <c r="AN48" s="58">
        <f t="array" ref="AN48">XLOOKUP(AL48, 'Data jarak '!$A$2:$A$11, XLOOKUP(AM48, 'Data jarak '!$B$1:$K$1, 'Data jarak '!$B$2:$K$11))</f>
        <v>510.3344</v>
      </c>
      <c r="AO48" s="24">
        <f t="array" ref="AO48">XLOOKUP(AJ48&amp;AK48, Sheet4!$A:$A&amp;Sheet4!$B:$B, Sheet4!$D:$D)</f>
        <v>1916.56</v>
      </c>
      <c r="AP48" s="43">
        <f t="shared" si="4"/>
        <v>11003473.1</v>
      </c>
      <c r="AQ48" s="40"/>
      <c r="AR48" s="40"/>
      <c r="AS48" s="40"/>
    </row>
    <row r="49">
      <c r="A49" s="40"/>
      <c r="B49" s="40"/>
      <c r="C49" s="40"/>
      <c r="D49" s="63" t="s">
        <v>32</v>
      </c>
      <c r="E49" s="63" t="s">
        <v>35</v>
      </c>
      <c r="F49" s="59">
        <v>15699.2</v>
      </c>
      <c r="G49" s="40"/>
      <c r="H49" s="43"/>
      <c r="I49" s="43"/>
      <c r="J49" s="43"/>
      <c r="K49" s="43"/>
      <c r="L49" s="43"/>
      <c r="M49" s="43"/>
      <c r="N49" s="43"/>
      <c r="O49" s="40"/>
      <c r="P49" s="51" t="s">
        <v>33</v>
      </c>
      <c r="Q49" s="51" t="s">
        <v>34</v>
      </c>
      <c r="R49" s="51" t="s">
        <v>38</v>
      </c>
      <c r="S49" s="51">
        <v>1.0</v>
      </c>
      <c r="T49" s="58">
        <f t="array" ref="T49">XLOOKUP(P49, 'Data jarak '!$A$2:$A$11, XLOOKUP(R49, 'Data jarak '!$B$1:$K$1, 'Data jarak '!$B$2:$K$11))</f>
        <v>176.4669</v>
      </c>
      <c r="U49" s="24">
        <f t="array" ref="U49">XLOOKUP(P49&amp;Q49, Sheet4!$A:$A&amp;Sheet4!$B:$B, Sheet4!$D:$D)</f>
        <v>2285.36</v>
      </c>
      <c r="V49" s="43">
        <f t="shared" si="2"/>
        <v>6049355.919</v>
      </c>
      <c r="W49" s="43"/>
      <c r="X49" s="51" t="s">
        <v>35</v>
      </c>
      <c r="Y49" s="51" t="s">
        <v>31</v>
      </c>
      <c r="Z49" s="51" t="s">
        <v>38</v>
      </c>
      <c r="AA49" s="51">
        <v>1.0</v>
      </c>
      <c r="AB49" s="58">
        <f t="array" ref="AB49">XLOOKUP(Y49, 'Data jarak '!$A$2:$A$11, XLOOKUP(Z49, 'Data jarak '!$B$1:$K$1, 'Data jarak '!$B$2:$K$11))</f>
        <v>1187.826</v>
      </c>
      <c r="AC49" s="24">
        <f t="array" ref="AC49">XLOOKUP(X49&amp;Y49, Sheet4!$A:$A&amp;Sheet4!$B:$B, Sheet4!$D:$D)</f>
        <v>30724.48</v>
      </c>
      <c r="AD49" s="43">
        <f t="shared" si="3"/>
        <v>547430042.7</v>
      </c>
      <c r="AE49" s="40"/>
      <c r="AF49" s="43"/>
      <c r="AG49" s="43"/>
      <c r="AH49" s="43"/>
      <c r="AI49" s="40"/>
      <c r="AJ49" s="22" t="s">
        <v>38</v>
      </c>
      <c r="AK49" s="22" t="s">
        <v>34</v>
      </c>
      <c r="AL49" s="22" t="s">
        <v>38</v>
      </c>
      <c r="AM49" s="22" t="s">
        <v>39</v>
      </c>
      <c r="AN49" s="58">
        <f t="array" ref="AN49">XLOOKUP(AL49, 'Data jarak '!$A$2:$A$11, XLOOKUP(AM49, 'Data jarak '!$B$1:$K$1, 'Data jarak '!$B$2:$K$11))</f>
        <v>510.3344</v>
      </c>
      <c r="AO49" s="24">
        <f t="array" ref="AO49">XLOOKUP(AJ49&amp;AK49, Sheet4!$A:$A&amp;Sheet4!$B:$B, Sheet4!$D:$D)</f>
        <v>453.68</v>
      </c>
      <c r="AP49" s="43">
        <f t="shared" si="4"/>
        <v>2604695.744</v>
      </c>
      <c r="AQ49" s="40"/>
      <c r="AR49" s="40"/>
      <c r="AS49" s="40"/>
    </row>
    <row r="50">
      <c r="A50" s="40"/>
      <c r="B50" s="40"/>
      <c r="C50" s="40"/>
      <c r="D50" s="63" t="s">
        <v>32</v>
      </c>
      <c r="E50" s="63" t="s">
        <v>40</v>
      </c>
      <c r="F50" s="59">
        <v>2504.17</v>
      </c>
      <c r="G50" s="40"/>
      <c r="H50" s="43"/>
      <c r="I50" s="43"/>
      <c r="J50" s="43"/>
      <c r="K50" s="43"/>
      <c r="L50" s="43"/>
      <c r="M50" s="43"/>
      <c r="N50" s="43"/>
      <c r="O50" s="40"/>
      <c r="P50" s="51" t="s">
        <v>33</v>
      </c>
      <c r="Q50" s="51" t="s">
        <v>36</v>
      </c>
      <c r="R50" s="51" t="s">
        <v>38</v>
      </c>
      <c r="S50" s="51">
        <v>1.0</v>
      </c>
      <c r="T50" s="58">
        <f t="array" ref="T50">XLOOKUP(P50, 'Data jarak '!$A$2:$A$11, XLOOKUP(R50, 'Data jarak '!$B$1:$K$1, 'Data jarak '!$B$2:$K$11))</f>
        <v>176.4669</v>
      </c>
      <c r="U50" s="24">
        <f t="array" ref="U50">XLOOKUP(P50&amp;Q50, Sheet4!$A:$A&amp;Sheet4!$B:$B, Sheet4!$D:$D)</f>
        <v>2193.32</v>
      </c>
      <c r="V50" s="43">
        <f t="shared" si="2"/>
        <v>5805725.717</v>
      </c>
      <c r="W50" s="43"/>
      <c r="X50" s="51" t="s">
        <v>35</v>
      </c>
      <c r="Y50" s="51" t="s">
        <v>34</v>
      </c>
      <c r="Z50" s="51" t="s">
        <v>38</v>
      </c>
      <c r="AA50" s="51">
        <v>1.0</v>
      </c>
      <c r="AB50" s="58">
        <f t="array" ref="AB50">XLOOKUP(Y50, 'Data jarak '!$A$2:$A$11, XLOOKUP(Z50, 'Data jarak '!$B$1:$K$1, 'Data jarak '!$B$2:$K$11))</f>
        <v>790.5225</v>
      </c>
      <c r="AC50" s="24">
        <f t="array" ref="AC50">XLOOKUP(X50&amp;Y50, Sheet4!$A:$A&amp;Sheet4!$B:$B, Sheet4!$D:$D)</f>
        <v>6826.24</v>
      </c>
      <c r="AD50" s="43">
        <f t="shared" si="3"/>
        <v>80944444.66</v>
      </c>
      <c r="AE50" s="40"/>
      <c r="AF50" s="43"/>
      <c r="AG50" s="43"/>
      <c r="AH50" s="43"/>
      <c r="AI50" s="40"/>
      <c r="AJ50" s="22" t="s">
        <v>38</v>
      </c>
      <c r="AK50" s="22" t="s">
        <v>36</v>
      </c>
      <c r="AL50" s="22" t="s">
        <v>38</v>
      </c>
      <c r="AM50" s="22" t="s">
        <v>39</v>
      </c>
      <c r="AN50" s="58">
        <f t="array" ref="AN50">XLOOKUP(AL50, 'Data jarak '!$A$2:$A$11, XLOOKUP(AM50, 'Data jarak '!$B$1:$K$1, 'Data jarak '!$B$2:$K$11))</f>
        <v>510.3344</v>
      </c>
      <c r="AO50" s="24">
        <f t="array" ref="AO50">XLOOKUP(AJ50&amp;AK50, Sheet4!$A:$A&amp;Sheet4!$B:$B, Sheet4!$D:$D)</f>
        <v>821.08</v>
      </c>
      <c r="AP50" s="43">
        <f t="shared" si="4"/>
        <v>4714035.403</v>
      </c>
      <c r="AQ50" s="40"/>
      <c r="AR50" s="40"/>
      <c r="AS50" s="40"/>
    </row>
    <row r="51">
      <c r="A51" s="40"/>
      <c r="B51" s="40"/>
      <c r="C51" s="40"/>
      <c r="D51" s="63" t="s">
        <v>32</v>
      </c>
      <c r="E51" s="63" t="s">
        <v>37</v>
      </c>
      <c r="F51" s="59">
        <v>12387.4</v>
      </c>
      <c r="G51" s="40"/>
      <c r="H51" s="43"/>
      <c r="I51" s="43"/>
      <c r="J51" s="43"/>
      <c r="K51" s="43"/>
      <c r="L51" s="43"/>
      <c r="M51" s="43"/>
      <c r="N51" s="43"/>
      <c r="O51" s="40"/>
      <c r="P51" s="51" t="s">
        <v>33</v>
      </c>
      <c r="Q51" s="51" t="s">
        <v>32</v>
      </c>
      <c r="R51" s="51" t="s">
        <v>38</v>
      </c>
      <c r="S51" s="51">
        <v>1.0</v>
      </c>
      <c r="T51" s="58">
        <f t="array" ref="T51">XLOOKUP(P51, 'Data jarak '!$A$2:$A$11, XLOOKUP(R51, 'Data jarak '!$B$1:$K$1, 'Data jarak '!$B$2:$K$11))</f>
        <v>176.4669</v>
      </c>
      <c r="U51" s="24">
        <f t="array" ref="U51">XLOOKUP(P51&amp;Q51, Sheet4!$A:$A&amp;Sheet4!$B:$B, Sheet4!$D:$D)</f>
        <v>10240.56</v>
      </c>
      <c r="V51" s="43">
        <f t="shared" si="2"/>
        <v>27106798.16</v>
      </c>
      <c r="W51" s="43"/>
      <c r="X51" s="51" t="s">
        <v>35</v>
      </c>
      <c r="Y51" s="51" t="s">
        <v>36</v>
      </c>
      <c r="Z51" s="51" t="s">
        <v>38</v>
      </c>
      <c r="AA51" s="51">
        <v>1.0</v>
      </c>
      <c r="AB51" s="58">
        <f t="array" ref="AB51">XLOOKUP(Y51, 'Data jarak '!$A$2:$A$11, XLOOKUP(Z51, 'Data jarak '!$B$1:$K$1, 'Data jarak '!$B$2:$K$11))</f>
        <v>254.9509</v>
      </c>
      <c r="AC51" s="24">
        <f t="array" ref="AC51">XLOOKUP(X51&amp;Y51, Sheet4!$A:$A&amp;Sheet4!$B:$B, Sheet4!$D:$D)</f>
        <v>12802.76</v>
      </c>
      <c r="AD51" s="43">
        <f t="shared" si="3"/>
        <v>48961127.77</v>
      </c>
      <c r="AE51" s="40"/>
      <c r="AF51" s="43"/>
      <c r="AG51" s="43"/>
      <c r="AH51" s="43"/>
      <c r="AI51" s="40"/>
      <c r="AJ51" s="22" t="s">
        <v>38</v>
      </c>
      <c r="AK51" s="22" t="s">
        <v>32</v>
      </c>
      <c r="AL51" s="22" t="s">
        <v>38</v>
      </c>
      <c r="AM51" s="22" t="s">
        <v>39</v>
      </c>
      <c r="AN51" s="58">
        <f t="array" ref="AN51">XLOOKUP(AL51, 'Data jarak '!$A$2:$A$11, XLOOKUP(AM51, 'Data jarak '!$B$1:$K$1, 'Data jarak '!$B$2:$K$11))</f>
        <v>510.3344</v>
      </c>
      <c r="AO51" s="24">
        <f t="array" ref="AO51">XLOOKUP(AJ51&amp;AK51, Sheet4!$A:$A&amp;Sheet4!$B:$B, Sheet4!$D:$D)</f>
        <v>3869.6</v>
      </c>
      <c r="AP51" s="43">
        <f t="shared" si="4"/>
        <v>22216387.44</v>
      </c>
      <c r="AQ51" s="40"/>
      <c r="AR51" s="40"/>
      <c r="AS51" s="40"/>
    </row>
    <row r="52">
      <c r="A52" s="40"/>
      <c r="B52" s="40"/>
      <c r="C52" s="40"/>
      <c r="D52" s="64" t="s">
        <v>38</v>
      </c>
      <c r="E52" s="64" t="s">
        <v>31</v>
      </c>
      <c r="F52" s="59">
        <v>1916.56</v>
      </c>
      <c r="G52" s="40"/>
      <c r="H52" s="43"/>
      <c r="I52" s="43"/>
      <c r="J52" s="43"/>
      <c r="K52" s="43"/>
      <c r="L52" s="43"/>
      <c r="M52" s="43"/>
      <c r="N52" s="43"/>
      <c r="O52" s="40"/>
      <c r="P52" s="51" t="s">
        <v>33</v>
      </c>
      <c r="Q52" s="51" t="s">
        <v>38</v>
      </c>
      <c r="R52" s="51" t="s">
        <v>39</v>
      </c>
      <c r="S52" s="51">
        <v>1.0</v>
      </c>
      <c r="T52" s="58">
        <f t="array" ref="T52">XLOOKUP(P52, 'Data jarak '!$A$2:$A$11, XLOOKUP(R52, 'Data jarak '!$B$1:$K$1, 'Data jarak '!$B$2:$K$11))</f>
        <v>356.1662</v>
      </c>
      <c r="U52" s="24">
        <f t="array" ref="U52">XLOOKUP(P52&amp;Q52, Sheet4!$A:$A&amp;Sheet4!$B:$B, Sheet4!$D:$D)</f>
        <v>2693.56</v>
      </c>
      <c r="V52" s="43">
        <f t="shared" si="2"/>
        <v>14390325.45</v>
      </c>
      <c r="W52" s="43"/>
      <c r="X52" s="51" t="s">
        <v>35</v>
      </c>
      <c r="Y52" s="51" t="s">
        <v>32</v>
      </c>
      <c r="Z52" s="51" t="s">
        <v>38</v>
      </c>
      <c r="AA52" s="51">
        <v>1.0</v>
      </c>
      <c r="AB52" s="58">
        <f t="array" ref="AB52">XLOOKUP(Y52, 'Data jarak '!$A$2:$A$11, XLOOKUP(Z52, 'Data jarak '!$B$1:$K$1, 'Data jarak '!$B$2:$K$11))</f>
        <v>386.2807</v>
      </c>
      <c r="AC52" s="24">
        <f t="array" ref="AC52">XLOOKUP(X52&amp;Y52, Sheet4!$A:$A&amp;Sheet4!$B:$B, Sheet4!$D:$D)</f>
        <v>72304</v>
      </c>
      <c r="AD52" s="43">
        <f t="shared" si="3"/>
        <v>418944596</v>
      </c>
      <c r="AE52" s="40"/>
      <c r="AF52" s="43"/>
      <c r="AG52" s="43"/>
      <c r="AH52" s="43"/>
      <c r="AI52" s="40"/>
      <c r="AJ52" s="22" t="s">
        <v>38</v>
      </c>
      <c r="AK52" s="22" t="s">
        <v>33</v>
      </c>
      <c r="AL52" s="22" t="s">
        <v>38</v>
      </c>
      <c r="AM52" s="22" t="s">
        <v>39</v>
      </c>
      <c r="AN52" s="58">
        <f t="array" ref="AN52">XLOOKUP(AL52, 'Data jarak '!$A$2:$A$11, XLOOKUP(AM52, 'Data jarak '!$B$1:$K$1, 'Data jarak '!$B$2:$K$11))</f>
        <v>510.3344</v>
      </c>
      <c r="AO52" s="24">
        <f t="array" ref="AO52">XLOOKUP(AJ52&amp;AK52, Sheet4!$A:$A&amp;Sheet4!$B:$B, Sheet4!$D:$D)</f>
        <v>5400.56</v>
      </c>
      <c r="AP52" s="43">
        <f t="shared" si="4"/>
        <v>31006029.91</v>
      </c>
      <c r="AQ52" s="40"/>
      <c r="AR52" s="40"/>
      <c r="AS52" s="40"/>
    </row>
    <row r="53">
      <c r="A53" s="40"/>
      <c r="B53" s="40"/>
      <c r="C53" s="40"/>
      <c r="D53" s="64" t="s">
        <v>38</v>
      </c>
      <c r="E53" s="64" t="s">
        <v>34</v>
      </c>
      <c r="F53" s="61">
        <v>453.68</v>
      </c>
      <c r="G53" s="40"/>
      <c r="H53" s="43"/>
      <c r="I53" s="43"/>
      <c r="J53" s="43"/>
      <c r="K53" s="43"/>
      <c r="L53" s="43"/>
      <c r="M53" s="43"/>
      <c r="N53" s="43"/>
      <c r="O53" s="40"/>
      <c r="P53" s="51" t="s">
        <v>33</v>
      </c>
      <c r="Q53" s="51" t="s">
        <v>39</v>
      </c>
      <c r="R53" s="51" t="s">
        <v>38</v>
      </c>
      <c r="S53" s="51">
        <v>1.0</v>
      </c>
      <c r="T53" s="58">
        <f t="array" ref="T53">XLOOKUP(P53, 'Data jarak '!$A$2:$A$11, XLOOKUP(R53, 'Data jarak '!$B$1:$K$1, 'Data jarak '!$B$2:$K$11))</f>
        <v>176.4669</v>
      </c>
      <c r="U53" s="24">
        <f t="array" ref="U53">XLOOKUP(P53&amp;Q53, Sheet4!$A:$A&amp;Sheet4!$B:$B, Sheet4!$D:$D)</f>
        <v>2535.32</v>
      </c>
      <c r="V53" s="43">
        <f t="shared" si="2"/>
        <v>6711000.914</v>
      </c>
      <c r="W53" s="43"/>
      <c r="X53" s="51" t="s">
        <v>35</v>
      </c>
      <c r="Y53" s="51" t="s">
        <v>33</v>
      </c>
      <c r="Z53" s="51" t="s">
        <v>39</v>
      </c>
      <c r="AA53" s="51">
        <v>1.0</v>
      </c>
      <c r="AB53" s="58">
        <f t="array" ref="AB53">XLOOKUP(Y53, 'Data jarak '!$A$2:$A$11, XLOOKUP(Z53, 'Data jarak '!$B$1:$K$1, 'Data jarak '!$B$2:$K$11))</f>
        <v>356.1662</v>
      </c>
      <c r="AC53" s="24">
        <f t="array" ref="AC53">XLOOKUP(X53&amp;Y53, Sheet4!$A:$A&amp;Sheet4!$B:$B, Sheet4!$D:$D)</f>
        <v>121568.92</v>
      </c>
      <c r="AD53" s="43">
        <f t="shared" si="3"/>
        <v>649481104.1</v>
      </c>
      <c r="AE53" s="40"/>
      <c r="AF53" s="43"/>
      <c r="AG53" s="43"/>
      <c r="AH53" s="43"/>
      <c r="AI53" s="40"/>
      <c r="AJ53" s="22" t="s">
        <v>38</v>
      </c>
      <c r="AK53" s="22" t="s">
        <v>39</v>
      </c>
      <c r="AL53" s="22" t="s">
        <v>38</v>
      </c>
      <c r="AM53" s="22" t="s">
        <v>39</v>
      </c>
      <c r="AN53" s="58">
        <f t="array" ref="AN53">XLOOKUP(AL53, 'Data jarak '!$A$2:$A$11, XLOOKUP(AM53, 'Data jarak '!$B$1:$K$1, 'Data jarak '!$B$2:$K$11))</f>
        <v>510.3344</v>
      </c>
      <c r="AO53" s="24">
        <f t="array" ref="AO53">XLOOKUP(AJ53&amp;AK53, Sheet4!$A:$A&amp;Sheet4!$B:$B, Sheet4!$D:$D)</f>
        <v>977.52</v>
      </c>
      <c r="AP53" s="43">
        <f t="shared" si="4"/>
        <v>5612198.43</v>
      </c>
      <c r="AQ53" s="40"/>
      <c r="AR53" s="40"/>
      <c r="AS53" s="40"/>
    </row>
    <row r="54">
      <c r="A54" s="40"/>
      <c r="B54" s="40"/>
      <c r="C54" s="40"/>
      <c r="D54" s="64" t="s">
        <v>38</v>
      </c>
      <c r="E54" s="64" t="s">
        <v>36</v>
      </c>
      <c r="F54" s="61">
        <v>821.08</v>
      </c>
      <c r="G54" s="40"/>
      <c r="H54" s="40"/>
      <c r="I54" s="40"/>
      <c r="J54" s="40"/>
      <c r="K54" s="40"/>
      <c r="L54" s="40"/>
      <c r="M54" s="40"/>
      <c r="N54" s="40"/>
      <c r="O54" s="40"/>
      <c r="P54" s="51" t="s">
        <v>33</v>
      </c>
      <c r="Q54" s="51" t="s">
        <v>35</v>
      </c>
      <c r="R54" s="51" t="s">
        <v>39</v>
      </c>
      <c r="S54" s="51">
        <v>1.0</v>
      </c>
      <c r="T54" s="58">
        <f t="array" ref="T54">XLOOKUP(P54, 'Data jarak '!$A$2:$A$11, XLOOKUP(R54, 'Data jarak '!$B$1:$K$1, 'Data jarak '!$B$2:$K$11))</f>
        <v>356.1662</v>
      </c>
      <c r="U54" s="24">
        <f t="array" ref="U54">XLOOKUP(P54&amp;Q54, Sheet4!$A:$A&amp;Sheet4!$B:$B, Sheet4!$D:$D)</f>
        <v>33272.84</v>
      </c>
      <c r="V54" s="43">
        <f t="shared" si="2"/>
        <v>177759914.8</v>
      </c>
      <c r="W54" s="40"/>
      <c r="X54" s="51" t="s">
        <v>35</v>
      </c>
      <c r="Y54" s="51" t="s">
        <v>37</v>
      </c>
      <c r="Z54" s="51" t="s">
        <v>40</v>
      </c>
      <c r="AA54" s="51">
        <v>1.0</v>
      </c>
      <c r="AB54" s="58">
        <f t="array" ref="AB54">XLOOKUP(Y54, 'Data jarak '!$A$2:$A$11, XLOOKUP(Z54, 'Data jarak '!$B$1:$K$1, 'Data jarak '!$B$2:$K$11))</f>
        <v>256.303</v>
      </c>
      <c r="AC54" s="24">
        <f t="array" ref="AC54">XLOOKUP(X54&amp;Y54, Sheet4!$A:$A&amp;Sheet4!$B:$B, Sheet4!$D:$D)</f>
        <v>101245.44</v>
      </c>
      <c r="AD54" s="43">
        <f t="shared" si="3"/>
        <v>389242650.1</v>
      </c>
      <c r="AE54" s="40"/>
      <c r="AF54" s="43"/>
      <c r="AG54" s="43"/>
      <c r="AH54" s="43"/>
      <c r="AI54" s="40"/>
      <c r="AJ54" s="22" t="s">
        <v>38</v>
      </c>
      <c r="AK54" s="22" t="s">
        <v>39</v>
      </c>
      <c r="AL54" s="22" t="s">
        <v>39</v>
      </c>
      <c r="AM54" s="22" t="s">
        <v>35</v>
      </c>
      <c r="AN54" s="58">
        <f t="array" ref="AN54">XLOOKUP(AL54, 'Data jarak '!$A$2:$A$11, XLOOKUP(AM54, 'Data jarak '!$B$1:$K$1, 'Data jarak '!$B$2:$K$11))</f>
        <v>186.18</v>
      </c>
      <c r="AO54" s="24">
        <f t="array" ref="AO54">XLOOKUP(AJ54&amp;AK54, Sheet4!$A:$A&amp;Sheet4!$B:$B, Sheet4!$D:$D)</f>
        <v>977.52</v>
      </c>
      <c r="AP54" s="43">
        <f t="shared" si="4"/>
        <v>2047440.078</v>
      </c>
      <c r="AQ54" s="40"/>
      <c r="AR54" s="40"/>
      <c r="AS54" s="40"/>
    </row>
    <row r="55">
      <c r="A55" s="40"/>
      <c r="B55" s="40"/>
      <c r="C55" s="40"/>
      <c r="D55" s="64" t="s">
        <v>38</v>
      </c>
      <c r="E55" s="64" t="s">
        <v>32</v>
      </c>
      <c r="F55" s="59">
        <v>3869.6</v>
      </c>
      <c r="G55" s="40"/>
      <c r="H55" s="40"/>
      <c r="I55" s="40"/>
      <c r="J55" s="40"/>
      <c r="K55" s="40"/>
      <c r="L55" s="40"/>
      <c r="M55" s="40"/>
      <c r="N55" s="40"/>
      <c r="O55" s="40"/>
      <c r="P55" s="51" t="s">
        <v>33</v>
      </c>
      <c r="Q55" s="51" t="s">
        <v>40</v>
      </c>
      <c r="R55" s="51" t="s">
        <v>39</v>
      </c>
      <c r="S55" s="51">
        <v>1.0</v>
      </c>
      <c r="T55" s="58">
        <f t="array" ref="T55">XLOOKUP(P55, 'Data jarak '!$A$2:$A$11, XLOOKUP(R55, 'Data jarak '!$B$1:$K$1, 'Data jarak '!$B$2:$K$11))</f>
        <v>356.1662</v>
      </c>
      <c r="U55" s="24">
        <f t="array" ref="U55">XLOOKUP(P55&amp;Q55, Sheet4!$A:$A&amp;Sheet4!$B:$B, Sheet4!$D:$D)</f>
        <v>2248.88</v>
      </c>
      <c r="V55" s="43">
        <f t="shared" si="2"/>
        <v>12014625.66</v>
      </c>
      <c r="W55" s="40"/>
      <c r="X55" s="51" t="s">
        <v>40</v>
      </c>
      <c r="Y55" s="51" t="s">
        <v>31</v>
      </c>
      <c r="Z55" s="51" t="s">
        <v>38</v>
      </c>
      <c r="AA55" s="51">
        <v>1.0</v>
      </c>
      <c r="AB55" s="58">
        <f t="array" ref="AB55">XLOOKUP(Y55, 'Data jarak '!$A$2:$A$11, XLOOKUP(Z55, 'Data jarak '!$B$1:$K$1, 'Data jarak '!$B$2:$K$11))</f>
        <v>1187.826</v>
      </c>
      <c r="AC55" s="24">
        <f t="array" ref="AC55">XLOOKUP(X55&amp;Y55, Sheet4!$A:$A&amp;Sheet4!$B:$B, Sheet4!$D:$D)</f>
        <v>535.68</v>
      </c>
      <c r="AD55" s="43">
        <f t="shared" si="3"/>
        <v>9544419.475</v>
      </c>
      <c r="AE55" s="40"/>
      <c r="AF55" s="43"/>
      <c r="AG55" s="43"/>
      <c r="AH55" s="43"/>
      <c r="AI55" s="40"/>
      <c r="AJ55" s="22" t="s">
        <v>38</v>
      </c>
      <c r="AK55" s="22" t="s">
        <v>35</v>
      </c>
      <c r="AL55" s="22" t="s">
        <v>38</v>
      </c>
      <c r="AM55" s="22" t="s">
        <v>35</v>
      </c>
      <c r="AN55" s="58">
        <f t="array" ref="AN55">XLOOKUP(AL55, 'Data jarak '!$A$2:$A$11, XLOOKUP(AM55, 'Data jarak '!$B$1:$K$1, 'Data jarak '!$B$2:$K$11))</f>
        <v>647.3369</v>
      </c>
      <c r="AO55" s="24">
        <f t="array" ref="AO55">XLOOKUP(AJ55&amp;AK55, Sheet4!$A:$A&amp;Sheet4!$B:$B, Sheet4!$D:$D)</f>
        <v>20364.36</v>
      </c>
      <c r="AP55" s="43">
        <f t="shared" si="4"/>
        <v>148304268.8</v>
      </c>
      <c r="AQ55" s="40"/>
      <c r="AR55" s="40"/>
      <c r="AS55" s="40"/>
    </row>
    <row r="56">
      <c r="A56" s="40"/>
      <c r="B56" s="40"/>
      <c r="C56" s="40"/>
      <c r="D56" s="64" t="s">
        <v>38</v>
      </c>
      <c r="E56" s="64" t="s">
        <v>38</v>
      </c>
      <c r="F56" s="53">
        <v>0.0</v>
      </c>
      <c r="G56" s="40"/>
      <c r="H56" s="40"/>
      <c r="I56" s="40"/>
      <c r="J56" s="40"/>
      <c r="K56" s="40"/>
      <c r="L56" s="40"/>
      <c r="M56" s="40"/>
      <c r="N56" s="40"/>
      <c r="O56" s="40"/>
      <c r="P56" s="51" t="s">
        <v>33</v>
      </c>
      <c r="Q56" s="51" t="s">
        <v>37</v>
      </c>
      <c r="R56" s="51" t="s">
        <v>35</v>
      </c>
      <c r="S56" s="51">
        <v>1.0</v>
      </c>
      <c r="T56" s="58">
        <f t="array" ref="T56">XLOOKUP(P56, 'Data jarak '!$A$2:$A$11, XLOOKUP(R56, 'Data jarak '!$B$1:$K$1, 'Data jarak '!$B$2:$K$11))</f>
        <v>475.5078</v>
      </c>
      <c r="U56" s="24">
        <f t="array" ref="U56">XLOOKUP(P56&amp;Q56, Sheet4!$A:$A&amp;Sheet4!$B:$B, Sheet4!$D:$D)</f>
        <v>6665.76</v>
      </c>
      <c r="V56" s="43">
        <f t="shared" si="2"/>
        <v>47544313.09</v>
      </c>
      <c r="W56" s="40"/>
      <c r="X56" s="22" t="s">
        <v>40</v>
      </c>
      <c r="Y56" s="22" t="s">
        <v>34</v>
      </c>
      <c r="Z56" s="22" t="s">
        <v>38</v>
      </c>
      <c r="AA56" s="22">
        <v>1.0</v>
      </c>
      <c r="AB56" s="58">
        <f t="array" ref="AB56">XLOOKUP(Y56, 'Data jarak '!$A$2:$A$11, XLOOKUP(Z56, 'Data jarak '!$B$1:$K$1, 'Data jarak '!$B$2:$K$11))</f>
        <v>790.5225</v>
      </c>
      <c r="AC56" s="24">
        <f t="array" ref="AC56">XLOOKUP(X56&amp;Y56, Sheet4!$A:$A&amp;Sheet4!$B:$B, Sheet4!$D:$D)</f>
        <v>1238.12</v>
      </c>
      <c r="AD56" s="43">
        <f t="shared" si="3"/>
        <v>14681425.77</v>
      </c>
      <c r="AE56" s="40"/>
      <c r="AF56" s="43"/>
      <c r="AG56" s="43"/>
      <c r="AH56" s="43"/>
      <c r="AI56" s="40"/>
      <c r="AJ56" s="22" t="s">
        <v>38</v>
      </c>
      <c r="AK56" s="22" t="s">
        <v>35</v>
      </c>
      <c r="AL56" s="22" t="s">
        <v>35</v>
      </c>
      <c r="AM56" s="22" t="s">
        <v>39</v>
      </c>
      <c r="AN56" s="58">
        <f t="array" ref="AN56">XLOOKUP(AL56, 'Data jarak '!$A$2:$A$11, XLOOKUP(AM56, 'Data jarak '!$B$1:$K$1, 'Data jarak '!$B$2:$K$11))</f>
        <v>186.18</v>
      </c>
      <c r="AO56" s="24">
        <f t="array" ref="AO56">XLOOKUP(AJ56&amp;AK56, Sheet4!$A:$A&amp;Sheet4!$B:$B, Sheet4!$D:$D)</f>
        <v>20364.36</v>
      </c>
      <c r="AP56" s="43">
        <f t="shared" si="4"/>
        <v>42653661.13</v>
      </c>
      <c r="AQ56" s="40"/>
      <c r="AR56" s="40"/>
      <c r="AS56" s="40"/>
    </row>
    <row r="57">
      <c r="A57" s="40"/>
      <c r="B57" s="40"/>
      <c r="C57" s="40"/>
      <c r="D57" s="64" t="s">
        <v>38</v>
      </c>
      <c r="E57" s="64" t="s">
        <v>33</v>
      </c>
      <c r="F57" s="59">
        <v>5400.56</v>
      </c>
      <c r="G57" s="40"/>
      <c r="H57" s="40"/>
      <c r="I57" s="40"/>
      <c r="J57" s="40"/>
      <c r="K57" s="40"/>
      <c r="L57" s="40"/>
      <c r="M57" s="40"/>
      <c r="N57" s="40"/>
      <c r="O57" s="40"/>
      <c r="P57" s="51" t="s">
        <v>37</v>
      </c>
      <c r="Q57" s="51" t="s">
        <v>31</v>
      </c>
      <c r="R57" s="51" t="s">
        <v>40</v>
      </c>
      <c r="S57" s="51">
        <v>1.0</v>
      </c>
      <c r="T57" s="58">
        <f t="array" ref="T57">XLOOKUP(P57, 'Data jarak '!$A$2:$A$11, XLOOKUP(R57, 'Data jarak '!$B$1:$K$1, 'Data jarak '!$B$2:$K$11))</f>
        <v>256.303</v>
      </c>
      <c r="U57" s="24">
        <f t="array" ref="U57">XLOOKUP(P57&amp;Q57, Sheet4!$A:$A&amp;Sheet4!$B:$B, Sheet4!$D:$D)</f>
        <v>29981.56</v>
      </c>
      <c r="V57" s="43">
        <f t="shared" si="2"/>
        <v>115265456.6</v>
      </c>
      <c r="W57" s="40"/>
      <c r="X57" s="22" t="s">
        <v>40</v>
      </c>
      <c r="Y57" s="22" t="s">
        <v>36</v>
      </c>
      <c r="Z57" s="22" t="s">
        <v>38</v>
      </c>
      <c r="AA57" s="22">
        <v>1.0</v>
      </c>
      <c r="AB57" s="58">
        <f t="array" ref="AB57">XLOOKUP(Y57, 'Data jarak '!$A$2:$A$11, XLOOKUP(Z57, 'Data jarak '!$B$1:$K$1, 'Data jarak '!$B$2:$K$11))</f>
        <v>254.9509</v>
      </c>
      <c r="AC57" s="24">
        <f t="array" ref="AC57">XLOOKUP(X57&amp;Y57, Sheet4!$A:$A&amp;Sheet4!$B:$B, Sheet4!$D:$D)</f>
        <v>540.28</v>
      </c>
      <c r="AD57" s="43">
        <f t="shared" si="3"/>
        <v>2066173.084</v>
      </c>
      <c r="AE57" s="40"/>
      <c r="AF57" s="40"/>
      <c r="AG57" s="40"/>
      <c r="AH57" s="40"/>
      <c r="AI57" s="40"/>
      <c r="AJ57" s="22" t="s">
        <v>38</v>
      </c>
      <c r="AK57" s="22" t="s">
        <v>40</v>
      </c>
      <c r="AL57" s="22" t="s">
        <v>38</v>
      </c>
      <c r="AM57" s="22" t="s">
        <v>40</v>
      </c>
      <c r="AN57" s="58">
        <f t="array" ref="AN57">XLOOKUP(AL57, 'Data jarak '!$A$2:$A$11, XLOOKUP(AM57, 'Data jarak '!$B$1:$K$1, 'Data jarak '!$B$2:$K$11))</f>
        <v>976.2167</v>
      </c>
      <c r="AO57" s="24">
        <f t="array" ref="AO57">XLOOKUP(AJ57&amp;AK57, Sheet4!$A:$A&amp;Sheet4!$B:$B, Sheet4!$D:$D)</f>
        <v>1191.2</v>
      </c>
      <c r="AP57" s="43">
        <f t="shared" si="4"/>
        <v>13082280</v>
      </c>
      <c r="AQ57" s="40"/>
      <c r="AR57" s="40"/>
      <c r="AS57" s="40"/>
    </row>
    <row r="58">
      <c r="A58" s="40"/>
      <c r="B58" s="40"/>
      <c r="C58" s="40"/>
      <c r="D58" s="64" t="s">
        <v>38</v>
      </c>
      <c r="E58" s="64" t="s">
        <v>39</v>
      </c>
      <c r="F58" s="61">
        <v>977.52</v>
      </c>
      <c r="G58" s="40"/>
      <c r="H58" s="40"/>
      <c r="I58" s="40"/>
      <c r="J58" s="40"/>
      <c r="K58" s="40"/>
      <c r="L58" s="40"/>
      <c r="M58" s="40"/>
      <c r="N58" s="40"/>
      <c r="O58" s="40"/>
      <c r="P58" s="51" t="s">
        <v>37</v>
      </c>
      <c r="Q58" s="51" t="s">
        <v>34</v>
      </c>
      <c r="R58" s="51" t="s">
        <v>40</v>
      </c>
      <c r="S58" s="51">
        <v>1.0</v>
      </c>
      <c r="T58" s="58">
        <f t="array" ref="T58">XLOOKUP(P58, 'Data jarak '!$A$2:$A$11, XLOOKUP(R58, 'Data jarak '!$B$1:$K$1, 'Data jarak '!$B$2:$K$11))</f>
        <v>256.303</v>
      </c>
      <c r="U58" s="24">
        <f t="array" ref="U58">XLOOKUP(P58&amp;Q58, Sheet4!$A:$A&amp;Sheet4!$B:$B, Sheet4!$D:$D)</f>
        <v>2231.24</v>
      </c>
      <c r="V58" s="43">
        <f t="shared" si="2"/>
        <v>8578102.586</v>
      </c>
      <c r="W58" s="40"/>
      <c r="X58" s="22" t="s">
        <v>40</v>
      </c>
      <c r="Y58" s="22" t="s">
        <v>32</v>
      </c>
      <c r="Z58" s="22" t="s">
        <v>38</v>
      </c>
      <c r="AA58" s="22">
        <v>1.0</v>
      </c>
      <c r="AB58" s="58">
        <f t="array" ref="AB58">XLOOKUP(Y58, 'Data jarak '!$A$2:$A$11, XLOOKUP(Z58, 'Data jarak '!$B$1:$K$1, 'Data jarak '!$B$2:$K$11))</f>
        <v>386.2807</v>
      </c>
      <c r="AC58" s="24">
        <f t="array" ref="AC58">XLOOKUP(X58&amp;Y58, Sheet4!$A:$A&amp;Sheet4!$B:$B, Sheet4!$D:$D)</f>
        <v>1578.12</v>
      </c>
      <c r="AD58" s="43">
        <f t="shared" si="3"/>
        <v>9143959.474</v>
      </c>
      <c r="AE58" s="40"/>
      <c r="AF58" s="40"/>
      <c r="AG58" s="40"/>
      <c r="AH58" s="40"/>
      <c r="AI58" s="40"/>
      <c r="AJ58" s="22" t="s">
        <v>38</v>
      </c>
      <c r="AK58" s="22" t="s">
        <v>40</v>
      </c>
      <c r="AL58" s="22" t="s">
        <v>40</v>
      </c>
      <c r="AM58" s="22" t="s">
        <v>35</v>
      </c>
      <c r="AN58" s="58">
        <f t="array" ref="AN58">XLOOKUP(AL58, 'Data jarak '!$A$2:$A$11, XLOOKUP(AM58, 'Data jarak '!$B$1:$K$1, 'Data jarak '!$B$2:$K$11))</f>
        <v>403.0102</v>
      </c>
      <c r="AO58" s="24">
        <f t="array" ref="AO58">XLOOKUP(AJ58&amp;AK58, Sheet4!$A:$A&amp;Sheet4!$B:$B, Sheet4!$D:$D)</f>
        <v>1191.2</v>
      </c>
      <c r="AP58" s="43">
        <f t="shared" si="4"/>
        <v>5400739.69</v>
      </c>
      <c r="AQ58" s="40"/>
      <c r="AR58" s="40"/>
      <c r="AS58" s="40"/>
    </row>
    <row r="59">
      <c r="A59" s="40"/>
      <c r="B59" s="40"/>
      <c r="C59" s="40"/>
      <c r="D59" s="64" t="s">
        <v>38</v>
      </c>
      <c r="E59" s="64" t="s">
        <v>35</v>
      </c>
      <c r="F59" s="59">
        <v>20364.36</v>
      </c>
      <c r="G59" s="40"/>
      <c r="H59" s="40"/>
      <c r="I59" s="40"/>
      <c r="J59" s="40"/>
      <c r="K59" s="40"/>
      <c r="L59" s="40"/>
      <c r="M59" s="40"/>
      <c r="N59" s="40"/>
      <c r="O59" s="40"/>
      <c r="P59" s="51" t="s">
        <v>37</v>
      </c>
      <c r="Q59" s="51" t="s">
        <v>36</v>
      </c>
      <c r="R59" s="51" t="s">
        <v>40</v>
      </c>
      <c r="S59" s="51">
        <v>1.0</v>
      </c>
      <c r="T59" s="58">
        <f t="array" ref="T59">XLOOKUP(P59, 'Data jarak '!$A$2:$A$11, XLOOKUP(R59, 'Data jarak '!$B$1:$K$1, 'Data jarak '!$B$2:$K$11))</f>
        <v>256.303</v>
      </c>
      <c r="U59" s="24">
        <f t="array" ref="U59">XLOOKUP(P59&amp;Q59, Sheet4!$A:$A&amp;Sheet4!$B:$B, Sheet4!$D:$D)</f>
        <v>3648.96</v>
      </c>
      <c r="V59" s="43">
        <f t="shared" si="2"/>
        <v>14028590.92</v>
      </c>
      <c r="W59" s="40"/>
      <c r="X59" s="22" t="s">
        <v>40</v>
      </c>
      <c r="Y59" s="22" t="s">
        <v>33</v>
      </c>
      <c r="Z59" s="22" t="s">
        <v>35</v>
      </c>
      <c r="AA59" s="22">
        <v>1.0</v>
      </c>
      <c r="AB59" s="58">
        <f t="array" ref="AB59">XLOOKUP(Y59, 'Data jarak '!$A$2:$A$11, XLOOKUP(Z59, 'Data jarak '!$B$1:$K$1, 'Data jarak '!$B$2:$K$11))</f>
        <v>475.5078</v>
      </c>
      <c r="AC59" s="24">
        <f t="array" ref="AC59">XLOOKUP(X59&amp;Y59, Sheet4!$A:$A&amp;Sheet4!$B:$B, Sheet4!$D:$D)</f>
        <v>2948.56</v>
      </c>
      <c r="AD59" s="43">
        <f t="shared" si="3"/>
        <v>21030949.18</v>
      </c>
      <c r="AE59" s="40"/>
      <c r="AF59" s="40"/>
      <c r="AG59" s="40"/>
      <c r="AH59" s="40"/>
      <c r="AI59" s="40"/>
      <c r="AJ59" s="22" t="s">
        <v>38</v>
      </c>
      <c r="AK59" s="22" t="s">
        <v>37</v>
      </c>
      <c r="AL59" s="22" t="s">
        <v>38</v>
      </c>
      <c r="AM59" s="22" t="s">
        <v>40</v>
      </c>
      <c r="AN59" s="58">
        <f t="array" ref="AN59">XLOOKUP(AL59, 'Data jarak '!$A$2:$A$11, XLOOKUP(AM59, 'Data jarak '!$B$1:$K$1, 'Data jarak '!$B$2:$K$11))</f>
        <v>976.2167</v>
      </c>
      <c r="AO59" s="24">
        <f t="array" ref="AO59">XLOOKUP(AJ59&amp;AK59, Sheet4!$A:$A&amp;Sheet4!$B:$B, Sheet4!$D:$D)</f>
        <v>5911.52</v>
      </c>
      <c r="AP59" s="43">
        <f t="shared" si="4"/>
        <v>64922901.15</v>
      </c>
      <c r="AQ59" s="40"/>
      <c r="AR59" s="40"/>
      <c r="AS59" s="40"/>
    </row>
    <row r="60">
      <c r="A60" s="40"/>
      <c r="B60" s="40"/>
      <c r="C60" s="40"/>
      <c r="D60" s="64" t="s">
        <v>38</v>
      </c>
      <c r="E60" s="64" t="s">
        <v>40</v>
      </c>
      <c r="F60" s="59">
        <v>1191.2</v>
      </c>
      <c r="G60" s="40"/>
      <c r="H60" s="40"/>
      <c r="I60" s="40"/>
      <c r="J60" s="40"/>
      <c r="K60" s="40"/>
      <c r="L60" s="40"/>
      <c r="M60" s="40"/>
      <c r="N60" s="40"/>
      <c r="O60" s="40"/>
      <c r="P60" s="51" t="s">
        <v>37</v>
      </c>
      <c r="Q60" s="51" t="s">
        <v>32</v>
      </c>
      <c r="R60" s="51" t="s">
        <v>40</v>
      </c>
      <c r="S60" s="51">
        <v>1.0</v>
      </c>
      <c r="T60" s="58">
        <f t="array" ref="T60">XLOOKUP(P60, 'Data jarak '!$A$2:$A$11, XLOOKUP(R60, 'Data jarak '!$B$1:$K$1, 'Data jarak '!$B$2:$K$11))</f>
        <v>256.303</v>
      </c>
      <c r="U60" s="24">
        <f t="array" ref="U60">XLOOKUP(P60&amp;Q60, Sheet4!$A:$A&amp;Sheet4!$B:$B, Sheet4!$D:$D)</f>
        <v>35048.12</v>
      </c>
      <c r="V60" s="43">
        <f t="shared" si="2"/>
        <v>134744074.5</v>
      </c>
      <c r="W60" s="40"/>
      <c r="X60" s="22" t="s">
        <v>40</v>
      </c>
      <c r="Y60" s="22" t="s">
        <v>37</v>
      </c>
      <c r="Z60" s="22" t="s">
        <v>35</v>
      </c>
      <c r="AA60" s="22">
        <v>1.0</v>
      </c>
      <c r="AB60" s="58">
        <f t="array" ref="AB60">XLOOKUP(Y60, 'Data jarak '!$A$2:$A$11, XLOOKUP(Z60, 'Data jarak '!$B$1:$K$1, 'Data jarak '!$B$2:$K$11))</f>
        <v>658.2451</v>
      </c>
      <c r="AC60" s="24">
        <f t="array" ref="AC60">XLOOKUP(X60&amp;Y60, Sheet4!$A:$A&amp;Sheet4!$B:$B, Sheet4!$D:$D)</f>
        <v>1785.4</v>
      </c>
      <c r="AD60" s="43">
        <f t="shared" si="3"/>
        <v>17628462.02</v>
      </c>
      <c r="AE60" s="40"/>
      <c r="AF60" s="40"/>
      <c r="AG60" s="40"/>
      <c r="AH60" s="40"/>
      <c r="AI60" s="40"/>
      <c r="AJ60" s="22" t="s">
        <v>33</v>
      </c>
      <c r="AK60" s="22" t="s">
        <v>38</v>
      </c>
      <c r="AL60" s="22" t="s">
        <v>38</v>
      </c>
      <c r="AM60" s="22" t="s">
        <v>35</v>
      </c>
      <c r="AN60" s="58">
        <f t="array" ref="AN60">XLOOKUP(AL60, 'Data jarak '!$A$2:$A$11, XLOOKUP(AM60, 'Data jarak '!$B$1:$K$1, 'Data jarak '!$B$2:$K$11))</f>
        <v>647.3369</v>
      </c>
      <c r="AO60" s="24">
        <f t="array" ref="AO60">XLOOKUP(AJ60&amp;AK60, Sheet4!$A:$A&amp;Sheet4!$B:$B, Sheet4!$D:$D)</f>
        <v>2693.56</v>
      </c>
      <c r="AP60" s="43">
        <f t="shared" si="4"/>
        <v>19615958.78</v>
      </c>
      <c r="AQ60" s="40"/>
      <c r="AR60" s="40"/>
      <c r="AS60" s="40"/>
    </row>
    <row r="61">
      <c r="A61" s="40"/>
      <c r="B61" s="40"/>
      <c r="C61" s="40"/>
      <c r="D61" s="64" t="s">
        <v>38</v>
      </c>
      <c r="E61" s="64" t="s">
        <v>37</v>
      </c>
      <c r="F61" s="59">
        <v>5911.52</v>
      </c>
      <c r="G61" s="40"/>
      <c r="H61" s="40"/>
      <c r="I61" s="40"/>
      <c r="J61" s="40"/>
      <c r="K61" s="40"/>
      <c r="L61" s="40"/>
      <c r="M61" s="40"/>
      <c r="N61" s="40"/>
      <c r="O61" s="40"/>
      <c r="P61" s="51" t="s">
        <v>37</v>
      </c>
      <c r="Q61" s="51" t="s">
        <v>38</v>
      </c>
      <c r="R61" s="51" t="s">
        <v>40</v>
      </c>
      <c r="S61" s="51">
        <v>1.0</v>
      </c>
      <c r="T61" s="58">
        <f t="array" ref="T61">XLOOKUP(P61, 'Data jarak '!$A$2:$A$11, XLOOKUP(R61, 'Data jarak '!$B$1:$K$1, 'Data jarak '!$B$2:$K$11))</f>
        <v>256.303</v>
      </c>
      <c r="U61" s="24">
        <f t="array" ref="U61">XLOOKUP(P61&amp;Q61, Sheet4!$A:$A&amp;Sheet4!$B:$B, Sheet4!$D:$D)</f>
        <v>4802.16</v>
      </c>
      <c r="V61" s="43">
        <f t="shared" si="2"/>
        <v>18462120.22</v>
      </c>
      <c r="W61" s="40"/>
      <c r="X61" s="22" t="s">
        <v>37</v>
      </c>
      <c r="Y61" s="22" t="s">
        <v>31</v>
      </c>
      <c r="Z61" s="22" t="s">
        <v>38</v>
      </c>
      <c r="AA61" s="22">
        <v>1.0</v>
      </c>
      <c r="AB61" s="58">
        <f t="array" ref="AB61">XLOOKUP(Y61, 'Data jarak '!$A$2:$A$11, XLOOKUP(Z61, 'Data jarak '!$B$1:$K$1, 'Data jarak '!$B$2:$K$11))</f>
        <v>1187.826</v>
      </c>
      <c r="AC61" s="24">
        <f t="array" ref="AC61">XLOOKUP(X61&amp;Y61, Sheet4!$A:$A&amp;Sheet4!$B:$B, Sheet4!$D:$D)</f>
        <v>29981.56</v>
      </c>
      <c r="AD61" s="43">
        <f t="shared" si="3"/>
        <v>534193147.3</v>
      </c>
      <c r="AE61" s="40"/>
      <c r="AF61" s="40"/>
      <c r="AG61" s="40"/>
      <c r="AH61" s="40"/>
      <c r="AI61" s="40"/>
      <c r="AJ61" s="22" t="s">
        <v>33</v>
      </c>
      <c r="AK61" s="22" t="s">
        <v>38</v>
      </c>
      <c r="AL61" s="22" t="s">
        <v>39</v>
      </c>
      <c r="AM61" s="22" t="s">
        <v>38</v>
      </c>
      <c r="AN61" s="58">
        <f t="array" ref="AN61">XLOOKUP(AL61, 'Data jarak '!$A$2:$A$11, XLOOKUP(AM61, 'Data jarak '!$B$1:$K$1, 'Data jarak '!$B$2:$K$11))</f>
        <v>510.3344</v>
      </c>
      <c r="AO61" s="24">
        <f t="array" ref="AO61">XLOOKUP(AJ61&amp;AK61, Sheet4!$A:$A&amp;Sheet4!$B:$B, Sheet4!$D:$D)</f>
        <v>2693.56</v>
      </c>
      <c r="AP61" s="43">
        <f t="shared" si="4"/>
        <v>15464433.67</v>
      </c>
      <c r="AQ61" s="40"/>
      <c r="AR61" s="40"/>
      <c r="AS61" s="40"/>
    </row>
    <row r="62">
      <c r="A62" s="40"/>
      <c r="B62" s="40"/>
      <c r="C62" s="40"/>
      <c r="D62" s="65" t="s">
        <v>33</v>
      </c>
      <c r="E62" s="65" t="s">
        <v>31</v>
      </c>
      <c r="F62" s="59">
        <v>2334.6</v>
      </c>
      <c r="G62" s="40"/>
      <c r="H62" s="40"/>
      <c r="I62" s="40"/>
      <c r="J62" s="40"/>
      <c r="K62" s="40"/>
      <c r="L62" s="40"/>
      <c r="M62" s="40"/>
      <c r="N62" s="40"/>
      <c r="O62" s="40"/>
      <c r="P62" s="51" t="s">
        <v>37</v>
      </c>
      <c r="Q62" s="51" t="s">
        <v>33</v>
      </c>
      <c r="R62" s="51" t="s">
        <v>40</v>
      </c>
      <c r="S62" s="51">
        <v>1.0</v>
      </c>
      <c r="T62" s="58">
        <f t="array" ref="T62">XLOOKUP(P62, 'Data jarak '!$A$2:$A$11, XLOOKUP(R62, 'Data jarak '!$B$1:$K$1, 'Data jarak '!$B$2:$K$11))</f>
        <v>256.303</v>
      </c>
      <c r="U62" s="24">
        <f t="array" ref="U62">XLOOKUP(P62&amp;Q62, Sheet4!$A:$A&amp;Sheet4!$B:$B, Sheet4!$D:$D)</f>
        <v>19692.68</v>
      </c>
      <c r="V62" s="43">
        <f t="shared" si="2"/>
        <v>75709394.43</v>
      </c>
      <c r="W62" s="40"/>
      <c r="X62" s="22" t="s">
        <v>37</v>
      </c>
      <c r="Y62" s="22" t="s">
        <v>34</v>
      </c>
      <c r="Z62" s="22" t="s">
        <v>38</v>
      </c>
      <c r="AA62" s="22">
        <v>1.0</v>
      </c>
      <c r="AB62" s="58">
        <f t="array" ref="AB62">XLOOKUP(Y62, 'Data jarak '!$A$2:$A$11, XLOOKUP(Z62, 'Data jarak '!$B$1:$K$1, 'Data jarak '!$B$2:$K$11))</f>
        <v>790.5225</v>
      </c>
      <c r="AC62" s="24">
        <f t="array" ref="AC62">XLOOKUP(X62&amp;Y62, Sheet4!$A:$A&amp;Sheet4!$B:$B, Sheet4!$D:$D)</f>
        <v>2231.24</v>
      </c>
      <c r="AD62" s="43">
        <f t="shared" si="3"/>
        <v>26457681.34</v>
      </c>
      <c r="AE62" s="40"/>
      <c r="AF62" s="40"/>
      <c r="AG62" s="40"/>
      <c r="AH62" s="40"/>
      <c r="AI62" s="40"/>
      <c r="AJ62" s="22" t="s">
        <v>33</v>
      </c>
      <c r="AK62" s="22" t="s">
        <v>39</v>
      </c>
      <c r="AL62" s="22" t="s">
        <v>38</v>
      </c>
      <c r="AM62" s="22" t="s">
        <v>39</v>
      </c>
      <c r="AN62" s="58">
        <f t="array" ref="AN62">XLOOKUP(AL62, 'Data jarak '!$A$2:$A$11, XLOOKUP(AM62, 'Data jarak '!$B$1:$K$1, 'Data jarak '!$B$2:$K$11))</f>
        <v>510.3344</v>
      </c>
      <c r="AO62" s="24">
        <f t="array" ref="AO62">XLOOKUP(AJ62&amp;AK62, Sheet4!$A:$A&amp;Sheet4!$B:$B, Sheet4!$D:$D)</f>
        <v>2535.32</v>
      </c>
      <c r="AP62" s="43">
        <f t="shared" si="4"/>
        <v>14555936.37</v>
      </c>
      <c r="AQ62" s="40"/>
      <c r="AR62" s="40"/>
      <c r="AS62" s="40"/>
    </row>
    <row r="63">
      <c r="A63" s="40"/>
      <c r="B63" s="40"/>
      <c r="C63" s="40"/>
      <c r="D63" s="65" t="s">
        <v>33</v>
      </c>
      <c r="E63" s="65" t="s">
        <v>34</v>
      </c>
      <c r="F63" s="59">
        <v>2285.37</v>
      </c>
      <c r="G63" s="40"/>
      <c r="H63" s="40"/>
      <c r="I63" s="40"/>
      <c r="J63" s="40"/>
      <c r="K63" s="40"/>
      <c r="L63" s="40"/>
      <c r="M63" s="40"/>
      <c r="N63" s="40"/>
      <c r="O63" s="40"/>
      <c r="P63" s="51" t="s">
        <v>37</v>
      </c>
      <c r="Q63" s="51" t="s">
        <v>39</v>
      </c>
      <c r="R63" s="51" t="s">
        <v>40</v>
      </c>
      <c r="S63" s="51">
        <v>1.0</v>
      </c>
      <c r="T63" s="58">
        <f t="array" ref="T63">XLOOKUP(P63, 'Data jarak '!$A$2:$A$11, XLOOKUP(R63, 'Data jarak '!$B$1:$K$1, 'Data jarak '!$B$2:$K$11))</f>
        <v>256.303</v>
      </c>
      <c r="U63" s="24">
        <f t="array" ref="U63">XLOOKUP(P63&amp;Q63, Sheet4!$A:$A&amp;Sheet4!$B:$B, Sheet4!$D:$D)</f>
        <v>4405.52</v>
      </c>
      <c r="V63" s="43">
        <f t="shared" si="2"/>
        <v>16937219.89</v>
      </c>
      <c r="W63" s="40"/>
      <c r="X63" s="22" t="s">
        <v>37</v>
      </c>
      <c r="Y63" s="22" t="s">
        <v>36</v>
      </c>
      <c r="Z63" s="22" t="s">
        <v>38</v>
      </c>
      <c r="AA63" s="22">
        <v>1.0</v>
      </c>
      <c r="AB63" s="58">
        <f t="array" ref="AB63">XLOOKUP(Y63, 'Data jarak '!$A$2:$A$11, XLOOKUP(Z63, 'Data jarak '!$B$1:$K$1, 'Data jarak '!$B$2:$K$11))</f>
        <v>254.9509</v>
      </c>
      <c r="AC63" s="24">
        <f t="array" ref="AC63">XLOOKUP(X63&amp;Y63, Sheet4!$A:$A&amp;Sheet4!$B:$B, Sheet4!$D:$D)</f>
        <v>3648.96</v>
      </c>
      <c r="AD63" s="43">
        <f t="shared" si="3"/>
        <v>13954584.54</v>
      </c>
      <c r="AE63" s="40"/>
      <c r="AF63" s="40"/>
      <c r="AG63" s="40"/>
      <c r="AH63" s="40"/>
      <c r="AI63" s="40"/>
      <c r="AJ63" s="22" t="s">
        <v>33</v>
      </c>
      <c r="AK63" s="22" t="s">
        <v>39</v>
      </c>
      <c r="AL63" s="22" t="s">
        <v>39</v>
      </c>
      <c r="AM63" s="22" t="s">
        <v>35</v>
      </c>
      <c r="AN63" s="58">
        <f t="array" ref="AN63">XLOOKUP(AL63, 'Data jarak '!$A$2:$A$11, XLOOKUP(AM63, 'Data jarak '!$B$1:$K$1, 'Data jarak '!$B$2:$K$11))</f>
        <v>186.18</v>
      </c>
      <c r="AO63" s="24">
        <f t="array" ref="AO63">XLOOKUP(AJ63&amp;AK63, Sheet4!$A:$A&amp;Sheet4!$B:$B, Sheet4!$D:$D)</f>
        <v>2535.32</v>
      </c>
      <c r="AP63" s="43">
        <f t="shared" si="4"/>
        <v>5310291.123</v>
      </c>
      <c r="AQ63" s="40"/>
      <c r="AR63" s="40"/>
      <c r="AS63" s="40"/>
    </row>
    <row r="64">
      <c r="A64" s="40"/>
      <c r="B64" s="40"/>
      <c r="C64" s="40"/>
      <c r="D64" s="65" t="s">
        <v>33</v>
      </c>
      <c r="E64" s="65" t="s">
        <v>36</v>
      </c>
      <c r="F64" s="59">
        <v>2193.32</v>
      </c>
      <c r="G64" s="40"/>
      <c r="H64" s="40"/>
      <c r="I64" s="40"/>
      <c r="J64" s="40"/>
      <c r="K64" s="40"/>
      <c r="L64" s="40"/>
      <c r="M64" s="40"/>
      <c r="N64" s="40"/>
      <c r="O64" s="40"/>
      <c r="P64" s="22" t="s">
        <v>37</v>
      </c>
      <c r="Q64" s="22" t="s">
        <v>35</v>
      </c>
      <c r="R64" s="22" t="s">
        <v>40</v>
      </c>
      <c r="S64" s="22">
        <v>1.0</v>
      </c>
      <c r="T64" s="58">
        <f t="array" ref="T64">XLOOKUP(P64, 'Data jarak '!$A$2:$A$11, XLOOKUP(R64, 'Data jarak '!$B$1:$K$1, 'Data jarak '!$B$2:$K$11))</f>
        <v>256.303</v>
      </c>
      <c r="U64" s="24">
        <f t="array" ref="U64">XLOOKUP(P64&amp;Q64, Sheet4!$A:$A&amp;Sheet4!$B:$B, Sheet4!$D:$D)</f>
        <v>51923.64</v>
      </c>
      <c r="V64" s="43">
        <f t="shared" si="2"/>
        <v>199622770.5</v>
      </c>
      <c r="W64" s="40"/>
      <c r="X64" s="22" t="s">
        <v>37</v>
      </c>
      <c r="Y64" s="22" t="s">
        <v>32</v>
      </c>
      <c r="Z64" s="22" t="s">
        <v>38</v>
      </c>
      <c r="AA64" s="22">
        <v>1.0</v>
      </c>
      <c r="AB64" s="58">
        <f t="array" ref="AB64">XLOOKUP(Y64, 'Data jarak '!$A$2:$A$11, XLOOKUP(Z64, 'Data jarak '!$B$1:$K$1, 'Data jarak '!$B$2:$K$11))</f>
        <v>386.2807</v>
      </c>
      <c r="AC64" s="24">
        <f t="array" ref="AC64">XLOOKUP(X64&amp;Y64, Sheet4!$A:$A&amp;Sheet4!$B:$B, Sheet4!$D:$D)</f>
        <v>35048.12</v>
      </c>
      <c r="AD64" s="43">
        <f t="shared" si="3"/>
        <v>203076184.9</v>
      </c>
      <c r="AE64" s="40"/>
      <c r="AF64" s="40"/>
      <c r="AG64" s="40"/>
      <c r="AH64" s="40"/>
      <c r="AI64" s="40"/>
      <c r="AJ64" s="22" t="s">
        <v>33</v>
      </c>
      <c r="AK64" s="22" t="s">
        <v>35</v>
      </c>
      <c r="AL64" s="22" t="s">
        <v>39</v>
      </c>
      <c r="AM64" s="22" t="s">
        <v>35</v>
      </c>
      <c r="AN64" s="58">
        <f t="array" ref="AN64">XLOOKUP(AL64, 'Data jarak '!$A$2:$A$11, XLOOKUP(AM64, 'Data jarak '!$B$1:$K$1, 'Data jarak '!$B$2:$K$11))</f>
        <v>186.18</v>
      </c>
      <c r="AO64" s="24">
        <f t="array" ref="AO64">XLOOKUP(AJ64&amp;AK64, Sheet4!$A:$A&amp;Sheet4!$B:$B, Sheet4!$D:$D)</f>
        <v>33272.84</v>
      </c>
      <c r="AP64" s="43">
        <f t="shared" si="4"/>
        <v>69690795.2</v>
      </c>
      <c r="AQ64" s="40"/>
      <c r="AR64" s="40"/>
      <c r="AS64" s="40"/>
    </row>
    <row r="65">
      <c r="A65" s="40"/>
      <c r="B65" s="40"/>
      <c r="C65" s="40"/>
      <c r="D65" s="65" t="s">
        <v>33</v>
      </c>
      <c r="E65" s="65" t="s">
        <v>32</v>
      </c>
      <c r="F65" s="59">
        <v>10240.56</v>
      </c>
      <c r="G65" s="40"/>
      <c r="H65" s="40"/>
      <c r="I65" s="40"/>
      <c r="J65" s="40"/>
      <c r="K65" s="40"/>
      <c r="L65" s="40"/>
      <c r="M65" s="40"/>
      <c r="N65" s="40"/>
      <c r="O65" s="40"/>
      <c r="P65" s="22" t="s">
        <v>37</v>
      </c>
      <c r="Q65" s="22" t="s">
        <v>40</v>
      </c>
      <c r="R65" s="22" t="s">
        <v>35</v>
      </c>
      <c r="S65" s="22">
        <v>1.0</v>
      </c>
      <c r="T65" s="58">
        <f t="array" ref="T65">XLOOKUP(P65, 'Data jarak '!$A$2:$A$11, XLOOKUP(R65, 'Data jarak '!$B$1:$K$1, 'Data jarak '!$B$2:$K$11))</f>
        <v>658.2451</v>
      </c>
      <c r="U65" s="24">
        <f t="array" ref="U65">XLOOKUP(P65&amp;Q65, Sheet4!$A:$A&amp;Sheet4!$B:$B, Sheet4!$D:$D)</f>
        <v>4601.36</v>
      </c>
      <c r="V65" s="43">
        <f t="shared" si="2"/>
        <v>45432340.1</v>
      </c>
      <c r="W65" s="40"/>
      <c r="X65" s="22" t="s">
        <v>37</v>
      </c>
      <c r="Y65" s="22" t="s">
        <v>33</v>
      </c>
      <c r="Z65" s="22" t="s">
        <v>35</v>
      </c>
      <c r="AA65" s="22">
        <v>1.0</v>
      </c>
      <c r="AB65" s="58">
        <f t="array" ref="AB65">XLOOKUP(Y65, 'Data jarak '!$A$2:$A$11, XLOOKUP(Z65, 'Data jarak '!$B$1:$K$1, 'Data jarak '!$B$2:$K$11))</f>
        <v>475.5078</v>
      </c>
      <c r="AC65" s="24">
        <f t="array" ref="AC65">XLOOKUP(X65&amp;Y65, Sheet4!$A:$A&amp;Sheet4!$B:$B, Sheet4!$D:$D)</f>
        <v>19692.68</v>
      </c>
      <c r="AD65" s="43">
        <f t="shared" si="3"/>
        <v>140460344.1</v>
      </c>
      <c r="AE65" s="40"/>
      <c r="AF65" s="40"/>
      <c r="AG65" s="40"/>
      <c r="AH65" s="40"/>
      <c r="AI65" s="40"/>
      <c r="AJ65" s="22" t="s">
        <v>33</v>
      </c>
      <c r="AK65" s="22" t="s">
        <v>35</v>
      </c>
      <c r="AL65" s="22" t="s">
        <v>35</v>
      </c>
      <c r="AM65" s="22" t="s">
        <v>40</v>
      </c>
      <c r="AN65" s="58">
        <f t="array" ref="AN65">XLOOKUP(AL65, 'Data jarak '!$A$2:$A$11, XLOOKUP(AM65, 'Data jarak '!$B$1:$K$1, 'Data jarak '!$B$2:$K$11))</f>
        <v>403.0102</v>
      </c>
      <c r="AO65" s="24">
        <f t="array" ref="AO65">XLOOKUP(AJ65&amp;AK65, Sheet4!$A:$A&amp;Sheet4!$B:$B, Sheet4!$D:$D)</f>
        <v>33272.84</v>
      </c>
      <c r="AP65" s="43">
        <f t="shared" si="4"/>
        <v>150854556.4</v>
      </c>
      <c r="AQ65" s="40"/>
      <c r="AR65" s="40"/>
      <c r="AS65" s="40"/>
    </row>
    <row r="66">
      <c r="A66" s="40"/>
      <c r="B66" s="40"/>
      <c r="C66" s="40"/>
      <c r="D66" s="65" t="s">
        <v>33</v>
      </c>
      <c r="E66" s="65" t="s">
        <v>38</v>
      </c>
      <c r="F66" s="59">
        <v>2693.56</v>
      </c>
      <c r="G66" s="40"/>
      <c r="H66" s="40"/>
      <c r="I66" s="40"/>
      <c r="J66" s="40"/>
      <c r="K66" s="40"/>
      <c r="L66" s="40"/>
      <c r="M66" s="40"/>
      <c r="N66" s="40"/>
      <c r="O66" s="40"/>
      <c r="P66" s="22"/>
      <c r="Q66" s="22"/>
      <c r="R66" s="22"/>
      <c r="S66" s="22"/>
      <c r="T66" s="43"/>
      <c r="U66" s="66"/>
      <c r="V66" s="43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22" t="s">
        <v>33</v>
      </c>
      <c r="AK66" s="22" t="s">
        <v>40</v>
      </c>
      <c r="AL66" s="22" t="s">
        <v>39</v>
      </c>
      <c r="AM66" s="22" t="s">
        <v>40</v>
      </c>
      <c r="AN66" s="58">
        <f t="array" ref="AN66">XLOOKUP(AL66, 'Data jarak '!$A$2:$A$11, XLOOKUP(AM66, 'Data jarak '!$B$1:$K$1, 'Data jarak '!$B$2:$K$11))</f>
        <v>587.9985</v>
      </c>
      <c r="AO66" s="24">
        <f t="array" ref="AO66">XLOOKUP(AJ66&amp;AK66, Sheet4!$A:$A&amp;Sheet4!$B:$B, Sheet4!$D:$D)</f>
        <v>2248.88</v>
      </c>
      <c r="AP66" s="43">
        <f t="shared" si="4"/>
        <v>14876303.25</v>
      </c>
      <c r="AQ66" s="40"/>
      <c r="AR66" s="40"/>
      <c r="AS66" s="40"/>
    </row>
    <row r="67">
      <c r="A67" s="40"/>
      <c r="B67" s="40"/>
      <c r="C67" s="40"/>
      <c r="D67" s="65" t="s">
        <v>33</v>
      </c>
      <c r="E67" s="65" t="s">
        <v>33</v>
      </c>
      <c r="F67" s="53">
        <v>0.0</v>
      </c>
      <c r="G67" s="40"/>
      <c r="H67" s="40"/>
      <c r="I67" s="40"/>
      <c r="J67" s="40"/>
      <c r="K67" s="40"/>
      <c r="L67" s="40"/>
      <c r="M67" s="40"/>
      <c r="N67" s="40"/>
      <c r="O67" s="40"/>
      <c r="P67" s="22"/>
      <c r="Q67" s="22"/>
      <c r="R67" s="22"/>
      <c r="S67" s="22"/>
      <c r="T67" s="43"/>
      <c r="U67" s="66"/>
      <c r="V67" s="43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22" t="s">
        <v>33</v>
      </c>
      <c r="AK67" s="22" t="s">
        <v>40</v>
      </c>
      <c r="AL67" s="22" t="s">
        <v>40</v>
      </c>
      <c r="AM67" s="22" t="s">
        <v>35</v>
      </c>
      <c r="AN67" s="58">
        <f t="array" ref="AN67">XLOOKUP(AL67, 'Data jarak '!$A$2:$A$11, XLOOKUP(AM67, 'Data jarak '!$B$1:$K$1, 'Data jarak '!$B$2:$K$11))</f>
        <v>403.0102</v>
      </c>
      <c r="AO67" s="24">
        <f t="array" ref="AO67">XLOOKUP(AJ67&amp;AK67, Sheet4!$A:$A&amp;Sheet4!$B:$B, Sheet4!$D:$D)</f>
        <v>2248.88</v>
      </c>
      <c r="AP67" s="43">
        <f t="shared" si="4"/>
        <v>10196117.76</v>
      </c>
      <c r="AQ67" s="40"/>
      <c r="AR67" s="40"/>
      <c r="AS67" s="40"/>
    </row>
    <row r="68">
      <c r="A68" s="40"/>
      <c r="B68" s="40"/>
      <c r="C68" s="40"/>
      <c r="D68" s="65" t="s">
        <v>33</v>
      </c>
      <c r="E68" s="65" t="s">
        <v>39</v>
      </c>
      <c r="F68" s="59">
        <v>2535.32</v>
      </c>
      <c r="G68" s="40"/>
      <c r="H68" s="40"/>
      <c r="I68" s="40"/>
      <c r="J68" s="40"/>
      <c r="K68" s="40"/>
      <c r="L68" s="40"/>
      <c r="M68" s="40"/>
      <c r="N68" s="40"/>
      <c r="O68" s="40"/>
      <c r="P68" s="22"/>
      <c r="Q68" s="22"/>
      <c r="R68" s="22"/>
      <c r="S68" s="22"/>
      <c r="T68" s="43"/>
      <c r="U68" s="66"/>
      <c r="V68" s="43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22" t="s">
        <v>33</v>
      </c>
      <c r="AK68" s="22" t="s">
        <v>37</v>
      </c>
      <c r="AL68" s="22" t="s">
        <v>35</v>
      </c>
      <c r="AM68" s="22" t="s">
        <v>40</v>
      </c>
      <c r="AN68" s="58">
        <f t="array" ref="AN68">XLOOKUP(AL68, 'Data jarak '!$A$2:$A$11, XLOOKUP(AM68, 'Data jarak '!$B$1:$K$1, 'Data jarak '!$B$2:$K$11))</f>
        <v>403.0102</v>
      </c>
      <c r="AO68" s="24">
        <f t="array" ref="AO68">XLOOKUP(AJ68&amp;AK68, Sheet4!$A:$A&amp;Sheet4!$B:$B, Sheet4!$D:$D)</f>
        <v>6665.76</v>
      </c>
      <c r="AP68" s="43">
        <f t="shared" si="4"/>
        <v>30221654.3</v>
      </c>
      <c r="AQ68" s="40"/>
      <c r="AR68" s="40"/>
      <c r="AS68" s="40"/>
    </row>
    <row r="69">
      <c r="A69" s="40"/>
      <c r="B69" s="40"/>
      <c r="C69" s="40"/>
      <c r="D69" s="65" t="s">
        <v>33</v>
      </c>
      <c r="E69" s="65" t="s">
        <v>35</v>
      </c>
      <c r="F69" s="59">
        <v>33272.84</v>
      </c>
      <c r="G69" s="40"/>
      <c r="H69" s="40"/>
      <c r="I69" s="40"/>
      <c r="J69" s="40"/>
      <c r="K69" s="40"/>
      <c r="L69" s="40"/>
      <c r="M69" s="40"/>
      <c r="N69" s="40"/>
      <c r="O69" s="40"/>
      <c r="P69" s="22"/>
      <c r="Q69" s="22"/>
      <c r="R69" s="22"/>
      <c r="S69" s="22"/>
      <c r="T69" s="43"/>
      <c r="U69" s="66"/>
      <c r="V69" s="43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22" t="s">
        <v>39</v>
      </c>
      <c r="AK69" s="22" t="s">
        <v>31</v>
      </c>
      <c r="AL69" s="22" t="s">
        <v>39</v>
      </c>
      <c r="AM69" s="22" t="s">
        <v>38</v>
      </c>
      <c r="AN69" s="58">
        <f t="array" ref="AN69">XLOOKUP(AL69, 'Data jarak '!$A$2:$A$11, XLOOKUP(AM69, 'Data jarak '!$B$1:$K$1, 'Data jarak '!$B$2:$K$11))</f>
        <v>510.3344</v>
      </c>
      <c r="AO69" s="24">
        <f t="array" ref="AO69">XLOOKUP(AJ69&amp;AK69, Sheet4!$A:$A&amp;Sheet4!$B:$B, Sheet4!$D:$D)</f>
        <v>2873.96</v>
      </c>
      <c r="AP69" s="43">
        <f t="shared" si="4"/>
        <v>16500157.34</v>
      </c>
      <c r="AQ69" s="40"/>
      <c r="AR69" s="40"/>
      <c r="AS69" s="40"/>
    </row>
    <row r="70">
      <c r="A70" s="40"/>
      <c r="B70" s="40"/>
      <c r="C70" s="40"/>
      <c r="D70" s="65" t="s">
        <v>33</v>
      </c>
      <c r="E70" s="65" t="s">
        <v>40</v>
      </c>
      <c r="F70" s="59">
        <v>2248.87</v>
      </c>
      <c r="G70" s="40"/>
      <c r="H70" s="40"/>
      <c r="I70" s="40"/>
      <c r="J70" s="40"/>
      <c r="K70" s="40"/>
      <c r="L70" s="40"/>
      <c r="M70" s="40"/>
      <c r="N70" s="40"/>
      <c r="O70" s="40"/>
      <c r="P70" s="22"/>
      <c r="Q70" s="22"/>
      <c r="R70" s="22"/>
      <c r="S70" s="22"/>
      <c r="T70" s="43"/>
      <c r="U70" s="66"/>
      <c r="V70" s="43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22" t="s">
        <v>39</v>
      </c>
      <c r="AK70" s="22" t="s">
        <v>34</v>
      </c>
      <c r="AL70" s="22" t="s">
        <v>39</v>
      </c>
      <c r="AM70" s="22" t="s">
        <v>38</v>
      </c>
      <c r="AN70" s="58">
        <f t="array" ref="AN70">XLOOKUP(AL70, 'Data jarak '!$A$2:$A$11, XLOOKUP(AM70, 'Data jarak '!$B$1:$K$1, 'Data jarak '!$B$2:$K$11))</f>
        <v>510.3344</v>
      </c>
      <c r="AO70" s="24">
        <f t="array" ref="AO70">XLOOKUP(AJ70&amp;AK70, Sheet4!$A:$A&amp;Sheet4!$B:$B, Sheet4!$D:$D)</f>
        <v>3207.08</v>
      </c>
      <c r="AP70" s="43">
        <f t="shared" si="4"/>
        <v>18412686.53</v>
      </c>
      <c r="AQ70" s="40"/>
      <c r="AR70" s="40"/>
      <c r="AS70" s="40"/>
    </row>
    <row r="71">
      <c r="A71" s="40"/>
      <c r="B71" s="40"/>
      <c r="C71" s="40"/>
      <c r="D71" s="65" t="s">
        <v>33</v>
      </c>
      <c r="E71" s="65" t="s">
        <v>37</v>
      </c>
      <c r="F71" s="59">
        <v>6665.76</v>
      </c>
      <c r="G71" s="40"/>
      <c r="H71" s="40"/>
      <c r="I71" s="40"/>
      <c r="J71" s="40"/>
      <c r="K71" s="40"/>
      <c r="L71" s="40"/>
      <c r="M71" s="40"/>
      <c r="N71" s="40"/>
      <c r="O71" s="40"/>
      <c r="P71" s="22"/>
      <c r="Q71" s="22"/>
      <c r="R71" s="22"/>
      <c r="S71" s="22"/>
      <c r="T71" s="43"/>
      <c r="U71" s="66"/>
      <c r="V71" s="43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22" t="s">
        <v>39</v>
      </c>
      <c r="AK71" s="22" t="s">
        <v>36</v>
      </c>
      <c r="AL71" s="22" t="s">
        <v>39</v>
      </c>
      <c r="AM71" s="22" t="s">
        <v>38</v>
      </c>
      <c r="AN71" s="58">
        <f t="array" ref="AN71">XLOOKUP(AL71, 'Data jarak '!$A$2:$A$11, XLOOKUP(AM71, 'Data jarak '!$B$1:$K$1, 'Data jarak '!$B$2:$K$11))</f>
        <v>510.3344</v>
      </c>
      <c r="AO71" s="24">
        <f t="array" ref="AO71">XLOOKUP(AJ71&amp;AK71, Sheet4!$A:$A&amp;Sheet4!$B:$B, Sheet4!$D:$D)</f>
        <v>22608.32</v>
      </c>
      <c r="AP71" s="43">
        <f t="shared" si="4"/>
        <v>129800288.5</v>
      </c>
      <c r="AQ71" s="40"/>
      <c r="AR71" s="40"/>
      <c r="AS71" s="40"/>
    </row>
    <row r="72">
      <c r="A72" s="40"/>
      <c r="B72" s="40"/>
      <c r="C72" s="40"/>
      <c r="D72" s="67" t="s">
        <v>39</v>
      </c>
      <c r="E72" s="67" t="s">
        <v>31</v>
      </c>
      <c r="F72" s="59">
        <v>2873.96</v>
      </c>
      <c r="G72" s="40"/>
      <c r="H72" s="40"/>
      <c r="I72" s="40"/>
      <c r="J72" s="40"/>
      <c r="K72" s="40"/>
      <c r="L72" s="40"/>
      <c r="M72" s="40"/>
      <c r="N72" s="40"/>
      <c r="O72" s="40"/>
      <c r="P72" s="22"/>
      <c r="Q72" s="22"/>
      <c r="R72" s="22"/>
      <c r="S72" s="22"/>
      <c r="T72" s="43"/>
      <c r="U72" s="66"/>
      <c r="V72" s="43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22" t="s">
        <v>39</v>
      </c>
      <c r="AK72" s="22" t="s">
        <v>32</v>
      </c>
      <c r="AL72" s="22" t="s">
        <v>39</v>
      </c>
      <c r="AM72" s="22" t="s">
        <v>38</v>
      </c>
      <c r="AN72" s="58">
        <f t="array" ref="AN72">XLOOKUP(AL72, 'Data jarak '!$A$2:$A$11, XLOOKUP(AM72, 'Data jarak '!$B$1:$K$1, 'Data jarak '!$B$2:$K$11))</f>
        <v>510.3344</v>
      </c>
      <c r="AO72" s="24">
        <f t="array" ref="AO72">XLOOKUP(AJ72&amp;AK72, Sheet4!$A:$A&amp;Sheet4!$B:$B, Sheet4!$D:$D)</f>
        <v>6602.08</v>
      </c>
      <c r="AP72" s="43">
        <f t="shared" si="4"/>
        <v>37904271.02</v>
      </c>
      <c r="AQ72" s="40"/>
      <c r="AR72" s="40"/>
      <c r="AS72" s="40"/>
    </row>
    <row r="73">
      <c r="A73" s="40"/>
      <c r="B73" s="40"/>
      <c r="C73" s="40"/>
      <c r="D73" s="67" t="s">
        <v>39</v>
      </c>
      <c r="E73" s="67" t="s">
        <v>34</v>
      </c>
      <c r="F73" s="59">
        <v>3207.09</v>
      </c>
      <c r="G73" s="40"/>
      <c r="H73" s="40"/>
      <c r="I73" s="40"/>
      <c r="J73" s="40"/>
      <c r="K73" s="40"/>
      <c r="L73" s="40"/>
      <c r="M73" s="40"/>
      <c r="N73" s="40"/>
      <c r="O73" s="40"/>
      <c r="P73" s="22"/>
      <c r="Q73" s="22"/>
      <c r="R73" s="22"/>
      <c r="S73" s="22"/>
      <c r="T73" s="43"/>
      <c r="U73" s="66"/>
      <c r="V73" s="43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22" t="s">
        <v>39</v>
      </c>
      <c r="AK73" s="22" t="s">
        <v>38</v>
      </c>
      <c r="AL73" s="22" t="s">
        <v>38</v>
      </c>
      <c r="AM73" s="22" t="s">
        <v>35</v>
      </c>
      <c r="AN73" s="58">
        <f t="array" ref="AN73">XLOOKUP(AL73, 'Data jarak '!$A$2:$A$11, XLOOKUP(AM73, 'Data jarak '!$B$1:$K$1, 'Data jarak '!$B$2:$K$11))</f>
        <v>647.3369</v>
      </c>
      <c r="AO73" s="24">
        <f t="array" ref="AO73">XLOOKUP(AJ73&amp;AK73, Sheet4!$A:$A&amp;Sheet4!$B:$B, Sheet4!$D:$D)</f>
        <v>1576.64</v>
      </c>
      <c r="AP73" s="43">
        <f t="shared" si="4"/>
        <v>11481944.06</v>
      </c>
      <c r="AQ73" s="40"/>
      <c r="AR73" s="40"/>
      <c r="AS73" s="40"/>
    </row>
    <row r="74">
      <c r="A74" s="40"/>
      <c r="B74" s="40"/>
      <c r="C74" s="40"/>
      <c r="D74" s="67" t="s">
        <v>39</v>
      </c>
      <c r="E74" s="67" t="s">
        <v>36</v>
      </c>
      <c r="F74" s="59">
        <v>22608.32</v>
      </c>
      <c r="G74" s="40"/>
      <c r="H74" s="40"/>
      <c r="I74" s="40"/>
      <c r="J74" s="40"/>
      <c r="K74" s="40"/>
      <c r="L74" s="40"/>
      <c r="M74" s="40"/>
      <c r="N74" s="40"/>
      <c r="O74" s="40"/>
      <c r="P74" s="22"/>
      <c r="Q74" s="22"/>
      <c r="R74" s="22"/>
      <c r="S74" s="22"/>
      <c r="T74" s="43"/>
      <c r="U74" s="66"/>
      <c r="V74" s="43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22" t="s">
        <v>39</v>
      </c>
      <c r="AK74" s="22" t="s">
        <v>38</v>
      </c>
      <c r="AL74" s="22" t="s">
        <v>39</v>
      </c>
      <c r="AM74" s="22" t="s">
        <v>38</v>
      </c>
      <c r="AN74" s="58">
        <f t="array" ref="AN74">XLOOKUP(AL74, 'Data jarak '!$A$2:$A$11, XLOOKUP(AM74, 'Data jarak '!$B$1:$K$1, 'Data jarak '!$B$2:$K$11))</f>
        <v>510.3344</v>
      </c>
      <c r="AO74" s="24">
        <f t="array" ref="AO74">XLOOKUP(AJ74&amp;AK74, Sheet4!$A:$A&amp;Sheet4!$B:$B, Sheet4!$D:$D)</f>
        <v>1576.64</v>
      </c>
      <c r="AP74" s="43">
        <f t="shared" si="4"/>
        <v>9051903.32</v>
      </c>
      <c r="AQ74" s="40"/>
      <c r="AR74" s="40"/>
      <c r="AS74" s="40"/>
    </row>
    <row r="75">
      <c r="A75" s="40"/>
      <c r="B75" s="40"/>
      <c r="C75" s="40"/>
      <c r="D75" s="67" t="s">
        <v>39</v>
      </c>
      <c r="E75" s="67" t="s">
        <v>32</v>
      </c>
      <c r="F75" s="59">
        <v>6602.08</v>
      </c>
      <c r="G75" s="40"/>
      <c r="H75" s="40"/>
      <c r="I75" s="40"/>
      <c r="J75" s="40"/>
      <c r="K75" s="40"/>
      <c r="L75" s="40"/>
      <c r="M75" s="40"/>
      <c r="N75" s="40"/>
      <c r="O75" s="40"/>
      <c r="P75" s="22"/>
      <c r="Q75" s="22"/>
      <c r="R75" s="22"/>
      <c r="S75" s="22"/>
      <c r="T75" s="43"/>
      <c r="U75" s="66"/>
      <c r="V75" s="43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22" t="s">
        <v>39</v>
      </c>
      <c r="AK75" s="22" t="s">
        <v>33</v>
      </c>
      <c r="AL75" s="22" t="s">
        <v>39</v>
      </c>
      <c r="AM75" s="22" t="s">
        <v>38</v>
      </c>
      <c r="AN75" s="58">
        <f t="array" ref="AN75">XLOOKUP(AL75, 'Data jarak '!$A$2:$A$11, XLOOKUP(AM75, 'Data jarak '!$B$1:$K$1, 'Data jarak '!$B$2:$K$11))</f>
        <v>510.3344</v>
      </c>
      <c r="AO75" s="24">
        <f t="array" ref="AO75">XLOOKUP(AJ75&amp;AK75, Sheet4!$A:$A&amp;Sheet4!$B:$B, Sheet4!$D:$D)</f>
        <v>11335.92</v>
      </c>
      <c r="AP75" s="43">
        <f t="shared" si="4"/>
        <v>65082486.73</v>
      </c>
      <c r="AQ75" s="40"/>
      <c r="AR75" s="40"/>
      <c r="AS75" s="40"/>
    </row>
    <row r="76">
      <c r="A76" s="40"/>
      <c r="B76" s="40"/>
      <c r="C76" s="40"/>
      <c r="D76" s="67" t="s">
        <v>39</v>
      </c>
      <c r="E76" s="67" t="s">
        <v>38</v>
      </c>
      <c r="F76" s="59">
        <v>1576.64</v>
      </c>
      <c r="G76" s="40"/>
      <c r="H76" s="40"/>
      <c r="I76" s="40"/>
      <c r="J76" s="40"/>
      <c r="K76" s="40"/>
      <c r="L76" s="40"/>
      <c r="M76" s="40"/>
      <c r="N76" s="40"/>
      <c r="O76" s="40"/>
      <c r="P76" s="22"/>
      <c r="Q76" s="22"/>
      <c r="R76" s="22"/>
      <c r="S76" s="22"/>
      <c r="T76" s="43"/>
      <c r="U76" s="66"/>
      <c r="V76" s="43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22" t="s">
        <v>39</v>
      </c>
      <c r="AK76" s="22" t="s">
        <v>35</v>
      </c>
      <c r="AL76" s="22" t="s">
        <v>39</v>
      </c>
      <c r="AM76" s="22" t="s">
        <v>35</v>
      </c>
      <c r="AN76" s="58">
        <f t="array" ref="AN76">XLOOKUP(AL76, 'Data jarak '!$A$2:$A$11, XLOOKUP(AM76, 'Data jarak '!$B$1:$K$1, 'Data jarak '!$B$2:$K$11))</f>
        <v>186.18</v>
      </c>
      <c r="AO76" s="24">
        <f t="array" ref="AO76">XLOOKUP(AJ76&amp;AK76, Sheet4!$A:$A&amp;Sheet4!$B:$B, Sheet4!$D:$D)</f>
        <v>14964.48</v>
      </c>
      <c r="AP76" s="43">
        <f t="shared" si="4"/>
        <v>31343477.47</v>
      </c>
      <c r="AQ76" s="40"/>
      <c r="AR76" s="40"/>
      <c r="AS76" s="40"/>
    </row>
    <row r="77">
      <c r="A77" s="40"/>
      <c r="B77" s="40"/>
      <c r="C77" s="40"/>
      <c r="D77" s="67" t="s">
        <v>39</v>
      </c>
      <c r="E77" s="67" t="s">
        <v>33</v>
      </c>
      <c r="F77" s="59">
        <v>11335.92</v>
      </c>
      <c r="G77" s="40"/>
      <c r="H77" s="40"/>
      <c r="I77" s="40"/>
      <c r="J77" s="40"/>
      <c r="K77" s="40"/>
      <c r="L77" s="40"/>
      <c r="M77" s="40"/>
      <c r="N77" s="40"/>
      <c r="O77" s="40"/>
      <c r="P77" s="22"/>
      <c r="Q77" s="22"/>
      <c r="R77" s="22"/>
      <c r="S77" s="22"/>
      <c r="T77" s="43"/>
      <c r="U77" s="66"/>
      <c r="V77" s="43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22" t="s">
        <v>39</v>
      </c>
      <c r="AK77" s="22" t="s">
        <v>35</v>
      </c>
      <c r="AL77" s="22" t="s">
        <v>35</v>
      </c>
      <c r="AM77" s="22" t="s">
        <v>40</v>
      </c>
      <c r="AN77" s="58">
        <f t="array" ref="AN77">XLOOKUP(AL77, 'Data jarak '!$A$2:$A$11, XLOOKUP(AM77, 'Data jarak '!$B$1:$K$1, 'Data jarak '!$B$2:$K$11))</f>
        <v>403.0102</v>
      </c>
      <c r="AO77" s="24">
        <f t="array" ref="AO77">XLOOKUP(AJ77&amp;AK77, Sheet4!$A:$A&amp;Sheet4!$B:$B, Sheet4!$D:$D)</f>
        <v>14964.48</v>
      </c>
      <c r="AP77" s="43">
        <f t="shared" si="4"/>
        <v>67846928.37</v>
      </c>
      <c r="AQ77" s="40"/>
      <c r="AR77" s="40"/>
      <c r="AS77" s="40"/>
    </row>
    <row r="78">
      <c r="A78" s="40"/>
      <c r="B78" s="40"/>
      <c r="C78" s="40"/>
      <c r="D78" s="67" t="s">
        <v>39</v>
      </c>
      <c r="E78" s="67" t="s">
        <v>39</v>
      </c>
      <c r="F78" s="53">
        <v>0.0</v>
      </c>
      <c r="G78" s="40"/>
      <c r="H78" s="40"/>
      <c r="I78" s="40"/>
      <c r="J78" s="40"/>
      <c r="K78" s="40"/>
      <c r="L78" s="40"/>
      <c r="M78" s="40"/>
      <c r="N78" s="40"/>
      <c r="O78" s="40"/>
      <c r="P78" s="22"/>
      <c r="Q78" s="22"/>
      <c r="R78" s="22"/>
      <c r="S78" s="22"/>
      <c r="T78" s="43"/>
      <c r="U78" s="66"/>
      <c r="V78" s="43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22" t="s">
        <v>39</v>
      </c>
      <c r="AK78" s="22" t="s">
        <v>40</v>
      </c>
      <c r="AL78" s="22" t="s">
        <v>39</v>
      </c>
      <c r="AM78" s="22" t="s">
        <v>40</v>
      </c>
      <c r="AN78" s="58">
        <f t="array" ref="AN78">XLOOKUP(AL78, 'Data jarak '!$A$2:$A$11, XLOOKUP(AM78, 'Data jarak '!$B$1:$K$1, 'Data jarak '!$B$2:$K$11))</f>
        <v>587.9985</v>
      </c>
      <c r="AO78" s="24">
        <f t="array" ref="AO78">XLOOKUP(AJ78&amp;AK78, Sheet4!$A:$A&amp;Sheet4!$B:$B, Sheet4!$D:$D)</f>
        <v>3552.96</v>
      </c>
      <c r="AP78" s="43">
        <f t="shared" si="4"/>
        <v>23502770.44</v>
      </c>
      <c r="AQ78" s="40"/>
      <c r="AR78" s="40"/>
      <c r="AS78" s="40"/>
    </row>
    <row r="79">
      <c r="A79" s="40"/>
      <c r="B79" s="40"/>
      <c r="C79" s="40"/>
      <c r="D79" s="67" t="s">
        <v>39</v>
      </c>
      <c r="E79" s="67" t="s">
        <v>35</v>
      </c>
      <c r="F79" s="59">
        <v>14964.48</v>
      </c>
      <c r="G79" s="40"/>
      <c r="H79" s="40"/>
      <c r="I79" s="40"/>
      <c r="J79" s="40"/>
      <c r="K79" s="40"/>
      <c r="L79" s="40"/>
      <c r="M79" s="40"/>
      <c r="N79" s="40"/>
      <c r="O79" s="40"/>
      <c r="P79" s="22"/>
      <c r="Q79" s="22"/>
      <c r="R79" s="22"/>
      <c r="S79" s="22"/>
      <c r="T79" s="43"/>
      <c r="U79" s="66"/>
      <c r="V79" s="43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22" t="s">
        <v>39</v>
      </c>
      <c r="AK79" s="22" t="s">
        <v>40</v>
      </c>
      <c r="AL79" s="22" t="s">
        <v>40</v>
      </c>
      <c r="AM79" s="22" t="s">
        <v>35</v>
      </c>
      <c r="AN79" s="58">
        <f t="array" ref="AN79">XLOOKUP(AL79, 'Data jarak '!$A$2:$A$11, XLOOKUP(AM79, 'Data jarak '!$B$1:$K$1, 'Data jarak '!$B$2:$K$11))</f>
        <v>403.0102</v>
      </c>
      <c r="AO79" s="24">
        <f t="array" ref="AO79">XLOOKUP(AJ79&amp;AK79, Sheet4!$A:$A&amp;Sheet4!$B:$B, Sheet4!$D:$D)</f>
        <v>3552.96</v>
      </c>
      <c r="AP79" s="43">
        <f t="shared" si="4"/>
        <v>16108640.1</v>
      </c>
      <c r="AQ79" s="40"/>
      <c r="AR79" s="40"/>
      <c r="AS79" s="40"/>
    </row>
    <row r="80">
      <c r="A80" s="40"/>
      <c r="B80" s="40"/>
      <c r="C80" s="40"/>
      <c r="D80" s="67" t="s">
        <v>39</v>
      </c>
      <c r="E80" s="67" t="s">
        <v>40</v>
      </c>
      <c r="F80" s="59">
        <v>3552.95</v>
      </c>
      <c r="G80" s="40"/>
      <c r="H80" s="40"/>
      <c r="I80" s="40"/>
      <c r="J80" s="40"/>
      <c r="K80" s="40"/>
      <c r="L80" s="40"/>
      <c r="M80" s="40"/>
      <c r="N80" s="40"/>
      <c r="O80" s="40"/>
      <c r="P80" s="22"/>
      <c r="Q80" s="22"/>
      <c r="R80" s="22"/>
      <c r="S80" s="22"/>
      <c r="T80" s="43"/>
      <c r="U80" s="66"/>
      <c r="V80" s="43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22" t="s">
        <v>39</v>
      </c>
      <c r="AK80" s="22" t="s">
        <v>37</v>
      </c>
      <c r="AL80" s="22" t="s">
        <v>39</v>
      </c>
      <c r="AM80" s="22" t="s">
        <v>40</v>
      </c>
      <c r="AN80" s="58">
        <f t="array" ref="AN80">XLOOKUP(AL80, 'Data jarak '!$A$2:$A$11, XLOOKUP(AM80, 'Data jarak '!$B$1:$K$1, 'Data jarak '!$B$2:$K$11))</f>
        <v>587.9985</v>
      </c>
      <c r="AO80" s="24">
        <f t="array" ref="AO80">XLOOKUP(AJ80&amp;AK80, Sheet4!$A:$A&amp;Sheet4!$B:$B, Sheet4!$D:$D)</f>
        <v>8546.4</v>
      </c>
      <c r="AP80" s="43">
        <f t="shared" si="4"/>
        <v>56534291.78</v>
      </c>
      <c r="AQ80" s="40"/>
      <c r="AR80" s="40"/>
      <c r="AS80" s="40"/>
    </row>
    <row r="81">
      <c r="A81" s="40"/>
      <c r="B81" s="40"/>
      <c r="C81" s="40"/>
      <c r="D81" s="67" t="s">
        <v>39</v>
      </c>
      <c r="E81" s="67" t="s">
        <v>37</v>
      </c>
      <c r="F81" s="59">
        <v>8546.4</v>
      </c>
      <c r="G81" s="40"/>
      <c r="H81" s="40"/>
      <c r="I81" s="40"/>
      <c r="J81" s="40"/>
      <c r="K81" s="40"/>
      <c r="L81" s="40"/>
      <c r="M81" s="40"/>
      <c r="N81" s="40"/>
      <c r="O81" s="40"/>
      <c r="P81" s="22"/>
      <c r="Q81" s="22"/>
      <c r="R81" s="22"/>
      <c r="S81" s="22"/>
      <c r="T81" s="43"/>
      <c r="U81" s="66"/>
      <c r="V81" s="43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22" t="s">
        <v>35</v>
      </c>
      <c r="AK81" s="22" t="s">
        <v>31</v>
      </c>
      <c r="AL81" s="22" t="s">
        <v>35</v>
      </c>
      <c r="AM81" s="22" t="s">
        <v>38</v>
      </c>
      <c r="AN81" s="58">
        <f t="array" ref="AN81">XLOOKUP(AL81, 'Data jarak '!$A$2:$A$11, XLOOKUP(AM81, 'Data jarak '!$B$1:$K$1, 'Data jarak '!$B$2:$K$11))</f>
        <v>647.3369</v>
      </c>
      <c r="AO81" s="24">
        <f t="array" ref="AO81">XLOOKUP(AJ81&amp;AK81, Sheet4!$A:$A&amp;Sheet4!$B:$B, Sheet4!$D:$D)</f>
        <v>30724.48</v>
      </c>
      <c r="AP81" s="43">
        <f t="shared" si="4"/>
        <v>223752258.4</v>
      </c>
      <c r="AQ81" s="40"/>
      <c r="AR81" s="40"/>
      <c r="AS81" s="40"/>
    </row>
    <row r="82">
      <c r="A82" s="40"/>
      <c r="B82" s="40"/>
      <c r="C82" s="40"/>
      <c r="D82" s="68" t="s">
        <v>35</v>
      </c>
      <c r="E82" s="68" t="s">
        <v>31</v>
      </c>
      <c r="F82" s="59">
        <v>30724.48</v>
      </c>
      <c r="G82" s="40"/>
      <c r="H82" s="40"/>
      <c r="I82" s="40"/>
      <c r="J82" s="40"/>
      <c r="K82" s="40"/>
      <c r="L82" s="40"/>
      <c r="M82" s="40"/>
      <c r="N82" s="40"/>
      <c r="O82" s="40"/>
      <c r="P82" s="22"/>
      <c r="Q82" s="22"/>
      <c r="R82" s="22"/>
      <c r="S82" s="22"/>
      <c r="T82" s="43"/>
      <c r="U82" s="66"/>
      <c r="V82" s="43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22" t="s">
        <v>35</v>
      </c>
      <c r="AK82" s="22" t="s">
        <v>34</v>
      </c>
      <c r="AL82" s="22" t="s">
        <v>35</v>
      </c>
      <c r="AM82" s="22" t="s">
        <v>38</v>
      </c>
      <c r="AN82" s="58">
        <f t="array" ref="AN82">XLOOKUP(AL82, 'Data jarak '!$A$2:$A$11, XLOOKUP(AM82, 'Data jarak '!$B$1:$K$1, 'Data jarak '!$B$2:$K$11))</f>
        <v>647.3369</v>
      </c>
      <c r="AO82" s="24">
        <f t="array" ref="AO82">XLOOKUP(AJ82&amp;AK82, Sheet4!$A:$A&amp;Sheet4!$B:$B, Sheet4!$D:$D)</f>
        <v>6826.24</v>
      </c>
      <c r="AP82" s="43">
        <f t="shared" si="4"/>
        <v>49712366.7</v>
      </c>
      <c r="AQ82" s="40"/>
      <c r="AR82" s="40"/>
      <c r="AS82" s="40"/>
    </row>
    <row r="83">
      <c r="A83" s="40"/>
      <c r="B83" s="40"/>
      <c r="C83" s="40"/>
      <c r="D83" s="68" t="s">
        <v>35</v>
      </c>
      <c r="E83" s="68" t="s">
        <v>34</v>
      </c>
      <c r="F83" s="59">
        <v>6826.26</v>
      </c>
      <c r="G83" s="40"/>
      <c r="H83" s="40"/>
      <c r="I83" s="40"/>
      <c r="J83" s="40"/>
      <c r="K83" s="40"/>
      <c r="L83" s="40"/>
      <c r="M83" s="40"/>
      <c r="N83" s="40"/>
      <c r="O83" s="40"/>
      <c r="P83" s="22"/>
      <c r="Q83" s="22"/>
      <c r="R83" s="22"/>
      <c r="S83" s="22"/>
      <c r="T83" s="43"/>
      <c r="U83" s="66"/>
      <c r="V83" s="43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22" t="s">
        <v>35</v>
      </c>
      <c r="AK83" s="22" t="s">
        <v>36</v>
      </c>
      <c r="AL83" s="22" t="s">
        <v>35</v>
      </c>
      <c r="AM83" s="22" t="s">
        <v>38</v>
      </c>
      <c r="AN83" s="58">
        <f t="array" ref="AN83">XLOOKUP(AL83, 'Data jarak '!$A$2:$A$11, XLOOKUP(AM83, 'Data jarak '!$B$1:$K$1, 'Data jarak '!$B$2:$K$11))</f>
        <v>647.3369</v>
      </c>
      <c r="AO83" s="24">
        <f t="array" ref="AO83">XLOOKUP(AJ83&amp;AK83, Sheet4!$A:$A&amp;Sheet4!$B:$B, Sheet4!$D:$D)</f>
        <v>12802.76</v>
      </c>
      <c r="AP83" s="43">
        <f t="shared" si="4"/>
        <v>93236613.41</v>
      </c>
      <c r="AQ83" s="40"/>
      <c r="AR83" s="40"/>
      <c r="AS83" s="40"/>
    </row>
    <row r="84">
      <c r="A84" s="40"/>
      <c r="B84" s="40"/>
      <c r="C84" s="40"/>
      <c r="D84" s="68" t="s">
        <v>35</v>
      </c>
      <c r="E84" s="68" t="s">
        <v>36</v>
      </c>
      <c r="F84" s="59">
        <v>12802.76</v>
      </c>
      <c r="G84" s="40"/>
      <c r="H84" s="40"/>
      <c r="I84" s="40"/>
      <c r="J84" s="40"/>
      <c r="K84" s="40"/>
      <c r="L84" s="40"/>
      <c r="M84" s="40"/>
      <c r="N84" s="40"/>
      <c r="O84" s="40"/>
      <c r="P84" s="22"/>
      <c r="Q84" s="22"/>
      <c r="R84" s="22"/>
      <c r="S84" s="22"/>
      <c r="T84" s="43"/>
      <c r="U84" s="66"/>
      <c r="V84" s="43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22" t="s">
        <v>35</v>
      </c>
      <c r="AK84" s="22" t="s">
        <v>32</v>
      </c>
      <c r="AL84" s="22" t="s">
        <v>35</v>
      </c>
      <c r="AM84" s="22" t="s">
        <v>38</v>
      </c>
      <c r="AN84" s="58">
        <f t="array" ref="AN84">XLOOKUP(AL84, 'Data jarak '!$A$2:$A$11, XLOOKUP(AM84, 'Data jarak '!$B$1:$K$1, 'Data jarak '!$B$2:$K$11))</f>
        <v>647.3369</v>
      </c>
      <c r="AO84" s="24">
        <f t="array" ref="AO84">XLOOKUP(AJ84&amp;AK84, Sheet4!$A:$A&amp;Sheet4!$B:$B, Sheet4!$D:$D)</f>
        <v>72304</v>
      </c>
      <c r="AP84" s="43">
        <f t="shared" si="4"/>
        <v>526556781.2</v>
      </c>
      <c r="AQ84" s="40"/>
      <c r="AR84" s="40"/>
      <c r="AS84" s="40"/>
    </row>
    <row r="85">
      <c r="A85" s="40"/>
      <c r="B85" s="40"/>
      <c r="C85" s="40"/>
      <c r="D85" s="68" t="s">
        <v>35</v>
      </c>
      <c r="E85" s="68" t="s">
        <v>32</v>
      </c>
      <c r="F85" s="59">
        <v>72304.0</v>
      </c>
      <c r="G85" s="40"/>
      <c r="H85" s="40"/>
      <c r="I85" s="40"/>
      <c r="J85" s="40"/>
      <c r="K85" s="40"/>
      <c r="L85" s="40"/>
      <c r="M85" s="40"/>
      <c r="N85" s="40"/>
      <c r="O85" s="40"/>
      <c r="P85" s="22"/>
      <c r="Q85" s="22"/>
      <c r="R85" s="22"/>
      <c r="S85" s="22"/>
      <c r="T85" s="43"/>
      <c r="U85" s="66"/>
      <c r="V85" s="43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22" t="s">
        <v>35</v>
      </c>
      <c r="AK85" s="22" t="s">
        <v>38</v>
      </c>
      <c r="AL85" s="22" t="s">
        <v>38</v>
      </c>
      <c r="AM85" s="22" t="s">
        <v>39</v>
      </c>
      <c r="AN85" s="58">
        <f t="array" ref="AN85">XLOOKUP(AL85, 'Data jarak '!$A$2:$A$11, XLOOKUP(AM85, 'Data jarak '!$B$1:$K$1, 'Data jarak '!$B$2:$K$11))</f>
        <v>510.3344</v>
      </c>
      <c r="AO85" s="24">
        <f t="array" ref="AO85">XLOOKUP(AJ85&amp;AK85, Sheet4!$A:$A&amp;Sheet4!$B:$B, Sheet4!$D:$D)</f>
        <v>34996.76</v>
      </c>
      <c r="AP85" s="43">
        <f t="shared" si="4"/>
        <v>200925568.3</v>
      </c>
      <c r="AQ85" s="40"/>
      <c r="AR85" s="40"/>
      <c r="AS85" s="40"/>
    </row>
    <row r="86">
      <c r="A86" s="40"/>
      <c r="B86" s="40"/>
      <c r="C86" s="40"/>
      <c r="D86" s="68" t="s">
        <v>35</v>
      </c>
      <c r="E86" s="68" t="s">
        <v>38</v>
      </c>
      <c r="F86" s="59">
        <v>34996.76</v>
      </c>
      <c r="G86" s="40"/>
      <c r="H86" s="40"/>
      <c r="I86" s="40"/>
      <c r="J86" s="40"/>
      <c r="K86" s="40"/>
      <c r="L86" s="40"/>
      <c r="M86" s="40"/>
      <c r="N86" s="40"/>
      <c r="O86" s="40"/>
      <c r="P86" s="22"/>
      <c r="Q86" s="22"/>
      <c r="R86" s="22"/>
      <c r="S86" s="22"/>
      <c r="T86" s="43"/>
      <c r="U86" s="66"/>
      <c r="V86" s="43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22" t="s">
        <v>35</v>
      </c>
      <c r="AK86" s="22" t="s">
        <v>38</v>
      </c>
      <c r="AL86" s="22" t="s">
        <v>35</v>
      </c>
      <c r="AM86" s="22" t="s">
        <v>38</v>
      </c>
      <c r="AN86" s="58">
        <f t="array" ref="AN86">XLOOKUP(AL86, 'Data jarak '!$A$2:$A$11, XLOOKUP(AM86, 'Data jarak '!$B$1:$K$1, 'Data jarak '!$B$2:$K$11))</f>
        <v>647.3369</v>
      </c>
      <c r="AO86" s="24">
        <f t="array" ref="AO86">XLOOKUP(AJ86&amp;AK86, Sheet4!$A:$A&amp;Sheet4!$B:$B, Sheet4!$D:$D)</f>
        <v>34996.76</v>
      </c>
      <c r="AP86" s="43">
        <f t="shared" si="4"/>
        <v>254865308.9</v>
      </c>
      <c r="AQ86" s="40"/>
      <c r="AR86" s="40"/>
      <c r="AS86" s="40"/>
    </row>
    <row r="87">
      <c r="A87" s="40"/>
      <c r="B87" s="40"/>
      <c r="C87" s="40"/>
      <c r="D87" s="68" t="s">
        <v>35</v>
      </c>
      <c r="E87" s="68" t="s">
        <v>33</v>
      </c>
      <c r="F87" s="59">
        <v>121568.92</v>
      </c>
      <c r="G87" s="40"/>
      <c r="H87" s="40"/>
      <c r="I87" s="40"/>
      <c r="J87" s="40"/>
      <c r="K87" s="40"/>
      <c r="L87" s="40"/>
      <c r="M87" s="40"/>
      <c r="N87" s="40"/>
      <c r="O87" s="40"/>
      <c r="P87" s="22"/>
      <c r="Q87" s="22"/>
      <c r="R87" s="22"/>
      <c r="S87" s="22"/>
      <c r="T87" s="43"/>
      <c r="U87" s="66"/>
      <c r="V87" s="43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22" t="s">
        <v>35</v>
      </c>
      <c r="AK87" s="22" t="s">
        <v>33</v>
      </c>
      <c r="AL87" s="22" t="s">
        <v>35</v>
      </c>
      <c r="AM87" s="22" t="s">
        <v>39</v>
      </c>
      <c r="AN87" s="58">
        <f t="array" ref="AN87">XLOOKUP(AL87, 'Data jarak '!$A$2:$A$11, XLOOKUP(AM87, 'Data jarak '!$B$1:$K$1, 'Data jarak '!$B$2:$K$11))</f>
        <v>186.18</v>
      </c>
      <c r="AO87" s="24">
        <f t="array" ref="AO87">XLOOKUP(AJ87&amp;AK87, Sheet4!$A:$A&amp;Sheet4!$B:$B, Sheet4!$D:$D)</f>
        <v>121568.92</v>
      </c>
      <c r="AP87" s="43">
        <f t="shared" si="4"/>
        <v>254629142.2</v>
      </c>
      <c r="AQ87" s="40"/>
      <c r="AR87" s="40"/>
      <c r="AS87" s="40"/>
    </row>
    <row r="88">
      <c r="A88" s="40"/>
      <c r="B88" s="40"/>
      <c r="C88" s="40"/>
      <c r="D88" s="68" t="s">
        <v>35</v>
      </c>
      <c r="E88" s="68" t="s">
        <v>39</v>
      </c>
      <c r="F88" s="59">
        <v>16938.64</v>
      </c>
      <c r="G88" s="40"/>
      <c r="H88" s="40"/>
      <c r="I88" s="40"/>
      <c r="J88" s="40"/>
      <c r="K88" s="40"/>
      <c r="L88" s="40"/>
      <c r="M88" s="40"/>
      <c r="N88" s="40"/>
      <c r="O88" s="40"/>
      <c r="P88" s="22"/>
      <c r="Q88" s="22"/>
      <c r="R88" s="22"/>
      <c r="S88" s="22"/>
      <c r="T88" s="43"/>
      <c r="U88" s="66"/>
      <c r="V88" s="43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22" t="s">
        <v>35</v>
      </c>
      <c r="AK88" s="22" t="s">
        <v>39</v>
      </c>
      <c r="AL88" s="22" t="s">
        <v>39</v>
      </c>
      <c r="AM88" s="22" t="s">
        <v>38</v>
      </c>
      <c r="AN88" s="58">
        <f t="array" ref="AN88">XLOOKUP(AL88, 'Data jarak '!$A$2:$A$11, XLOOKUP(AM88, 'Data jarak '!$B$1:$K$1, 'Data jarak '!$B$2:$K$11))</f>
        <v>510.3344</v>
      </c>
      <c r="AO88" s="24">
        <f t="array" ref="AO88">XLOOKUP(AJ88&amp;AK88, Sheet4!$A:$A&amp;Sheet4!$B:$B, Sheet4!$D:$D)</f>
        <v>16938.64</v>
      </c>
      <c r="AP88" s="43">
        <f t="shared" si="4"/>
        <v>97249170.16</v>
      </c>
      <c r="AQ88" s="40"/>
      <c r="AR88" s="40"/>
      <c r="AS88" s="40"/>
    </row>
    <row r="89">
      <c r="A89" s="40"/>
      <c r="B89" s="40"/>
      <c r="C89" s="40"/>
      <c r="D89" s="68" t="s">
        <v>35</v>
      </c>
      <c r="E89" s="68" t="s">
        <v>35</v>
      </c>
      <c r="F89" s="69">
        <v>0.0</v>
      </c>
      <c r="G89" s="40"/>
      <c r="H89" s="40"/>
      <c r="I89" s="40"/>
      <c r="J89" s="40"/>
      <c r="K89" s="40"/>
      <c r="L89" s="40"/>
      <c r="M89" s="40"/>
      <c r="N89" s="40"/>
      <c r="O89" s="40"/>
      <c r="P89" s="22"/>
      <c r="Q89" s="22"/>
      <c r="R89" s="22"/>
      <c r="S89" s="22"/>
      <c r="T89" s="43"/>
      <c r="U89" s="66"/>
      <c r="V89" s="43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22" t="s">
        <v>35</v>
      </c>
      <c r="AK89" s="22" t="s">
        <v>39</v>
      </c>
      <c r="AL89" s="22" t="s">
        <v>35</v>
      </c>
      <c r="AM89" s="22" t="s">
        <v>39</v>
      </c>
      <c r="AN89" s="58">
        <f t="array" ref="AN89">XLOOKUP(AL89, 'Data jarak '!$A$2:$A$11, XLOOKUP(AM89, 'Data jarak '!$B$1:$K$1, 'Data jarak '!$B$2:$K$11))</f>
        <v>186.18</v>
      </c>
      <c r="AO89" s="24">
        <f t="array" ref="AO89">XLOOKUP(AJ89&amp;AK89, Sheet4!$A:$A&amp;Sheet4!$B:$B, Sheet4!$D:$D)</f>
        <v>16938.64</v>
      </c>
      <c r="AP89" s="43">
        <f t="shared" si="4"/>
        <v>35478404.95</v>
      </c>
      <c r="AQ89" s="40"/>
      <c r="AR89" s="40"/>
      <c r="AS89" s="40"/>
    </row>
    <row r="90">
      <c r="A90" s="40"/>
      <c r="B90" s="40"/>
      <c r="C90" s="40"/>
      <c r="D90" s="68" t="s">
        <v>35</v>
      </c>
      <c r="E90" s="68" t="s">
        <v>40</v>
      </c>
      <c r="F90" s="59">
        <v>23542.82</v>
      </c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22" t="s">
        <v>35</v>
      </c>
      <c r="AK90" s="22" t="s">
        <v>40</v>
      </c>
      <c r="AL90" s="22" t="s">
        <v>35</v>
      </c>
      <c r="AM90" s="22" t="s">
        <v>40</v>
      </c>
      <c r="AN90" s="58">
        <f t="array" ref="AN90">XLOOKUP(AL90, 'Data jarak '!$A$2:$A$11, XLOOKUP(AM90, 'Data jarak '!$B$1:$K$1, 'Data jarak '!$B$2:$K$11))</f>
        <v>403.0102</v>
      </c>
      <c r="AO90" s="24">
        <f t="array" ref="AO90">XLOOKUP(AJ90&amp;AK90, Sheet4!$A:$A&amp;Sheet4!$B:$B, Sheet4!$D:$D)</f>
        <v>23542.84</v>
      </c>
      <c r="AP90" s="43">
        <f t="shared" si="4"/>
        <v>106740052.4</v>
      </c>
      <c r="AQ90" s="40"/>
      <c r="AR90" s="40"/>
      <c r="AS90" s="40"/>
    </row>
    <row r="91">
      <c r="A91" s="40"/>
      <c r="B91" s="40"/>
      <c r="C91" s="40"/>
      <c r="D91" s="68" t="s">
        <v>35</v>
      </c>
      <c r="E91" s="68" t="s">
        <v>37</v>
      </c>
      <c r="F91" s="59">
        <v>101245.44</v>
      </c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22" t="s">
        <v>35</v>
      </c>
      <c r="AK91" s="22" t="s">
        <v>40</v>
      </c>
      <c r="AL91" s="22" t="s">
        <v>40</v>
      </c>
      <c r="AM91" s="22" t="s">
        <v>39</v>
      </c>
      <c r="AN91" s="58">
        <f t="array" ref="AN91">XLOOKUP(AL91, 'Data jarak '!$A$2:$A$11, XLOOKUP(AM91, 'Data jarak '!$B$1:$K$1, 'Data jarak '!$B$2:$K$11))</f>
        <v>587.9985</v>
      </c>
      <c r="AO91" s="24">
        <f t="array" ref="AO91">XLOOKUP(AJ91&amp;AK91, Sheet4!$A:$A&amp;Sheet4!$B:$B, Sheet4!$D:$D)</f>
        <v>23542.84</v>
      </c>
      <c r="AP91" s="43">
        <f t="shared" si="4"/>
        <v>155735489.3</v>
      </c>
      <c r="AQ91" s="40"/>
      <c r="AR91" s="40"/>
      <c r="AS91" s="40"/>
    </row>
    <row r="92">
      <c r="A92" s="40"/>
      <c r="B92" s="40"/>
      <c r="C92" s="40"/>
      <c r="D92" s="60" t="s">
        <v>40</v>
      </c>
      <c r="E92" s="60" t="s">
        <v>31</v>
      </c>
      <c r="F92" s="61">
        <v>535.69</v>
      </c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22" t="s">
        <v>35</v>
      </c>
      <c r="AK92" s="22" t="s">
        <v>37</v>
      </c>
      <c r="AL92" s="22" t="s">
        <v>35</v>
      </c>
      <c r="AM92" s="22" t="s">
        <v>40</v>
      </c>
      <c r="AN92" s="58">
        <f t="array" ref="AN92">XLOOKUP(AL92, 'Data jarak '!$A$2:$A$11, XLOOKUP(AM92, 'Data jarak '!$B$1:$K$1, 'Data jarak '!$B$2:$K$11))</f>
        <v>403.0102</v>
      </c>
      <c r="AO92" s="24">
        <f t="array" ref="AO92">XLOOKUP(AJ92&amp;AK92, Sheet4!$A:$A&amp;Sheet4!$B:$B, Sheet4!$D:$D)</f>
        <v>101245.44</v>
      </c>
      <c r="AP92" s="43">
        <f t="shared" si="4"/>
        <v>459033131.5</v>
      </c>
      <c r="AQ92" s="40"/>
      <c r="AR92" s="40"/>
      <c r="AS92" s="40"/>
    </row>
    <row r="93">
      <c r="A93" s="40"/>
      <c r="B93" s="40"/>
      <c r="C93" s="40"/>
      <c r="D93" s="60" t="s">
        <v>40</v>
      </c>
      <c r="E93" s="60" t="s">
        <v>34</v>
      </c>
      <c r="F93" s="59">
        <v>1238.12</v>
      </c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22" t="s">
        <v>40</v>
      </c>
      <c r="AK93" s="22" t="s">
        <v>31</v>
      </c>
      <c r="AL93" s="22" t="s">
        <v>40</v>
      </c>
      <c r="AM93" s="22" t="s">
        <v>38</v>
      </c>
      <c r="AN93" s="58">
        <f t="array" ref="AN93">XLOOKUP(AL93, 'Data jarak '!$A$2:$A$11, XLOOKUP(AM93, 'Data jarak '!$B$1:$K$1, 'Data jarak '!$B$2:$K$11))</f>
        <v>976.2167</v>
      </c>
      <c r="AO93" s="24">
        <f t="array" ref="AO93">XLOOKUP(AJ93&amp;AK93, Sheet4!$A:$A&amp;Sheet4!$B:$B, Sheet4!$D:$D)</f>
        <v>535.68</v>
      </c>
      <c r="AP93" s="43">
        <f t="shared" si="4"/>
        <v>5883072.321</v>
      </c>
      <c r="AQ93" s="40"/>
      <c r="AR93" s="40"/>
      <c r="AS93" s="40"/>
    </row>
    <row r="94">
      <c r="A94" s="40"/>
      <c r="B94" s="40"/>
      <c r="C94" s="40"/>
      <c r="D94" s="60" t="s">
        <v>40</v>
      </c>
      <c r="E94" s="60" t="s">
        <v>36</v>
      </c>
      <c r="F94" s="61">
        <v>540.3</v>
      </c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22" t="s">
        <v>40</v>
      </c>
      <c r="AK94" s="22" t="s">
        <v>34</v>
      </c>
      <c r="AL94" s="22" t="s">
        <v>40</v>
      </c>
      <c r="AM94" s="22" t="s">
        <v>38</v>
      </c>
      <c r="AN94" s="58">
        <f t="array" ref="AN94">XLOOKUP(AL94, 'Data jarak '!$A$2:$A$11, XLOOKUP(AM94, 'Data jarak '!$B$1:$K$1, 'Data jarak '!$B$2:$K$11))</f>
        <v>976.2167</v>
      </c>
      <c r="AO94" s="24">
        <f t="array" ref="AO94">XLOOKUP(AJ94&amp;AK94, Sheet4!$A:$A&amp;Sheet4!$B:$B, Sheet4!$D:$D)</f>
        <v>1238.12</v>
      </c>
      <c r="AP94" s="43">
        <f t="shared" si="4"/>
        <v>13597575.98</v>
      </c>
      <c r="AQ94" s="40"/>
      <c r="AR94" s="40"/>
      <c r="AS94" s="40"/>
    </row>
    <row r="95">
      <c r="A95" s="40"/>
      <c r="B95" s="40"/>
      <c r="C95" s="40"/>
      <c r="D95" s="60" t="s">
        <v>40</v>
      </c>
      <c r="E95" s="60" t="s">
        <v>32</v>
      </c>
      <c r="F95" s="59">
        <v>1578.11</v>
      </c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22" t="s">
        <v>40</v>
      </c>
      <c r="AK95" s="22" t="s">
        <v>36</v>
      </c>
      <c r="AL95" s="22" t="s">
        <v>40</v>
      </c>
      <c r="AM95" s="22" t="s">
        <v>38</v>
      </c>
      <c r="AN95" s="58">
        <f t="array" ref="AN95">XLOOKUP(AL95, 'Data jarak '!$A$2:$A$11, XLOOKUP(AM95, 'Data jarak '!$B$1:$K$1, 'Data jarak '!$B$2:$K$11))</f>
        <v>976.2167</v>
      </c>
      <c r="AO95" s="24">
        <f t="array" ref="AO95">XLOOKUP(AJ95&amp;AK95, Sheet4!$A:$A&amp;Sheet4!$B:$B, Sheet4!$D:$D)</f>
        <v>540.28</v>
      </c>
      <c r="AP95" s="43">
        <f t="shared" si="4"/>
        <v>5933591.535</v>
      </c>
      <c r="AQ95" s="40"/>
      <c r="AR95" s="40"/>
      <c r="AS95" s="40"/>
    </row>
    <row r="96">
      <c r="A96" s="40"/>
      <c r="B96" s="40"/>
      <c r="C96" s="40"/>
      <c r="D96" s="60" t="s">
        <v>40</v>
      </c>
      <c r="E96" s="60" t="s">
        <v>38</v>
      </c>
      <c r="F96" s="61">
        <v>310.92</v>
      </c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22" t="s">
        <v>40</v>
      </c>
      <c r="AK96" s="22" t="s">
        <v>32</v>
      </c>
      <c r="AL96" s="22" t="s">
        <v>40</v>
      </c>
      <c r="AM96" s="22" t="s">
        <v>38</v>
      </c>
      <c r="AN96" s="58">
        <f t="array" ref="AN96">XLOOKUP(AL96, 'Data jarak '!$A$2:$A$11, XLOOKUP(AM96, 'Data jarak '!$B$1:$K$1, 'Data jarak '!$B$2:$K$11))</f>
        <v>976.2167</v>
      </c>
      <c r="AO96" s="24">
        <f t="array" ref="AO96">XLOOKUP(AJ96&amp;AK96, Sheet4!$A:$A&amp;Sheet4!$B:$B, Sheet4!$D:$D)</f>
        <v>1578.12</v>
      </c>
      <c r="AP96" s="43">
        <f t="shared" si="4"/>
        <v>17331604.86</v>
      </c>
      <c r="AQ96" s="40"/>
      <c r="AR96" s="40"/>
      <c r="AS96" s="40"/>
    </row>
    <row r="97">
      <c r="A97" s="40"/>
      <c r="B97" s="40"/>
      <c r="C97" s="40"/>
      <c r="D97" s="60" t="s">
        <v>40</v>
      </c>
      <c r="E97" s="60" t="s">
        <v>33</v>
      </c>
      <c r="F97" s="59">
        <v>2948.54</v>
      </c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22" t="s">
        <v>40</v>
      </c>
      <c r="AK97" s="22" t="s">
        <v>38</v>
      </c>
      <c r="AL97" s="22" t="s">
        <v>38</v>
      </c>
      <c r="AM97" s="22" t="s">
        <v>39</v>
      </c>
      <c r="AN97" s="58">
        <f t="array" ref="AN97">XLOOKUP(AL97, 'Data jarak '!$A$2:$A$11, XLOOKUP(AM97, 'Data jarak '!$B$1:$K$1, 'Data jarak '!$B$2:$K$11))</f>
        <v>510.3344</v>
      </c>
      <c r="AO97" s="24">
        <f t="array" ref="AO97">XLOOKUP(AJ97&amp;AK97, Sheet4!$A:$A&amp;Sheet4!$B:$B, Sheet4!$D:$D)</f>
        <v>310.92</v>
      </c>
      <c r="AP97" s="43">
        <f t="shared" si="4"/>
        <v>1785073.181</v>
      </c>
      <c r="AQ97" s="40"/>
      <c r="AR97" s="40"/>
      <c r="AS97" s="40"/>
    </row>
    <row r="98">
      <c r="A98" s="40"/>
      <c r="B98" s="40"/>
      <c r="C98" s="40"/>
      <c r="D98" s="60" t="s">
        <v>40</v>
      </c>
      <c r="E98" s="60" t="s">
        <v>39</v>
      </c>
      <c r="F98" s="61">
        <v>663.27</v>
      </c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22" t="s">
        <v>40</v>
      </c>
      <c r="AK98" s="22" t="s">
        <v>38</v>
      </c>
      <c r="AL98" s="22" t="s">
        <v>40</v>
      </c>
      <c r="AM98" s="22" t="s">
        <v>38</v>
      </c>
      <c r="AN98" s="58">
        <f t="array" ref="AN98">XLOOKUP(AL98, 'Data jarak '!$A$2:$A$11, XLOOKUP(AM98, 'Data jarak '!$B$1:$K$1, 'Data jarak '!$B$2:$K$11))</f>
        <v>976.2167</v>
      </c>
      <c r="AO98" s="24">
        <f t="array" ref="AO98">XLOOKUP(AJ98&amp;AK98, Sheet4!$A:$A&amp;Sheet4!$B:$B, Sheet4!$D:$D)</f>
        <v>310.92</v>
      </c>
      <c r="AP98" s="43">
        <f t="shared" si="4"/>
        <v>3414659.584</v>
      </c>
      <c r="AQ98" s="40"/>
      <c r="AR98" s="40"/>
      <c r="AS98" s="40"/>
    </row>
    <row r="99">
      <c r="A99" s="40"/>
      <c r="B99" s="40"/>
      <c r="C99" s="40"/>
      <c r="D99" s="60" t="s">
        <v>40</v>
      </c>
      <c r="E99" s="60" t="s">
        <v>35</v>
      </c>
      <c r="F99" s="59">
        <v>4287.94</v>
      </c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22" t="s">
        <v>40</v>
      </c>
      <c r="AK99" s="22" t="s">
        <v>33</v>
      </c>
      <c r="AL99" s="22" t="s">
        <v>40</v>
      </c>
      <c r="AM99" s="22" t="s">
        <v>35</v>
      </c>
      <c r="AN99" s="58">
        <f t="array" ref="AN99">XLOOKUP(AL99, 'Data jarak '!$A$2:$A$11, XLOOKUP(AM99, 'Data jarak '!$B$1:$K$1, 'Data jarak '!$B$2:$K$11))</f>
        <v>403.0102</v>
      </c>
      <c r="AO99" s="24">
        <f t="array" ref="AO99">XLOOKUP(AJ99&amp;AK99, Sheet4!$A:$A&amp;Sheet4!$B:$B, Sheet4!$D:$D)</f>
        <v>2948.56</v>
      </c>
      <c r="AP99" s="43">
        <f t="shared" si="4"/>
        <v>13368372.25</v>
      </c>
      <c r="AQ99" s="40"/>
      <c r="AR99" s="40"/>
      <c r="AS99" s="40"/>
    </row>
    <row r="100">
      <c r="A100" s="40"/>
      <c r="B100" s="40"/>
      <c r="C100" s="40"/>
      <c r="D100" s="60" t="s">
        <v>40</v>
      </c>
      <c r="E100" s="60" t="s">
        <v>40</v>
      </c>
      <c r="F100" s="53">
        <v>0.0</v>
      </c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22" t="s">
        <v>40</v>
      </c>
      <c r="AK100" s="22" t="s">
        <v>39</v>
      </c>
      <c r="AL100" s="22" t="s">
        <v>39</v>
      </c>
      <c r="AM100" s="22" t="s">
        <v>35</v>
      </c>
      <c r="AN100" s="58">
        <f t="array" ref="AN100">XLOOKUP(AL100, 'Data jarak '!$A$2:$A$11, XLOOKUP(AM100, 'Data jarak '!$B$1:$K$1, 'Data jarak '!$B$2:$K$11))</f>
        <v>186.18</v>
      </c>
      <c r="AO100" s="24">
        <f t="array" ref="AO100">XLOOKUP(AJ100&amp;AK100, Sheet4!$A:$A&amp;Sheet4!$B:$B, Sheet4!$D:$D)</f>
        <v>663.28</v>
      </c>
      <c r="AP100" s="43">
        <f t="shared" si="4"/>
        <v>1389256.542</v>
      </c>
      <c r="AQ100" s="40"/>
      <c r="AR100" s="40"/>
      <c r="AS100" s="40"/>
    </row>
    <row r="101">
      <c r="A101" s="40"/>
      <c r="B101" s="40"/>
      <c r="C101" s="40"/>
      <c r="D101" s="60" t="s">
        <v>40</v>
      </c>
      <c r="E101" s="60" t="s">
        <v>37</v>
      </c>
      <c r="F101" s="59">
        <v>1785.4</v>
      </c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22" t="s">
        <v>40</v>
      </c>
      <c r="AK101" s="22" t="s">
        <v>39</v>
      </c>
      <c r="AL101" s="22" t="s">
        <v>40</v>
      </c>
      <c r="AM101" s="22" t="s">
        <v>39</v>
      </c>
      <c r="AN101" s="58">
        <f t="array" ref="AN101">XLOOKUP(AL101, 'Data jarak '!$A$2:$A$11, XLOOKUP(AM101, 'Data jarak '!$B$1:$K$1, 'Data jarak '!$B$2:$K$11))</f>
        <v>587.9985</v>
      </c>
      <c r="AO101" s="24">
        <f t="array" ref="AO101">XLOOKUP(AJ101&amp;AK101, Sheet4!$A:$A&amp;Sheet4!$B:$B, Sheet4!$D:$D)</f>
        <v>663.28</v>
      </c>
      <c r="AP101" s="43">
        <f t="shared" si="4"/>
        <v>4387586.007</v>
      </c>
      <c r="AQ101" s="40"/>
      <c r="AR101" s="40"/>
      <c r="AS101" s="40"/>
    </row>
    <row r="102">
      <c r="A102" s="40"/>
      <c r="B102" s="40"/>
      <c r="C102" s="40"/>
      <c r="D102" s="62" t="s">
        <v>37</v>
      </c>
      <c r="E102" s="62" t="s">
        <v>31</v>
      </c>
      <c r="F102" s="59">
        <v>29981.56</v>
      </c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22" t="s">
        <v>40</v>
      </c>
      <c r="AK102" s="22" t="s">
        <v>35</v>
      </c>
      <c r="AL102" s="22" t="s">
        <v>35</v>
      </c>
      <c r="AM102" s="22" t="s">
        <v>39</v>
      </c>
      <c r="AN102" s="58">
        <f t="array" ref="AN102">XLOOKUP(AL102, 'Data jarak '!$A$2:$A$11, XLOOKUP(AM102, 'Data jarak '!$B$1:$K$1, 'Data jarak '!$B$2:$K$11))</f>
        <v>186.18</v>
      </c>
      <c r="AO102" s="24">
        <f t="array" ref="AO102">XLOOKUP(AJ102&amp;AK102, Sheet4!$A:$A&amp;Sheet4!$B:$B, Sheet4!$D:$D)</f>
        <v>4287.96</v>
      </c>
      <c r="AP102" s="43">
        <f t="shared" si="4"/>
        <v>8981239.419</v>
      </c>
      <c r="AQ102" s="40"/>
      <c r="AR102" s="40"/>
      <c r="AS102" s="40"/>
    </row>
    <row r="103">
      <c r="A103" s="40"/>
      <c r="B103" s="40"/>
      <c r="C103" s="40"/>
      <c r="D103" s="62" t="s">
        <v>37</v>
      </c>
      <c r="E103" s="62" t="s">
        <v>34</v>
      </c>
      <c r="F103" s="59">
        <v>2231.22</v>
      </c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22" t="s">
        <v>40</v>
      </c>
      <c r="AK103" s="22" t="s">
        <v>35</v>
      </c>
      <c r="AL103" s="22" t="s">
        <v>40</v>
      </c>
      <c r="AM103" s="22" t="s">
        <v>35</v>
      </c>
      <c r="AN103" s="58">
        <f t="array" ref="AN103">XLOOKUP(AL103, 'Data jarak '!$A$2:$A$11, XLOOKUP(AM103, 'Data jarak '!$B$1:$K$1, 'Data jarak '!$B$2:$K$11))</f>
        <v>403.0102</v>
      </c>
      <c r="AO103" s="24">
        <f t="array" ref="AO103">XLOOKUP(AJ103&amp;AK103, Sheet4!$A:$A&amp;Sheet4!$B:$B, Sheet4!$D:$D)</f>
        <v>4287.96</v>
      </c>
      <c r="AP103" s="43">
        <f t="shared" si="4"/>
        <v>19441030.69</v>
      </c>
      <c r="AQ103" s="40"/>
      <c r="AR103" s="40"/>
      <c r="AS103" s="40"/>
    </row>
    <row r="104">
      <c r="A104" s="40"/>
      <c r="B104" s="40"/>
      <c r="C104" s="40"/>
      <c r="D104" s="62" t="s">
        <v>37</v>
      </c>
      <c r="E104" s="62" t="s">
        <v>36</v>
      </c>
      <c r="F104" s="59">
        <v>3648.96</v>
      </c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22" t="s">
        <v>40</v>
      </c>
      <c r="AK104" s="22" t="s">
        <v>37</v>
      </c>
      <c r="AL104" s="22" t="s">
        <v>40</v>
      </c>
      <c r="AM104" s="22" t="s">
        <v>35</v>
      </c>
      <c r="AN104" s="58">
        <f t="array" ref="AN104">XLOOKUP(AL104, 'Data jarak '!$A$2:$A$11, XLOOKUP(AM104, 'Data jarak '!$B$1:$K$1, 'Data jarak '!$B$2:$K$11))</f>
        <v>403.0102</v>
      </c>
      <c r="AO104" s="24">
        <f t="array" ref="AO104">XLOOKUP(AJ104&amp;AK104, Sheet4!$A:$A&amp;Sheet4!$B:$B, Sheet4!$D:$D)</f>
        <v>1785.4</v>
      </c>
      <c r="AP104" s="43">
        <f t="shared" si="4"/>
        <v>8094762.125</v>
      </c>
      <c r="AQ104" s="40"/>
      <c r="AR104" s="40"/>
      <c r="AS104" s="40"/>
    </row>
    <row r="105">
      <c r="A105" s="40"/>
      <c r="B105" s="40"/>
      <c r="C105" s="40"/>
      <c r="D105" s="62" t="s">
        <v>37</v>
      </c>
      <c r="E105" s="62" t="s">
        <v>32</v>
      </c>
      <c r="F105" s="59">
        <v>35048.12</v>
      </c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22" t="s">
        <v>37</v>
      </c>
      <c r="AK105" s="22" t="s">
        <v>31</v>
      </c>
      <c r="AL105" s="22" t="s">
        <v>40</v>
      </c>
      <c r="AM105" s="22" t="s">
        <v>38</v>
      </c>
      <c r="AN105" s="58">
        <f t="array" ref="AN105">XLOOKUP(AL105, 'Data jarak '!$A$2:$A$11, XLOOKUP(AM105, 'Data jarak '!$B$1:$K$1, 'Data jarak '!$B$2:$K$11))</f>
        <v>976.2167</v>
      </c>
      <c r="AO105" s="24">
        <f t="array" ref="AO105">XLOOKUP(AJ105&amp;AK105, Sheet4!$A:$A&amp;Sheet4!$B:$B, Sheet4!$D:$D)</f>
        <v>29981.56</v>
      </c>
      <c r="AP105" s="43">
        <f t="shared" si="4"/>
        <v>329270620.1</v>
      </c>
      <c r="AQ105" s="40"/>
      <c r="AR105" s="40"/>
      <c r="AS105" s="40"/>
    </row>
    <row r="106">
      <c r="A106" s="40"/>
      <c r="B106" s="40"/>
      <c r="C106" s="40"/>
      <c r="D106" s="62" t="s">
        <v>37</v>
      </c>
      <c r="E106" s="62" t="s">
        <v>38</v>
      </c>
      <c r="F106" s="59">
        <v>4802.16</v>
      </c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22" t="s">
        <v>37</v>
      </c>
      <c r="AK106" s="22" t="s">
        <v>34</v>
      </c>
      <c r="AL106" s="22" t="s">
        <v>40</v>
      </c>
      <c r="AM106" s="22" t="s">
        <v>38</v>
      </c>
      <c r="AN106" s="58">
        <f t="array" ref="AN106">XLOOKUP(AL106, 'Data jarak '!$A$2:$A$11, XLOOKUP(AM106, 'Data jarak '!$B$1:$K$1, 'Data jarak '!$B$2:$K$11))</f>
        <v>976.2167</v>
      </c>
      <c r="AO106" s="24">
        <f t="array" ref="AO106">XLOOKUP(AJ106&amp;AK106, Sheet4!$A:$A&amp;Sheet4!$B:$B, Sheet4!$D:$D)</f>
        <v>2231.24</v>
      </c>
      <c r="AP106" s="43">
        <f t="shared" si="4"/>
        <v>24504454.68</v>
      </c>
      <c r="AQ106" s="40"/>
      <c r="AR106" s="40"/>
      <c r="AS106" s="40"/>
    </row>
    <row r="107">
      <c r="A107" s="40"/>
      <c r="B107" s="40"/>
      <c r="C107" s="40"/>
      <c r="D107" s="62" t="s">
        <v>37</v>
      </c>
      <c r="E107" s="62" t="s">
        <v>33</v>
      </c>
      <c r="F107" s="59">
        <v>19692.68</v>
      </c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22" t="s">
        <v>37</v>
      </c>
      <c r="AK107" s="22" t="s">
        <v>36</v>
      </c>
      <c r="AL107" s="22" t="s">
        <v>40</v>
      </c>
      <c r="AM107" s="22" t="s">
        <v>38</v>
      </c>
      <c r="AN107" s="58">
        <f t="array" ref="AN107">XLOOKUP(AL107, 'Data jarak '!$A$2:$A$11, XLOOKUP(AM107, 'Data jarak '!$B$1:$K$1, 'Data jarak '!$B$2:$K$11))</f>
        <v>976.2167</v>
      </c>
      <c r="AO107" s="24">
        <f t="array" ref="AO107">XLOOKUP(AJ107&amp;AK107, Sheet4!$A:$A&amp;Sheet4!$B:$B, Sheet4!$D:$D)</f>
        <v>3648.96</v>
      </c>
      <c r="AP107" s="43">
        <f t="shared" si="4"/>
        <v>40074476.51</v>
      </c>
      <c r="AQ107" s="40"/>
      <c r="AR107" s="40"/>
      <c r="AS107" s="40"/>
    </row>
    <row r="108">
      <c r="A108" s="40"/>
      <c r="B108" s="40"/>
      <c r="C108" s="40"/>
      <c r="D108" s="62" t="s">
        <v>37</v>
      </c>
      <c r="E108" s="62" t="s">
        <v>39</v>
      </c>
      <c r="F108" s="59">
        <v>4405.52</v>
      </c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22" t="s">
        <v>37</v>
      </c>
      <c r="AK108" s="22" t="s">
        <v>32</v>
      </c>
      <c r="AL108" s="22" t="s">
        <v>40</v>
      </c>
      <c r="AM108" s="22" t="s">
        <v>38</v>
      </c>
      <c r="AN108" s="58">
        <f t="array" ref="AN108">XLOOKUP(AL108, 'Data jarak '!$A$2:$A$11, XLOOKUP(AM108, 'Data jarak '!$B$1:$K$1, 'Data jarak '!$B$2:$K$11))</f>
        <v>976.2167</v>
      </c>
      <c r="AO108" s="24">
        <f t="array" ref="AO108">XLOOKUP(AJ108&amp;AK108, Sheet4!$A:$A&amp;Sheet4!$B:$B, Sheet4!$D:$D)</f>
        <v>35048.12</v>
      </c>
      <c r="AP108" s="43">
        <f t="shared" si="4"/>
        <v>384913800.5</v>
      </c>
      <c r="AQ108" s="40"/>
      <c r="AR108" s="40"/>
      <c r="AS108" s="40"/>
    </row>
    <row r="109">
      <c r="A109" s="40"/>
      <c r="B109" s="40"/>
      <c r="C109" s="40"/>
      <c r="D109" s="62" t="s">
        <v>37</v>
      </c>
      <c r="E109" s="62" t="s">
        <v>35</v>
      </c>
      <c r="F109" s="59">
        <v>51923.64</v>
      </c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22" t="s">
        <v>37</v>
      </c>
      <c r="AK109" s="22" t="s">
        <v>38</v>
      </c>
      <c r="AL109" s="22" t="s">
        <v>38</v>
      </c>
      <c r="AM109" s="22" t="s">
        <v>39</v>
      </c>
      <c r="AN109" s="58">
        <f t="array" ref="AN109">XLOOKUP(AL109, 'Data jarak '!$A$2:$A$11, XLOOKUP(AM109, 'Data jarak '!$B$1:$K$1, 'Data jarak '!$B$2:$K$11))</f>
        <v>510.3344</v>
      </c>
      <c r="AO109" s="24">
        <f t="array" ref="AO109">XLOOKUP(AJ109&amp;AK109, Sheet4!$A:$A&amp;Sheet4!$B:$B, Sheet4!$D:$D)</f>
        <v>4802.16</v>
      </c>
      <c r="AP109" s="43">
        <f t="shared" si="4"/>
        <v>27570458.73</v>
      </c>
      <c r="AQ109" s="40"/>
      <c r="AR109" s="40"/>
      <c r="AS109" s="40"/>
    </row>
    <row r="110">
      <c r="A110" s="40"/>
      <c r="B110" s="40"/>
      <c r="C110" s="40"/>
      <c r="D110" s="70" t="s">
        <v>37</v>
      </c>
      <c r="E110" s="70" t="s">
        <v>40</v>
      </c>
      <c r="F110" s="59">
        <v>4601.38</v>
      </c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22" t="s">
        <v>37</v>
      </c>
      <c r="AK110" s="22" t="s">
        <v>38</v>
      </c>
      <c r="AL110" s="22" t="s">
        <v>40</v>
      </c>
      <c r="AM110" s="22" t="s">
        <v>38</v>
      </c>
      <c r="AN110" s="58">
        <f t="array" ref="AN110">XLOOKUP(AL110, 'Data jarak '!$A$2:$A$11, XLOOKUP(AM110, 'Data jarak '!$B$1:$K$1, 'Data jarak '!$B$2:$K$11))</f>
        <v>976.2167</v>
      </c>
      <c r="AO110" s="24">
        <f t="array" ref="AO110">XLOOKUP(AJ110&amp;AK110, Sheet4!$A:$A&amp;Sheet4!$B:$B, Sheet4!$D:$D)</f>
        <v>4802.16</v>
      </c>
      <c r="AP110" s="43">
        <f t="shared" si="4"/>
        <v>52739423.87</v>
      </c>
      <c r="AQ110" s="40"/>
      <c r="AR110" s="40"/>
      <c r="AS110" s="40"/>
    </row>
    <row r="111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22" t="s">
        <v>37</v>
      </c>
      <c r="AK111" s="22" t="s">
        <v>33</v>
      </c>
      <c r="AL111" s="22" t="s">
        <v>40</v>
      </c>
      <c r="AM111" s="22" t="s">
        <v>35</v>
      </c>
      <c r="AN111" s="58">
        <f t="array" ref="AN111">XLOOKUP(AL111, 'Data jarak '!$A$2:$A$11, XLOOKUP(AM111, 'Data jarak '!$B$1:$K$1, 'Data jarak '!$B$2:$K$11))</f>
        <v>403.0102</v>
      </c>
      <c r="AO111" s="24">
        <f t="array" ref="AO111">XLOOKUP(AJ111&amp;AK111, Sheet4!$A:$A&amp;Sheet4!$B:$B, Sheet4!$D:$D)</f>
        <v>19692.68</v>
      </c>
      <c r="AP111" s="43">
        <f t="shared" si="4"/>
        <v>89283947.69</v>
      </c>
      <c r="AQ111" s="40"/>
      <c r="AR111" s="40"/>
      <c r="AS111" s="40"/>
    </row>
    <row r="11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22" t="s">
        <v>37</v>
      </c>
      <c r="AK112" s="22" t="s">
        <v>39</v>
      </c>
      <c r="AL112" s="22" t="s">
        <v>39</v>
      </c>
      <c r="AM112" s="22" t="s">
        <v>35</v>
      </c>
      <c r="AN112" s="58">
        <f t="array" ref="AN112">XLOOKUP(AL112, 'Data jarak '!$A$2:$A$11, XLOOKUP(AM112, 'Data jarak '!$B$1:$K$1, 'Data jarak '!$B$2:$K$11))</f>
        <v>186.18</v>
      </c>
      <c r="AO112" s="24">
        <f t="array" ref="AO112">XLOOKUP(AJ112&amp;AK112, Sheet4!$A:$A&amp;Sheet4!$B:$B, Sheet4!$D:$D)</f>
        <v>4405.52</v>
      </c>
      <c r="AP112" s="43">
        <f t="shared" si="4"/>
        <v>9227471.778</v>
      </c>
      <c r="AQ112" s="40"/>
      <c r="AR112" s="40"/>
      <c r="AS112" s="40"/>
    </row>
    <row r="113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22" t="s">
        <v>37</v>
      </c>
      <c r="AK113" s="22" t="s">
        <v>39</v>
      </c>
      <c r="AL113" s="22" t="s">
        <v>40</v>
      </c>
      <c r="AM113" s="22" t="s">
        <v>39</v>
      </c>
      <c r="AN113" s="58">
        <f t="array" ref="AN113">XLOOKUP(AL113, 'Data jarak '!$A$2:$A$11, XLOOKUP(AM113, 'Data jarak '!$B$1:$K$1, 'Data jarak '!$B$2:$K$11))</f>
        <v>587.9985</v>
      </c>
      <c r="AO113" s="24">
        <f t="array" ref="AO113">XLOOKUP(AJ113&amp;AK113, Sheet4!$A:$A&amp;Sheet4!$B:$B, Sheet4!$D:$D)</f>
        <v>4405.52</v>
      </c>
      <c r="AP113" s="43">
        <f t="shared" si="4"/>
        <v>29142440.46</v>
      </c>
      <c r="AQ113" s="40"/>
      <c r="AR113" s="40"/>
      <c r="AS113" s="40"/>
    </row>
    <row r="114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22" t="s">
        <v>37</v>
      </c>
      <c r="AK114" s="22" t="s">
        <v>35</v>
      </c>
      <c r="AL114" s="22" t="s">
        <v>35</v>
      </c>
      <c r="AM114" s="22" t="s">
        <v>39</v>
      </c>
      <c r="AN114" s="58">
        <f t="array" ref="AN114">XLOOKUP(AL114, 'Data jarak '!$A$2:$A$11, XLOOKUP(AM114, 'Data jarak '!$B$1:$K$1, 'Data jarak '!$B$2:$K$11))</f>
        <v>186.18</v>
      </c>
      <c r="AO114" s="24">
        <f t="array" ref="AO114">XLOOKUP(AJ114&amp;AK114, Sheet4!$A:$A&amp;Sheet4!$B:$B, Sheet4!$D:$D)</f>
        <v>51923.64</v>
      </c>
      <c r="AP114" s="43">
        <f t="shared" si="4"/>
        <v>108755362.1</v>
      </c>
      <c r="AQ114" s="40"/>
      <c r="AR114" s="40"/>
      <c r="AS114" s="40"/>
    </row>
    <row r="11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22" t="s">
        <v>37</v>
      </c>
      <c r="AK115" s="22" t="s">
        <v>35</v>
      </c>
      <c r="AL115" s="22" t="s">
        <v>40</v>
      </c>
      <c r="AM115" s="22" t="s">
        <v>35</v>
      </c>
      <c r="AN115" s="58">
        <f t="array" ref="AN115">XLOOKUP(AL115, 'Data jarak '!$A$2:$A$11, XLOOKUP(AM115, 'Data jarak '!$B$1:$K$1, 'Data jarak '!$B$2:$K$11))</f>
        <v>403.0102</v>
      </c>
      <c r="AO115" s="24">
        <f t="array" ref="AO115">XLOOKUP(AJ115&amp;AK115, Sheet4!$A:$A&amp;Sheet4!$B:$B, Sheet4!$D:$D)</f>
        <v>51923.64</v>
      </c>
      <c r="AP115" s="43">
        <f t="shared" si="4"/>
        <v>235414761.1</v>
      </c>
      <c r="AQ115" s="40"/>
      <c r="AR115" s="40"/>
      <c r="AS115" s="40"/>
    </row>
    <row r="116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22" t="s">
        <v>37</v>
      </c>
      <c r="AK116" s="22" t="s">
        <v>40</v>
      </c>
      <c r="AL116" s="22" t="s">
        <v>35</v>
      </c>
      <c r="AM116" s="22" t="s">
        <v>40</v>
      </c>
      <c r="AN116" s="58">
        <f t="array" ref="AN116">XLOOKUP(AL116, 'Data jarak '!$A$2:$A$11, XLOOKUP(AM116, 'Data jarak '!$B$1:$K$1, 'Data jarak '!$B$2:$K$11))</f>
        <v>403.0102</v>
      </c>
      <c r="AO116" s="24">
        <f t="array" ref="AO116">XLOOKUP(AJ116&amp;AK116, Sheet4!$A:$A&amp;Sheet4!$B:$B, Sheet4!$D:$D)</f>
        <v>4601.36</v>
      </c>
      <c r="AP116" s="43">
        <f t="shared" si="4"/>
        <v>20861943.91</v>
      </c>
      <c r="AQ116" s="40"/>
      <c r="AR116" s="40"/>
      <c r="AS116" s="40"/>
    </row>
    <row r="117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22" t="s">
        <v>37</v>
      </c>
      <c r="AK117" s="22" t="s">
        <v>40</v>
      </c>
      <c r="AL117" s="22" t="s">
        <v>40</v>
      </c>
      <c r="AM117" s="22" t="s">
        <v>39</v>
      </c>
      <c r="AN117" s="58">
        <f t="array" ref="AN117">XLOOKUP(AL117, 'Data jarak '!$A$2:$A$11, XLOOKUP(AM117, 'Data jarak '!$B$1:$K$1, 'Data jarak '!$B$2:$K$11))</f>
        <v>587.9985</v>
      </c>
      <c r="AO117" s="24">
        <f t="array" ref="AO117">XLOOKUP(AJ117&amp;AK117, Sheet4!$A:$A&amp;Sheet4!$B:$B, Sheet4!$D:$D)</f>
        <v>4601.36</v>
      </c>
      <c r="AP117" s="43">
        <f t="shared" si="4"/>
        <v>30437918.75</v>
      </c>
      <c r="AQ117" s="40"/>
      <c r="AR117" s="40"/>
      <c r="AS117" s="40"/>
    </row>
    <row r="118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</row>
    <row r="119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</row>
    <row r="120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</row>
    <row r="121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</row>
    <row r="12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</row>
    <row r="123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</row>
    <row r="124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</row>
    <row r="12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</row>
    <row r="126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</row>
    <row r="127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</row>
    <row r="128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</row>
    <row r="129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</row>
    <row r="130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</row>
    <row r="131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</row>
    <row r="13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</row>
    <row r="133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</row>
    <row r="134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</row>
    <row r="13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</row>
    <row r="136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</row>
    <row r="137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</row>
    <row r="138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</row>
    <row r="139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</row>
    <row r="140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</row>
    <row r="14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</row>
    <row r="14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</row>
    <row r="143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</row>
    <row r="144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</row>
    <row r="14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</row>
    <row r="146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</row>
    <row r="147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</row>
    <row r="148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</row>
    <row r="149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</row>
    <row r="150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</row>
    <row r="15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</row>
    <row r="15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</row>
    <row r="153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</row>
    <row r="154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</row>
    <row r="15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</row>
    <row r="156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</row>
    <row r="157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</row>
    <row r="158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</row>
    <row r="159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</row>
    <row r="160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</row>
    <row r="16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</row>
    <row r="16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</row>
    <row r="163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</row>
    <row r="164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</row>
    <row r="16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</row>
    <row r="166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</row>
    <row r="167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</row>
    <row r="168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</row>
    <row r="169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</row>
    <row r="170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</row>
    <row r="17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</row>
    <row r="17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</row>
    <row r="173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</row>
    <row r="174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</row>
    <row r="17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</row>
    <row r="176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</row>
    <row r="177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</row>
    <row r="178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</row>
    <row r="179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</row>
    <row r="180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</row>
    <row r="18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</row>
    <row r="18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</row>
    <row r="183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</row>
    <row r="184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</row>
    <row r="18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</row>
    <row r="186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</row>
    <row r="187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</row>
    <row r="188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</row>
    <row r="189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</row>
    <row r="190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</row>
    <row r="19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</row>
    <row r="19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</row>
    <row r="193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</row>
    <row r="194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</row>
    <row r="19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</row>
    <row r="196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</row>
    <row r="197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</row>
    <row r="198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</row>
    <row r="199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</row>
    <row r="200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</row>
    <row r="20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</row>
    <row r="20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</row>
    <row r="203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</row>
    <row r="204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</row>
    <row r="20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</row>
    <row r="206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</row>
    <row r="207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</row>
    <row r="208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</row>
    <row r="209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</row>
    <row r="210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</row>
    <row r="21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</row>
    <row r="21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</row>
    <row r="213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</row>
    <row r="214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</row>
    <row r="21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</row>
    <row r="216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</row>
    <row r="217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</row>
    <row r="218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</row>
    <row r="219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</row>
    <row r="220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</row>
    <row r="22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</row>
    <row r="22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</row>
    <row r="223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</row>
    <row r="224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</row>
    <row r="2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</row>
    <row r="226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</row>
    <row r="227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</row>
    <row r="228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</row>
    <row r="229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</row>
    <row r="230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</row>
    <row r="23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</row>
    <row r="23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</row>
    <row r="233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</row>
    <row r="234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</row>
    <row r="23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</row>
    <row r="236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</row>
    <row r="237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</row>
    <row r="238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</row>
    <row r="239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</row>
    <row r="240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</row>
    <row r="241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</row>
    <row r="24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</row>
    <row r="243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</row>
    <row r="244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</row>
    <row r="24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</row>
    <row r="246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</row>
    <row r="247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</row>
    <row r="248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</row>
    <row r="249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</row>
    <row r="250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</row>
    <row r="251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</row>
    <row r="25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</row>
    <row r="253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</row>
    <row r="254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</row>
    <row r="25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</row>
    <row r="256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</row>
    <row r="257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</row>
    <row r="258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</row>
    <row r="259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</row>
    <row r="260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</row>
    <row r="261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</row>
    <row r="26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</row>
    <row r="263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</row>
    <row r="264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</row>
    <row r="26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</row>
    <row r="266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</row>
    <row r="267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</row>
    <row r="268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</row>
    <row r="269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</row>
    <row r="270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</row>
    <row r="271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</row>
    <row r="27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</row>
    <row r="27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</row>
    <row r="274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</row>
    <row r="27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</row>
    <row r="276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</row>
    <row r="277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</row>
    <row r="278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</row>
    <row r="279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</row>
    <row r="280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</row>
    <row r="281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</row>
    <row r="28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</row>
    <row r="283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</row>
    <row r="284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</row>
    <row r="28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</row>
    <row r="286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</row>
    <row r="287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</row>
    <row r="288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</row>
    <row r="289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</row>
    <row r="290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</row>
    <row r="291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</row>
    <row r="29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</row>
    <row r="293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</row>
    <row r="294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</row>
    <row r="29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</row>
    <row r="296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</row>
    <row r="297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</row>
    <row r="298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</row>
    <row r="299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</row>
    <row r="300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</row>
    <row r="301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</row>
    <row r="30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</row>
    <row r="303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</row>
    <row r="304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</row>
    <row r="30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</row>
    <row r="306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</row>
    <row r="307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</row>
    <row r="308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</row>
    <row r="309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</row>
    <row r="310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</row>
    <row r="311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</row>
    <row r="31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</row>
    <row r="313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</row>
    <row r="314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</row>
    <row r="31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</row>
    <row r="316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</row>
    <row r="317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</row>
    <row r="318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</row>
    <row r="319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</row>
    <row r="320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</row>
    <row r="321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</row>
    <row r="32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</row>
    <row r="323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</row>
    <row r="324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</row>
    <row r="3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</row>
    <row r="326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</row>
    <row r="327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</row>
    <row r="328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</row>
    <row r="329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</row>
    <row r="330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</row>
    <row r="331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</row>
    <row r="33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</row>
    <row r="333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</row>
    <row r="334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</row>
    <row r="33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</row>
    <row r="336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</row>
    <row r="337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</row>
    <row r="338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</row>
    <row r="339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</row>
    <row r="340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</row>
    <row r="341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</row>
    <row r="34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</row>
    <row r="343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</row>
    <row r="344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</row>
    <row r="34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</row>
    <row r="346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</row>
    <row r="347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</row>
    <row r="348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</row>
    <row r="349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</row>
    <row r="350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</row>
    <row r="351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</row>
    <row r="35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</row>
    <row r="353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</row>
    <row r="354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</row>
    <row r="35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</row>
    <row r="356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</row>
    <row r="357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</row>
    <row r="358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</row>
    <row r="359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</row>
    <row r="360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</row>
    <row r="361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</row>
    <row r="36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</row>
    <row r="363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</row>
    <row r="364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</row>
    <row r="36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</row>
    <row r="366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</row>
    <row r="367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</row>
    <row r="368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</row>
    <row r="369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</row>
    <row r="370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</row>
    <row r="371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</row>
    <row r="37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</row>
    <row r="373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</row>
    <row r="374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</row>
    <row r="37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</row>
    <row r="376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</row>
    <row r="377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</row>
    <row r="378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</row>
    <row r="379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</row>
    <row r="380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</row>
    <row r="381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</row>
    <row r="38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</row>
    <row r="383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</row>
    <row r="384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</row>
    <row r="38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</row>
    <row r="386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</row>
    <row r="387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</row>
    <row r="388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</row>
    <row r="389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</row>
    <row r="390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</row>
    <row r="391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</row>
    <row r="39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</row>
    <row r="393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</row>
    <row r="394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</row>
    <row r="39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</row>
    <row r="396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</row>
    <row r="397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</row>
    <row r="398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</row>
    <row r="399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</row>
    <row r="400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</row>
    <row r="401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</row>
    <row r="40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</row>
    <row r="403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</row>
    <row r="404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</row>
    <row r="40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</row>
    <row r="406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</row>
    <row r="407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</row>
    <row r="408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</row>
    <row r="409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</row>
    <row r="410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</row>
    <row r="411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</row>
    <row r="41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</row>
    <row r="413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</row>
    <row r="414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</row>
    <row r="41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</row>
    <row r="416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</row>
    <row r="417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</row>
    <row r="418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</row>
    <row r="419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</row>
    <row r="420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</row>
    <row r="421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</row>
    <row r="42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</row>
    <row r="423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</row>
    <row r="424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</row>
    <row r="4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</row>
    <row r="426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</row>
    <row r="427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</row>
    <row r="428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</row>
    <row r="429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</row>
    <row r="430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</row>
    <row r="431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</row>
    <row r="43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</row>
    <row r="433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</row>
    <row r="434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</row>
    <row r="43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</row>
    <row r="436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</row>
    <row r="437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</row>
    <row r="438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</row>
    <row r="439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</row>
    <row r="440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</row>
    <row r="441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</row>
    <row r="44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</row>
    <row r="443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</row>
    <row r="444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</row>
    <row r="44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</row>
    <row r="446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</row>
    <row r="447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</row>
    <row r="448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</row>
    <row r="449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</row>
    <row r="450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</row>
    <row r="451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</row>
    <row r="45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</row>
    <row r="453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</row>
    <row r="454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</row>
    <row r="45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</row>
    <row r="456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</row>
    <row r="457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</row>
    <row r="458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</row>
    <row r="459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</row>
    <row r="460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</row>
    <row r="461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</row>
    <row r="46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</row>
    <row r="463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</row>
    <row r="464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</row>
    <row r="46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</row>
    <row r="466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</row>
    <row r="467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</row>
    <row r="468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</row>
    <row r="469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</row>
    <row r="470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</row>
    <row r="471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</row>
    <row r="47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</row>
    <row r="473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</row>
    <row r="474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</row>
    <row r="47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</row>
    <row r="476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</row>
    <row r="477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</row>
    <row r="478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</row>
    <row r="479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</row>
    <row r="480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</row>
    <row r="48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</row>
    <row r="48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</row>
    <row r="483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</row>
    <row r="484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</row>
    <row r="48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</row>
    <row r="486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</row>
    <row r="487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</row>
    <row r="488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</row>
    <row r="489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</row>
    <row r="490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</row>
    <row r="49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</row>
    <row r="49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</row>
    <row r="493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</row>
    <row r="494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</row>
    <row r="49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</row>
    <row r="496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</row>
    <row r="497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</row>
    <row r="498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</row>
    <row r="499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</row>
    <row r="500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</row>
    <row r="50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</row>
    <row r="50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</row>
    <row r="503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</row>
    <row r="504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</row>
    <row r="50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</row>
    <row r="506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</row>
    <row r="507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</row>
    <row r="508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</row>
    <row r="509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</row>
    <row r="510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</row>
    <row r="51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</row>
    <row r="51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</row>
    <row r="513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</row>
    <row r="514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</row>
    <row r="51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</row>
    <row r="516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</row>
    <row r="517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</row>
    <row r="518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</row>
    <row r="519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</row>
    <row r="520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</row>
    <row r="52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</row>
    <row r="52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</row>
    <row r="523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</row>
    <row r="524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</row>
    <row r="5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</row>
    <row r="526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</row>
    <row r="527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</row>
    <row r="528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</row>
    <row r="529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</row>
    <row r="530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</row>
    <row r="53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</row>
    <row r="53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</row>
    <row r="533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</row>
    <row r="534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</row>
    <row r="5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</row>
    <row r="536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</row>
    <row r="537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</row>
    <row r="538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</row>
    <row r="539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</row>
    <row r="540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</row>
    <row r="54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</row>
    <row r="54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</row>
    <row r="543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</row>
    <row r="544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</row>
    <row r="54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</row>
    <row r="546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</row>
    <row r="547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</row>
    <row r="548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</row>
    <row r="549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</row>
    <row r="550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</row>
    <row r="55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</row>
    <row r="55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</row>
    <row r="553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</row>
    <row r="554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</row>
    <row r="55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</row>
    <row r="556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</row>
    <row r="557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</row>
    <row r="558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</row>
    <row r="559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</row>
    <row r="560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</row>
    <row r="56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</row>
    <row r="56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</row>
    <row r="563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</row>
    <row r="564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</row>
    <row r="56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</row>
    <row r="566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</row>
    <row r="567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</row>
    <row r="568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</row>
    <row r="569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</row>
    <row r="570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</row>
    <row r="57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</row>
    <row r="57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</row>
    <row r="573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</row>
    <row r="574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</row>
    <row r="57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</row>
    <row r="576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</row>
    <row r="577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</row>
    <row r="578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</row>
    <row r="579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</row>
    <row r="580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</row>
    <row r="58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</row>
    <row r="58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</row>
    <row r="583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</row>
    <row r="584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</row>
    <row r="58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</row>
    <row r="586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</row>
    <row r="587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</row>
    <row r="588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</row>
    <row r="589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</row>
    <row r="590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</row>
    <row r="59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</row>
    <row r="59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</row>
    <row r="593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</row>
    <row r="594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</row>
    <row r="59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</row>
    <row r="596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</row>
    <row r="597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</row>
    <row r="598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</row>
    <row r="599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</row>
    <row r="600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</row>
    <row r="60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</row>
    <row r="60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</row>
    <row r="603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</row>
    <row r="604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</row>
    <row r="60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</row>
    <row r="606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</row>
    <row r="607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</row>
    <row r="608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</row>
    <row r="609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</row>
    <row r="610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</row>
    <row r="61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</row>
    <row r="61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</row>
    <row r="613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</row>
    <row r="614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</row>
    <row r="61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</row>
    <row r="616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</row>
    <row r="617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</row>
    <row r="618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</row>
    <row r="619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</row>
    <row r="620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</row>
    <row r="62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</row>
    <row r="62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</row>
    <row r="623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</row>
    <row r="624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</row>
    <row r="6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</row>
    <row r="626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</row>
    <row r="627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</row>
    <row r="628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</row>
    <row r="629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</row>
    <row r="630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</row>
    <row r="63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</row>
    <row r="63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</row>
    <row r="633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</row>
    <row r="634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</row>
    <row r="6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</row>
    <row r="636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</row>
    <row r="637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</row>
    <row r="638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</row>
    <row r="639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</row>
    <row r="640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</row>
    <row r="64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</row>
    <row r="64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</row>
    <row r="643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</row>
    <row r="644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</row>
    <row r="64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</row>
    <row r="646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</row>
    <row r="647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</row>
    <row r="648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</row>
    <row r="649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</row>
    <row r="650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</row>
    <row r="65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</row>
    <row r="65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</row>
    <row r="653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</row>
    <row r="654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</row>
    <row r="65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</row>
    <row r="656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</row>
    <row r="657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</row>
    <row r="658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</row>
    <row r="659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</row>
    <row r="660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</row>
    <row r="66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</row>
    <row r="66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</row>
    <row r="663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</row>
    <row r="664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</row>
    <row r="66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</row>
    <row r="666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</row>
    <row r="667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</row>
    <row r="668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</row>
    <row r="669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</row>
    <row r="670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</row>
    <row r="67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</row>
    <row r="67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</row>
    <row r="673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</row>
    <row r="674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</row>
    <row r="67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</row>
    <row r="676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</row>
    <row r="677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</row>
    <row r="678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</row>
    <row r="679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</row>
    <row r="680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</row>
    <row r="68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</row>
    <row r="68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</row>
    <row r="683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</row>
    <row r="684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</row>
    <row r="68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</row>
    <row r="686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</row>
    <row r="687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</row>
    <row r="688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</row>
    <row r="689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</row>
    <row r="690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  <c r="AS690" s="40"/>
    </row>
    <row r="69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  <c r="AS691" s="40"/>
    </row>
    <row r="69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  <c r="AS692" s="40"/>
    </row>
    <row r="693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  <c r="AS693" s="40"/>
    </row>
    <row r="694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</row>
    <row r="69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  <c r="AS695" s="40"/>
    </row>
    <row r="696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  <c r="AS696" s="40"/>
    </row>
    <row r="697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  <c r="AS697" s="40"/>
    </row>
    <row r="698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  <c r="AS698" s="40"/>
    </row>
    <row r="699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  <c r="AS699" s="40"/>
    </row>
    <row r="700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  <c r="AS700" s="40"/>
    </row>
    <row r="70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  <c r="AS701" s="40"/>
    </row>
    <row r="70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  <c r="AS702" s="40"/>
    </row>
    <row r="703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  <c r="AS703" s="40"/>
    </row>
    <row r="704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  <c r="AS704" s="40"/>
    </row>
    <row r="70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  <c r="AS705" s="40"/>
    </row>
    <row r="706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  <c r="AS706" s="40"/>
    </row>
    <row r="707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  <c r="AS707" s="40"/>
    </row>
    <row r="708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  <c r="AS708" s="40"/>
    </row>
    <row r="709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  <c r="AS709" s="40"/>
    </row>
    <row r="710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  <c r="AS710" s="40"/>
    </row>
    <row r="71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  <c r="AS711" s="40"/>
    </row>
    <row r="71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  <c r="AS712" s="40"/>
    </row>
    <row r="713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  <c r="AS713" s="40"/>
    </row>
    <row r="714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  <c r="AS714" s="40"/>
    </row>
    <row r="71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  <c r="AS715" s="40"/>
    </row>
    <row r="716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  <c r="AS716" s="40"/>
    </row>
    <row r="717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  <c r="AS717" s="40"/>
    </row>
    <row r="718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  <c r="AS718" s="40"/>
    </row>
    <row r="719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  <c r="AS719" s="40"/>
    </row>
    <row r="720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  <c r="AS720" s="40"/>
    </row>
    <row r="72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  <c r="AS721" s="40"/>
    </row>
    <row r="72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  <c r="AS722" s="40"/>
    </row>
    <row r="723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  <c r="AS723" s="40"/>
    </row>
    <row r="724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  <c r="AS724" s="40"/>
    </row>
    <row r="7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  <c r="AS725" s="40"/>
    </row>
    <row r="726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  <c r="AS726" s="40"/>
    </row>
    <row r="727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  <c r="AS727" s="40"/>
    </row>
    <row r="728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  <c r="AS728" s="40"/>
    </row>
    <row r="729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  <c r="AS729" s="40"/>
    </row>
    <row r="730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  <c r="AS730" s="40"/>
    </row>
    <row r="73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  <c r="AS731" s="40"/>
    </row>
    <row r="73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  <c r="AS732" s="40"/>
    </row>
    <row r="733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  <c r="AS733" s="40"/>
    </row>
    <row r="734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  <c r="AS734" s="40"/>
    </row>
    <row r="7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  <c r="AS735" s="40"/>
    </row>
    <row r="736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  <c r="AS736" s="40"/>
    </row>
    <row r="737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  <c r="AS737" s="40"/>
    </row>
    <row r="738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  <c r="AS738" s="40"/>
    </row>
    <row r="739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  <c r="AS739" s="40"/>
    </row>
    <row r="740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  <c r="AS740" s="40"/>
    </row>
    <row r="74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  <c r="AS741" s="40"/>
    </row>
    <row r="74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  <c r="AS742" s="40"/>
    </row>
    <row r="743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  <c r="AS743" s="40"/>
    </row>
    <row r="744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  <c r="AS744" s="40"/>
    </row>
    <row r="74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  <c r="AS745" s="40"/>
    </row>
    <row r="746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  <c r="AS746" s="40"/>
    </row>
    <row r="747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  <c r="AS747" s="40"/>
    </row>
    <row r="748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  <c r="AS748" s="40"/>
    </row>
    <row r="749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  <c r="AS749" s="40"/>
    </row>
    <row r="750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  <c r="AS750" s="40"/>
    </row>
    <row r="75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  <c r="AS751" s="40"/>
    </row>
    <row r="75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  <c r="AS752" s="40"/>
    </row>
    <row r="753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  <c r="AS753" s="40"/>
    </row>
    <row r="754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  <c r="AS754" s="40"/>
    </row>
    <row r="75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  <c r="AS755" s="40"/>
    </row>
    <row r="756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  <c r="AS756" s="40"/>
    </row>
    <row r="757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  <c r="AS757" s="40"/>
    </row>
    <row r="758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  <c r="AS758" s="40"/>
    </row>
    <row r="759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  <c r="AS759" s="40"/>
    </row>
    <row r="760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  <c r="AS760" s="40"/>
    </row>
    <row r="76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  <c r="AS761" s="40"/>
    </row>
    <row r="76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  <c r="AS762" s="40"/>
    </row>
    <row r="763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  <c r="AS763" s="40"/>
    </row>
    <row r="764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  <c r="AS764" s="40"/>
    </row>
    <row r="76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  <c r="AS765" s="40"/>
    </row>
    <row r="766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  <c r="AS766" s="40"/>
    </row>
    <row r="767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  <c r="AS767" s="40"/>
    </row>
    <row r="768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  <c r="AS768" s="40"/>
    </row>
    <row r="769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  <c r="AS769" s="40"/>
    </row>
    <row r="770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  <c r="AS770" s="40"/>
    </row>
    <row r="77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  <c r="AS771" s="40"/>
    </row>
    <row r="77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  <c r="AS772" s="40"/>
    </row>
    <row r="773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  <c r="AS773" s="40"/>
    </row>
    <row r="774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  <c r="AS774" s="40"/>
    </row>
    <row r="77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  <c r="AS775" s="40"/>
    </row>
    <row r="776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  <c r="AS776" s="40"/>
    </row>
    <row r="777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  <c r="AS777" s="40"/>
    </row>
    <row r="778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  <c r="AS778" s="40"/>
    </row>
    <row r="779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  <c r="AS779" s="40"/>
    </row>
    <row r="780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  <c r="AS780" s="40"/>
    </row>
    <row r="78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  <c r="AS781" s="40"/>
    </row>
    <row r="78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  <c r="AS782" s="40"/>
    </row>
    <row r="783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  <c r="AS783" s="40"/>
    </row>
    <row r="784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  <c r="AS784" s="40"/>
    </row>
    <row r="78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  <c r="AS785" s="40"/>
    </row>
    <row r="786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</row>
    <row r="787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  <c r="AS787" s="40"/>
    </row>
    <row r="788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  <c r="AS788" s="40"/>
    </row>
    <row r="789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  <c r="AS789" s="40"/>
    </row>
    <row r="790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  <c r="AS790" s="40"/>
    </row>
    <row r="79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  <c r="AS791" s="40"/>
    </row>
    <row r="79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  <c r="AS792" s="40"/>
    </row>
    <row r="793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  <c r="AS793" s="40"/>
    </row>
    <row r="794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  <c r="AS794" s="40"/>
    </row>
    <row r="79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  <c r="AS795" s="40"/>
    </row>
    <row r="796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  <c r="AS796" s="40"/>
    </row>
    <row r="797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  <c r="AS797" s="40"/>
    </row>
    <row r="798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  <c r="AS798" s="40"/>
    </row>
    <row r="799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  <c r="AS799" s="40"/>
    </row>
    <row r="800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  <c r="AS800" s="40"/>
    </row>
    <row r="80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  <c r="AS801" s="40"/>
    </row>
    <row r="80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  <c r="AS802" s="40"/>
    </row>
    <row r="803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  <c r="AS803" s="40"/>
    </row>
    <row r="804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  <c r="AS804" s="40"/>
    </row>
    <row r="80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  <c r="AS805" s="40"/>
    </row>
    <row r="806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  <c r="AS806" s="40"/>
    </row>
    <row r="807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  <c r="AS807" s="40"/>
    </row>
    <row r="808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  <c r="AS808" s="40"/>
    </row>
    <row r="809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  <c r="AS809" s="40"/>
    </row>
    <row r="810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  <c r="AS810" s="40"/>
    </row>
    <row r="81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  <c r="AR811" s="40"/>
      <c r="AS811" s="40"/>
    </row>
    <row r="81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  <c r="AR812" s="40"/>
      <c r="AS812" s="40"/>
    </row>
    <row r="813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  <c r="AS813" s="40"/>
    </row>
    <row r="814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  <c r="AS814" s="40"/>
    </row>
    <row r="81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  <c r="AS815" s="40"/>
    </row>
    <row r="816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  <c r="AS816" s="40"/>
    </row>
    <row r="817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  <c r="AR817" s="40"/>
      <c r="AS817" s="40"/>
    </row>
    <row r="818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  <c r="AR818" s="40"/>
      <c r="AS818" s="40"/>
    </row>
    <row r="819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  <c r="AS819" s="40"/>
    </row>
    <row r="820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  <c r="AS820" s="40"/>
    </row>
    <row r="82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  <c r="AR821" s="40"/>
      <c r="AS821" s="40"/>
    </row>
    <row r="82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  <c r="AS822" s="40"/>
    </row>
    <row r="823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  <c r="AS823" s="40"/>
    </row>
    <row r="824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  <c r="AS824" s="40"/>
    </row>
    <row r="8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  <c r="AS825" s="40"/>
    </row>
    <row r="826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  <c r="AS826" s="40"/>
    </row>
    <row r="827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  <c r="AS827" s="40"/>
    </row>
    <row r="828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  <c r="AS828" s="40"/>
    </row>
    <row r="829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  <c r="AS829" s="40"/>
    </row>
    <row r="830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  <c r="AS830" s="40"/>
    </row>
    <row r="83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  <c r="AS831" s="40"/>
    </row>
    <row r="83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  <c r="AS832" s="40"/>
    </row>
    <row r="833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  <c r="AR833" s="40"/>
      <c r="AS833" s="40"/>
    </row>
    <row r="834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  <c r="AS834" s="40"/>
    </row>
    <row r="8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  <c r="AS835" s="40"/>
    </row>
    <row r="836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  <c r="AS836" s="40"/>
    </row>
    <row r="837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  <c r="AS837" s="40"/>
    </row>
    <row r="838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  <c r="AS838" s="40"/>
    </row>
    <row r="839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  <c r="AS839" s="40"/>
    </row>
    <row r="840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  <c r="AR840" s="40"/>
      <c r="AS840" s="40"/>
    </row>
    <row r="84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  <c r="AR841" s="40"/>
      <c r="AS841" s="40"/>
    </row>
    <row r="84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  <c r="AS842" s="40"/>
    </row>
    <row r="843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  <c r="AS843" s="40"/>
    </row>
    <row r="844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  <c r="AS844" s="40"/>
    </row>
    <row r="84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  <c r="AR845" s="40"/>
      <c r="AS845" s="40"/>
    </row>
    <row r="846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  <c r="AS846" s="40"/>
    </row>
    <row r="847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  <c r="AS847" s="40"/>
    </row>
    <row r="848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  <c r="AS848" s="40"/>
    </row>
    <row r="849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  <c r="AS849" s="40"/>
    </row>
    <row r="850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  <c r="AS850" s="40"/>
    </row>
    <row r="85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  <c r="AS851" s="40"/>
    </row>
    <row r="85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  <c r="AS852" s="40"/>
    </row>
    <row r="853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  <c r="AS853" s="40"/>
    </row>
    <row r="854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  <c r="AS854" s="40"/>
    </row>
    <row r="85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  <c r="AS855" s="40"/>
    </row>
    <row r="856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  <c r="AS856" s="40"/>
    </row>
    <row r="857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  <c r="AS857" s="40"/>
    </row>
    <row r="858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  <c r="AS858" s="40"/>
    </row>
    <row r="859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  <c r="AR859" s="40"/>
      <c r="AS859" s="40"/>
    </row>
    <row r="860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  <c r="AR860" s="40"/>
      <c r="AS860" s="40"/>
    </row>
    <row r="86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  <c r="AR861" s="40"/>
      <c r="AS861" s="40"/>
    </row>
    <row r="86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  <c r="AR862" s="40"/>
      <c r="AS862" s="40"/>
    </row>
    <row r="863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  <c r="AR863" s="40"/>
      <c r="AS863" s="40"/>
    </row>
    <row r="864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  <c r="AR864" s="40"/>
      <c r="AS864" s="40"/>
    </row>
    <row r="86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  <c r="AR865" s="40"/>
      <c r="AS865" s="40"/>
    </row>
    <row r="866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  <c r="AS866" s="40"/>
    </row>
    <row r="867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  <c r="AR867" s="40"/>
      <c r="AS867" s="40"/>
    </row>
    <row r="868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  <c r="AR868" s="40"/>
      <c r="AS868" s="40"/>
    </row>
    <row r="869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  <c r="AR869" s="40"/>
      <c r="AS869" s="40"/>
    </row>
    <row r="870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  <c r="AS870" s="40"/>
    </row>
    <row r="87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  <c r="AR871" s="40"/>
      <c r="AS871" s="40"/>
    </row>
    <row r="87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  <c r="AR872" s="40"/>
      <c r="AS872" s="40"/>
    </row>
    <row r="873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  <c r="AR873" s="40"/>
      <c r="AS873" s="40"/>
    </row>
    <row r="874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  <c r="AR874" s="40"/>
      <c r="AS874" s="40"/>
    </row>
    <row r="87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  <c r="AR875" s="40"/>
      <c r="AS875" s="40"/>
    </row>
    <row r="876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  <c r="AR876" s="40"/>
      <c r="AS876" s="40"/>
    </row>
    <row r="877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  <c r="AS877" s="40"/>
    </row>
    <row r="878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  <c r="AS878" s="40"/>
    </row>
    <row r="879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  <c r="AS879" s="40"/>
    </row>
    <row r="880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  <c r="AR880" s="40"/>
      <c r="AS880" s="40"/>
    </row>
    <row r="88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  <c r="AR881" s="40"/>
      <c r="AS881" s="40"/>
    </row>
    <row r="88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  <c r="AR882" s="40"/>
      <c r="AS882" s="40"/>
    </row>
    <row r="883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  <c r="AR883" s="40"/>
      <c r="AS883" s="40"/>
    </row>
    <row r="884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  <c r="AS884" s="40"/>
    </row>
    <row r="88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  <c r="AS885" s="40"/>
    </row>
    <row r="886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  <c r="AR886" s="40"/>
      <c r="AS886" s="40"/>
    </row>
    <row r="887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  <c r="AR887" s="40"/>
      <c r="AS887" s="40"/>
    </row>
    <row r="888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  <c r="AR888" s="40"/>
      <c r="AS888" s="40"/>
    </row>
    <row r="889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  <c r="AR889" s="40"/>
      <c r="AS889" s="40"/>
    </row>
    <row r="890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  <c r="AR890" s="40"/>
      <c r="AS890" s="40"/>
    </row>
    <row r="89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  <c r="AR891" s="40"/>
      <c r="AS891" s="40"/>
    </row>
    <row r="89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  <c r="AR892" s="40"/>
      <c r="AS892" s="40"/>
    </row>
    <row r="893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  <c r="AR893" s="40"/>
      <c r="AS893" s="40"/>
    </row>
    <row r="894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  <c r="AR894" s="40"/>
      <c r="AS894" s="40"/>
    </row>
    <row r="89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  <c r="AR895" s="40"/>
      <c r="AS895" s="40"/>
    </row>
    <row r="896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  <c r="AR896" s="40"/>
      <c r="AS896" s="40"/>
    </row>
    <row r="897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  <c r="AR897" s="40"/>
      <c r="AS897" s="40"/>
    </row>
    <row r="898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  <c r="AR898" s="40"/>
      <c r="AS898" s="40"/>
    </row>
    <row r="899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  <c r="AR899" s="40"/>
      <c r="AS899" s="40"/>
    </row>
    <row r="900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  <c r="AR900" s="40"/>
      <c r="AS900" s="40"/>
    </row>
    <row r="90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  <c r="AR901" s="40"/>
      <c r="AS901" s="40"/>
    </row>
    <row r="90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  <c r="AS902" s="40"/>
    </row>
    <row r="903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  <c r="AR903" s="40"/>
      <c r="AS903" s="40"/>
    </row>
    <row r="904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  <c r="AR904" s="40"/>
      <c r="AS904" s="40"/>
    </row>
    <row r="90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  <c r="AR905" s="40"/>
      <c r="AS905" s="40"/>
    </row>
    <row r="906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  <c r="AR906" s="40"/>
      <c r="AS906" s="40"/>
    </row>
    <row r="907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  <c r="AR907" s="40"/>
      <c r="AS907" s="40"/>
    </row>
    <row r="908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  <c r="AR908" s="40"/>
      <c r="AS908" s="40"/>
    </row>
    <row r="909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  <c r="AR909" s="40"/>
      <c r="AS909" s="40"/>
    </row>
    <row r="910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  <c r="AR910" s="40"/>
      <c r="AS910" s="40"/>
    </row>
    <row r="91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  <c r="AR911" s="40"/>
      <c r="AS911" s="40"/>
    </row>
    <row r="91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  <c r="AR912" s="40"/>
      <c r="AS912" s="40"/>
    </row>
    <row r="913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  <c r="AR913" s="40"/>
      <c r="AS913" s="40"/>
    </row>
    <row r="914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  <c r="AR914" s="40"/>
      <c r="AS914" s="40"/>
    </row>
    <row r="91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  <c r="AR915" s="40"/>
      <c r="AS915" s="40"/>
    </row>
    <row r="916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  <c r="AR916" s="40"/>
      <c r="AS916" s="40"/>
    </row>
    <row r="917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  <c r="AR917" s="40"/>
      <c r="AS917" s="40"/>
    </row>
    <row r="918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  <c r="AR918" s="40"/>
      <c r="AS918" s="40"/>
    </row>
    <row r="919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  <c r="AR919" s="40"/>
      <c r="AS919" s="40"/>
    </row>
    <row r="920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  <c r="AR920" s="40"/>
      <c r="AS920" s="40"/>
    </row>
    <row r="92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  <c r="AR921" s="40"/>
      <c r="AS921" s="40"/>
    </row>
    <row r="92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  <c r="AR922" s="40"/>
      <c r="AS922" s="40"/>
    </row>
    <row r="923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  <c r="AR923" s="40"/>
      <c r="AS923" s="40"/>
    </row>
    <row r="924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  <c r="AR924" s="40"/>
      <c r="AS924" s="40"/>
    </row>
    <row r="9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  <c r="AR925" s="40"/>
      <c r="AS925" s="40"/>
    </row>
    <row r="926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  <c r="AR926" s="40"/>
      <c r="AS926" s="40"/>
    </row>
    <row r="927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  <c r="AR927" s="40"/>
      <c r="AS927" s="40"/>
    </row>
    <row r="928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  <c r="AR928" s="40"/>
      <c r="AS928" s="40"/>
    </row>
    <row r="929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  <c r="AR929" s="40"/>
      <c r="AS929" s="40"/>
    </row>
    <row r="930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  <c r="AR930" s="40"/>
      <c r="AS930" s="40"/>
    </row>
    <row r="93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  <c r="AR931" s="40"/>
      <c r="AS931" s="40"/>
    </row>
    <row r="93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  <c r="AR932" s="40"/>
      <c r="AS932" s="40"/>
    </row>
    <row r="933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  <c r="AR933" s="40"/>
      <c r="AS933" s="40"/>
    </row>
    <row r="934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  <c r="AR934" s="40"/>
      <c r="AS934" s="40"/>
    </row>
    <row r="93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  <c r="AR935" s="40"/>
      <c r="AS935" s="40"/>
    </row>
    <row r="936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  <c r="AR936" s="40"/>
      <c r="AS936" s="40"/>
    </row>
    <row r="937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  <c r="AR937" s="40"/>
      <c r="AS937" s="40"/>
    </row>
    <row r="938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  <c r="AR938" s="40"/>
      <c r="AS938" s="40"/>
    </row>
    <row r="939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  <c r="AR939" s="40"/>
      <c r="AS939" s="40"/>
    </row>
    <row r="940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  <c r="AR940" s="40"/>
      <c r="AS940" s="40"/>
    </row>
    <row r="94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  <c r="AR941" s="40"/>
      <c r="AS941" s="40"/>
    </row>
    <row r="94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  <c r="AR942" s="40"/>
      <c r="AS942" s="40"/>
    </row>
    <row r="943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  <c r="AR943" s="40"/>
      <c r="AS943" s="40"/>
    </row>
    <row r="944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  <c r="AR944" s="40"/>
      <c r="AS944" s="40"/>
    </row>
    <row r="94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  <c r="AR945" s="40"/>
      <c r="AS945" s="40"/>
    </row>
    <row r="946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  <c r="AR946" s="40"/>
      <c r="AS946" s="40"/>
    </row>
    <row r="947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  <c r="AR947" s="40"/>
      <c r="AS947" s="40"/>
    </row>
    <row r="948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  <c r="AR948" s="40"/>
      <c r="AS948" s="40"/>
    </row>
    <row r="949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  <c r="AR949" s="40"/>
      <c r="AS949" s="40"/>
    </row>
    <row r="950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  <c r="AR950" s="40"/>
      <c r="AS950" s="40"/>
    </row>
    <row r="95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  <c r="AR951" s="40"/>
      <c r="AS951" s="40"/>
    </row>
    <row r="95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  <c r="AR952" s="40"/>
      <c r="AS952" s="40"/>
    </row>
    <row r="953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  <c r="AR953" s="40"/>
      <c r="AS953" s="40"/>
    </row>
    <row r="954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  <c r="AR954" s="40"/>
      <c r="AS954" s="40"/>
    </row>
    <row r="95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  <c r="AR955" s="40"/>
      <c r="AS955" s="40"/>
    </row>
    <row r="956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  <c r="AR956" s="40"/>
      <c r="AS956" s="40"/>
    </row>
    <row r="957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  <c r="AR957" s="40"/>
      <c r="AS957" s="40"/>
    </row>
    <row r="958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  <c r="AR958" s="40"/>
      <c r="AS958" s="40"/>
    </row>
    <row r="959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  <c r="AR959" s="40"/>
      <c r="AS959" s="40"/>
    </row>
    <row r="960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  <c r="AR960" s="40"/>
      <c r="AS960" s="40"/>
    </row>
    <row r="96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  <c r="AR961" s="40"/>
      <c r="AS961" s="40"/>
    </row>
    <row r="96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  <c r="AS962" s="40"/>
    </row>
    <row r="963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  <c r="AR963" s="40"/>
      <c r="AS963" s="40"/>
    </row>
    <row r="964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  <c r="AR964" s="40"/>
      <c r="AS964" s="40"/>
    </row>
    <row r="96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  <c r="AS965" s="40"/>
    </row>
    <row r="966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  <c r="AR966" s="40"/>
      <c r="AS966" s="40"/>
    </row>
    <row r="967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  <c r="AR967" s="40"/>
      <c r="AS967" s="40"/>
    </row>
    <row r="968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  <c r="AR968" s="40"/>
      <c r="AS968" s="40"/>
    </row>
    <row r="969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  <c r="AR969" s="40"/>
      <c r="AS969" s="40"/>
    </row>
    <row r="970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  <c r="AR970" s="40"/>
      <c r="AS970" s="40"/>
    </row>
    <row r="97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  <c r="AR971" s="40"/>
      <c r="AS971" s="40"/>
    </row>
    <row r="97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  <c r="AR972" s="40"/>
      <c r="AS972" s="40"/>
    </row>
    <row r="973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  <c r="AR973" s="40"/>
      <c r="AS973" s="40"/>
    </row>
    <row r="974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  <c r="AR974" s="40"/>
      <c r="AS974" s="40"/>
    </row>
    <row r="97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  <c r="AR975" s="40"/>
      <c r="AS975" s="40"/>
    </row>
    <row r="976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  <c r="AR976" s="40"/>
      <c r="AS976" s="40"/>
    </row>
    <row r="977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  <c r="AR977" s="40"/>
      <c r="AS977" s="40"/>
    </row>
    <row r="978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  <c r="AR978" s="40"/>
      <c r="AS978" s="40"/>
    </row>
    <row r="979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  <c r="AS979" s="40"/>
    </row>
    <row r="980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  <c r="AR980" s="40"/>
      <c r="AS980" s="40"/>
    </row>
    <row r="98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  <c r="AR981" s="40"/>
      <c r="AS981" s="40"/>
    </row>
    <row r="98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  <c r="AR982" s="40"/>
      <c r="AS982" s="40"/>
    </row>
    <row r="983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  <c r="AR983" s="40"/>
      <c r="AS983" s="40"/>
    </row>
    <row r="984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  <c r="AR984" s="40"/>
      <c r="AS984" s="40"/>
    </row>
    <row r="98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  <c r="AR985" s="40"/>
      <c r="AS985" s="40"/>
    </row>
    <row r="986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  <c r="AR986" s="40"/>
      <c r="AS986" s="40"/>
    </row>
    <row r="987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  <c r="AR987" s="40"/>
      <c r="AS987" s="40"/>
    </row>
    <row r="988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  <c r="AR988" s="40"/>
      <c r="AS988" s="40"/>
    </row>
    <row r="989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  <c r="AR989" s="40"/>
      <c r="AS989" s="40"/>
    </row>
    <row r="990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  <c r="AR990" s="40"/>
      <c r="AS990" s="40"/>
    </row>
    <row r="99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  <c r="AR991" s="40"/>
      <c r="AS991" s="40"/>
    </row>
    <row r="99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  <c r="AR992" s="40"/>
      <c r="AS992" s="40"/>
    </row>
    <row r="993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  <c r="AR993" s="40"/>
      <c r="AS993" s="40"/>
    </row>
    <row r="994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  <c r="AR994" s="40"/>
      <c r="AS994" s="40"/>
    </row>
    <row r="99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  <c r="AR995" s="40"/>
      <c r="AS995" s="40"/>
    </row>
    <row r="996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  <c r="AR996" s="40"/>
      <c r="AS996" s="40"/>
    </row>
    <row r="997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  <c r="AR997" s="40"/>
      <c r="AS997" s="40"/>
    </row>
    <row r="998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  <c r="AR998" s="40"/>
      <c r="AS998" s="40"/>
    </row>
    <row r="999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  <c r="AR999" s="40"/>
      <c r="AS999" s="40"/>
    </row>
    <row r="1000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  <c r="AR1000" s="40"/>
      <c r="AS1000" s="40"/>
    </row>
  </sheetData>
  <mergeCells count="6">
    <mergeCell ref="P1:U1"/>
    <mergeCell ref="H10:J10"/>
    <mergeCell ref="P10:S10"/>
    <mergeCell ref="X10:AA10"/>
    <mergeCell ref="AF10:AH10"/>
    <mergeCell ref="AJ10:AM1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88"/>
  </cols>
  <sheetData>
    <row r="1">
      <c r="A1" s="16"/>
      <c r="B1" s="18"/>
      <c r="C1" s="18" t="s">
        <v>78</v>
      </c>
      <c r="D1" s="18" t="s">
        <v>51</v>
      </c>
      <c r="E1" s="18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</row>
    <row r="2">
      <c r="A2" s="18" t="s">
        <v>11</v>
      </c>
      <c r="B2" s="19"/>
      <c r="C2" s="19">
        <f>sum(J9:J18)</f>
        <v>3700799293</v>
      </c>
      <c r="D2" s="19">
        <f>sum(S9:S38)</f>
        <v>9250817170</v>
      </c>
      <c r="E2" s="19">
        <f>sum(C2:D2)</f>
        <v>12951616463</v>
      </c>
      <c r="F2" s="16"/>
      <c r="G2" s="37">
        <v>1.2951617044E10</v>
      </c>
      <c r="H2" s="16"/>
      <c r="I2" s="19">
        <f>E2-G2</f>
        <v>-581.4877892</v>
      </c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</row>
    <row r="3">
      <c r="A3" s="16"/>
      <c r="B3" s="16"/>
      <c r="C3" s="16"/>
      <c r="D3" s="16"/>
      <c r="E3" s="18" t="s">
        <v>49</v>
      </c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</row>
    <row r="4">
      <c r="A4" s="38" t="s">
        <v>16</v>
      </c>
      <c r="B4" s="18">
        <v>0.75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</row>
    <row r="5">
      <c r="A5" s="38" t="s">
        <v>29</v>
      </c>
      <c r="B5" s="18">
        <v>15.0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</row>
    <row r="6"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</row>
    <row r="7">
      <c r="B7" s="16"/>
      <c r="C7" s="16"/>
      <c r="D7" s="18" t="s">
        <v>55</v>
      </c>
      <c r="G7" s="16"/>
      <c r="H7" s="16"/>
      <c r="I7" s="16"/>
      <c r="J7" s="16"/>
      <c r="K7" s="16"/>
      <c r="L7" s="16"/>
      <c r="M7" s="18" t="s">
        <v>94</v>
      </c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</row>
    <row r="8">
      <c r="A8" s="71" t="s">
        <v>21</v>
      </c>
      <c r="B8" s="71" t="s">
        <v>22</v>
      </c>
      <c r="C8" s="16"/>
      <c r="D8" s="71" t="s">
        <v>21</v>
      </c>
      <c r="E8" s="71" t="s">
        <v>17</v>
      </c>
      <c r="F8" s="71" t="s">
        <v>95</v>
      </c>
      <c r="G8" s="18" t="s">
        <v>77</v>
      </c>
      <c r="H8" s="18" t="s">
        <v>79</v>
      </c>
      <c r="I8" s="18" t="s">
        <v>96</v>
      </c>
      <c r="J8" s="18"/>
      <c r="K8" s="16"/>
      <c r="L8" s="16"/>
      <c r="M8" s="71" t="s">
        <v>97</v>
      </c>
      <c r="N8" s="71" t="s">
        <v>98</v>
      </c>
      <c r="O8" s="71" t="s">
        <v>99</v>
      </c>
      <c r="P8" s="71" t="s">
        <v>100</v>
      </c>
      <c r="Q8" s="18" t="s">
        <v>101</v>
      </c>
      <c r="R8" s="18" t="s">
        <v>102</v>
      </c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</row>
    <row r="9">
      <c r="A9" s="72" t="s">
        <v>31</v>
      </c>
      <c r="B9" s="72">
        <v>1.0</v>
      </c>
      <c r="C9" s="16"/>
      <c r="D9" s="72" t="s">
        <v>34</v>
      </c>
      <c r="E9" s="72" t="s">
        <v>33</v>
      </c>
      <c r="F9" s="72">
        <v>1.0</v>
      </c>
      <c r="G9" s="16">
        <f>vlookup(D9,Sheet4!$G$1:$I$11,2,false)</f>
        <v>30992.74</v>
      </c>
      <c r="H9" s="16">
        <f>vlookup(D9,Sheet4!$G$1:$I$11,3,false)</f>
        <v>21308.78</v>
      </c>
      <c r="I9" s="34">
        <f t="array" ref="I9">XLOOKUP(D9, 'Data jarak '!$A$2:$A$11, XLOOKUP(E9, 'Data jarak '!$B$1:$K$1, 'Data jarak '!$B$2:$K$11))</f>
        <v>966.6815</v>
      </c>
      <c r="J9" s="16">
        <f t="shared" ref="J9:J14" si="1">I9*$B$5*(G9+H9)</f>
        <v>758383677.1</v>
      </c>
      <c r="K9" s="16"/>
      <c r="L9" s="16"/>
      <c r="M9" s="73" t="s">
        <v>31</v>
      </c>
      <c r="N9" s="73" t="s">
        <v>31</v>
      </c>
      <c r="O9" s="73" t="s">
        <v>33</v>
      </c>
      <c r="P9" s="73">
        <v>54652.84</v>
      </c>
      <c r="Q9" s="18">
        <v>1362.6505</v>
      </c>
      <c r="R9" s="34">
        <f t="array" ref="R9">XLOOKUP(N9, 'Data jarak '!$A$2:$A$11, XLOOKUP(O9, 'Data jarak '!$B$1:$K$1, 'Data jarak '!$B$2:$K$11))</f>
        <v>1362.65</v>
      </c>
      <c r="S9" s="16">
        <f t="shared" ref="S9:S38" si="2">P9*R9*$B$4*$B$5</f>
        <v>837817789.8</v>
      </c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</row>
    <row r="10">
      <c r="A10" s="72" t="s">
        <v>34</v>
      </c>
      <c r="B10" s="72">
        <v>0.0</v>
      </c>
      <c r="C10" s="19"/>
      <c r="D10" s="72" t="s">
        <v>36</v>
      </c>
      <c r="E10" s="72" t="s">
        <v>33</v>
      </c>
      <c r="F10" s="72">
        <v>1.0</v>
      </c>
      <c r="G10" s="16">
        <f>vlookup(D10,Sheet4!$G$1:$I$11,2,false)</f>
        <v>27365.36</v>
      </c>
      <c r="H10" s="16">
        <f>vlookup(D10,Sheet4!$G$1:$I$11,3,false)</f>
        <v>48760.24</v>
      </c>
      <c r="I10" s="34">
        <f t="array" ref="I10">XLOOKUP(D10, 'Data jarak '!$A$2:$A$11, XLOOKUP(E10, 'Data jarak '!$B$1:$K$1, 'Data jarak '!$B$2:$K$11))</f>
        <v>397.4792</v>
      </c>
      <c r="J10" s="16">
        <f t="shared" si="1"/>
        <v>453875138.8</v>
      </c>
      <c r="K10" s="16"/>
      <c r="L10" s="16"/>
      <c r="M10" s="73" t="s">
        <v>31</v>
      </c>
      <c r="N10" s="73" t="s">
        <v>31</v>
      </c>
      <c r="O10" s="73" t="s">
        <v>37</v>
      </c>
      <c r="P10" s="73">
        <v>70439.32</v>
      </c>
      <c r="Q10" s="18">
        <v>2382.4112</v>
      </c>
      <c r="R10" s="34">
        <f t="array" ref="R10">XLOOKUP(N10, 'Data jarak '!$A$2:$A$11, XLOOKUP(O10, 'Data jarak '!$B$1:$K$1, 'Data jarak '!$B$2:$K$11))</f>
        <v>2382.411</v>
      </c>
      <c r="S10" s="16">
        <f t="shared" si="2"/>
        <v>1887923372</v>
      </c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</row>
    <row r="11">
      <c r="A11" s="72" t="s">
        <v>36</v>
      </c>
      <c r="B11" s="72">
        <v>0.0</v>
      </c>
      <c r="C11" s="19"/>
      <c r="D11" s="72" t="s">
        <v>32</v>
      </c>
      <c r="E11" s="72" t="s">
        <v>33</v>
      </c>
      <c r="F11" s="72">
        <v>1.0</v>
      </c>
      <c r="G11" s="16">
        <f>vlookup(D11,Sheet4!$G$1:$I$11,2,false)</f>
        <v>50914.96</v>
      </c>
      <c r="H11" s="16">
        <f>vlookup(D11,Sheet4!$G$1:$I$11,3,false)</f>
        <v>147517.64</v>
      </c>
      <c r="I11" s="34">
        <f t="array" ref="I11">XLOOKUP(D11, 'Data jarak '!$A$2:$A$11, XLOOKUP(E11, 'Data jarak '!$B$1:$K$1, 'Data jarak '!$B$2:$K$11))</f>
        <v>525.4495</v>
      </c>
      <c r="J11" s="16">
        <f t="shared" si="1"/>
        <v>1563994657</v>
      </c>
      <c r="K11" s="16"/>
      <c r="L11" s="16"/>
      <c r="M11" s="73" t="s">
        <v>31</v>
      </c>
      <c r="N11" s="73" t="s">
        <v>33</v>
      </c>
      <c r="O11" s="73" t="s">
        <v>35</v>
      </c>
      <c r="P11" s="73">
        <v>29375.52</v>
      </c>
      <c r="Q11" s="18">
        <v>475.5078</v>
      </c>
      <c r="R11" s="34">
        <f t="array" ref="R11">XLOOKUP(N11, 'Data jarak '!$A$2:$A$11, XLOOKUP(O11, 'Data jarak '!$B$1:$K$1, 'Data jarak '!$B$2:$K$11))</f>
        <v>475.5078</v>
      </c>
      <c r="S11" s="16">
        <f t="shared" si="2"/>
        <v>157143250</v>
      </c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</row>
    <row r="12">
      <c r="A12" s="72" t="s">
        <v>32</v>
      </c>
      <c r="B12" s="72">
        <v>0.0</v>
      </c>
      <c r="C12" s="16"/>
      <c r="D12" s="72" t="s">
        <v>38</v>
      </c>
      <c r="E12" s="72" t="s">
        <v>33</v>
      </c>
      <c r="F12" s="72">
        <v>1.0</v>
      </c>
      <c r="G12" s="16">
        <f>vlookup(D12,Sheet4!$G$1:$I$11,2,false)</f>
        <v>40906.08</v>
      </c>
      <c r="H12" s="16">
        <f>vlookup(D12,Sheet4!$G$1:$I$11,3,false)</f>
        <v>49314.56</v>
      </c>
      <c r="I12" s="34">
        <f t="array" ref="I12">XLOOKUP(D12, 'Data jarak '!$A$2:$A$11, XLOOKUP(E12, 'Data jarak '!$B$1:$K$1, 'Data jarak '!$B$2:$K$11))</f>
        <v>176.4669</v>
      </c>
      <c r="J12" s="16">
        <f t="shared" si="1"/>
        <v>238814349.9</v>
      </c>
      <c r="K12" s="16"/>
      <c r="L12" s="16"/>
      <c r="M12" s="73" t="s">
        <v>34</v>
      </c>
      <c r="N12" s="73" t="s">
        <v>33</v>
      </c>
      <c r="O12" s="73" t="s">
        <v>31</v>
      </c>
      <c r="P12" s="73">
        <v>1517.87</v>
      </c>
      <c r="Q12" s="18">
        <v>1362.6505</v>
      </c>
      <c r="R12" s="34">
        <f t="array" ref="R12">XLOOKUP(N12, 'Data jarak '!$A$2:$A$11, XLOOKUP(O12, 'Data jarak '!$B$1:$K$1, 'Data jarak '!$B$2:$K$11))</f>
        <v>1362.65</v>
      </c>
      <c r="S12" s="16">
        <f t="shared" si="2"/>
        <v>23268662.5</v>
      </c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</row>
    <row r="13">
      <c r="A13" s="72" t="s">
        <v>38</v>
      </c>
      <c r="B13" s="72">
        <v>0.0</v>
      </c>
      <c r="C13" s="16"/>
      <c r="D13" s="72" t="s">
        <v>39</v>
      </c>
      <c r="E13" s="72" t="s">
        <v>35</v>
      </c>
      <c r="F13" s="72">
        <v>1.0</v>
      </c>
      <c r="G13" s="16">
        <f>vlookup(D13,Sheet4!$G$1:$I$11,2,false)</f>
        <v>75267.84</v>
      </c>
      <c r="H13" s="16">
        <f>vlookup(D13,Sheet4!$G$1:$I$11,3,false)</f>
        <v>44041.76</v>
      </c>
      <c r="I13" s="34">
        <f t="array" ref="I13">XLOOKUP(D13, 'Data jarak '!$A$2:$A$11, XLOOKUP(E13, 'Data jarak '!$B$1:$K$1, 'Data jarak '!$B$2:$K$11))</f>
        <v>186.18</v>
      </c>
      <c r="J13" s="16">
        <f t="shared" si="1"/>
        <v>333195919.9</v>
      </c>
      <c r="K13" s="16"/>
      <c r="L13" s="16"/>
      <c r="M13" s="73" t="s">
        <v>34</v>
      </c>
      <c r="N13" s="73" t="s">
        <v>33</v>
      </c>
      <c r="O13" s="73" t="s">
        <v>35</v>
      </c>
      <c r="P13" s="73">
        <v>16491.14</v>
      </c>
      <c r="Q13" s="18">
        <v>475.5078</v>
      </c>
      <c r="R13" s="34">
        <f t="array" ref="R13">XLOOKUP(N13, 'Data jarak '!$A$2:$A$11, XLOOKUP(O13, 'Data jarak '!$B$1:$K$1, 'Data jarak '!$B$2:$K$11))</f>
        <v>475.5078</v>
      </c>
      <c r="S13" s="16">
        <f t="shared" si="2"/>
        <v>88218739.14</v>
      </c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</row>
    <row r="14">
      <c r="A14" s="72" t="s">
        <v>33</v>
      </c>
      <c r="B14" s="72">
        <v>1.0</v>
      </c>
      <c r="C14" s="16"/>
      <c r="D14" s="72" t="s">
        <v>40</v>
      </c>
      <c r="E14" s="72" t="s">
        <v>35</v>
      </c>
      <c r="F14" s="72">
        <v>1.0</v>
      </c>
      <c r="G14" s="16">
        <f>vlookup(D14,Sheet4!$G$1:$I$11,2,false)</f>
        <v>13888.29</v>
      </c>
      <c r="H14" s="16">
        <f>vlookup(D14,Sheet4!$G$1:$I$11,3,false)</f>
        <v>44428.77</v>
      </c>
      <c r="I14" s="34">
        <f t="array" ref="I14">XLOOKUP(D14, 'Data jarak '!$A$2:$A$11, XLOOKUP(E14, 'Data jarak '!$B$1:$K$1, 'Data jarak '!$B$2:$K$11))</f>
        <v>403.0102</v>
      </c>
      <c r="J14" s="16">
        <f t="shared" si="1"/>
        <v>352535550.2</v>
      </c>
      <c r="K14" s="16"/>
      <c r="L14" s="16"/>
      <c r="M14" s="73" t="s">
        <v>34</v>
      </c>
      <c r="N14" s="73" t="s">
        <v>35</v>
      </c>
      <c r="O14" s="73" t="s">
        <v>37</v>
      </c>
      <c r="P14" s="73">
        <v>4136.76</v>
      </c>
      <c r="Q14" s="18">
        <v>658.2451</v>
      </c>
      <c r="R14" s="34">
        <f t="array" ref="R14">XLOOKUP(N14, 'Data jarak '!$A$2:$A$11, XLOOKUP(O14, 'Data jarak '!$B$1:$K$1, 'Data jarak '!$B$2:$K$11))</f>
        <v>658.2451</v>
      </c>
      <c r="S14" s="16">
        <f t="shared" si="2"/>
        <v>30633772.5</v>
      </c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</row>
    <row r="15">
      <c r="A15" s="72" t="s">
        <v>39</v>
      </c>
      <c r="B15" s="72">
        <v>0.0</v>
      </c>
      <c r="C15" s="16"/>
      <c r="D15" s="72"/>
      <c r="E15" s="72"/>
      <c r="F15" s="72"/>
      <c r="G15" s="16"/>
      <c r="H15" s="16"/>
      <c r="I15" s="16"/>
      <c r="J15" s="16"/>
      <c r="K15" s="16"/>
      <c r="L15" s="16"/>
      <c r="M15" s="73" t="s">
        <v>36</v>
      </c>
      <c r="N15" s="73" t="s">
        <v>33</v>
      </c>
      <c r="O15" s="73" t="s">
        <v>31</v>
      </c>
      <c r="P15" s="73">
        <v>881.92</v>
      </c>
      <c r="Q15" s="18">
        <v>1362.6505</v>
      </c>
      <c r="R15" s="34">
        <f t="array" ref="R15">XLOOKUP(N15, 'Data jarak '!$A$2:$A$11, XLOOKUP(O15, 'Data jarak '!$B$1:$K$1, 'Data jarak '!$B$2:$K$11))</f>
        <v>1362.65</v>
      </c>
      <c r="S15" s="16">
        <f t="shared" si="2"/>
        <v>13519668.24</v>
      </c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</row>
    <row r="16">
      <c r="A16" s="72" t="s">
        <v>35</v>
      </c>
      <c r="B16" s="72">
        <v>1.0</v>
      </c>
      <c r="C16" s="16"/>
      <c r="D16" s="27"/>
      <c r="E16" s="27"/>
      <c r="F16" s="27"/>
      <c r="G16" s="16"/>
      <c r="H16" s="16"/>
      <c r="I16" s="16"/>
      <c r="J16" s="16"/>
      <c r="K16" s="16"/>
      <c r="L16" s="16"/>
      <c r="M16" s="73" t="s">
        <v>36</v>
      </c>
      <c r="N16" s="73" t="s">
        <v>33</v>
      </c>
      <c r="O16" s="73" t="s">
        <v>35</v>
      </c>
      <c r="P16" s="73">
        <v>18777.63</v>
      </c>
      <c r="Q16" s="18">
        <v>475.5078</v>
      </c>
      <c r="R16" s="34">
        <f t="array" ref="R16">XLOOKUP(N16, 'Data jarak '!$A$2:$A$11, XLOOKUP(O16, 'Data jarak '!$B$1:$K$1, 'Data jarak '!$B$2:$K$11))</f>
        <v>475.5078</v>
      </c>
      <c r="S16" s="16">
        <f t="shared" si="2"/>
        <v>100450232.2</v>
      </c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</row>
    <row r="17">
      <c r="A17" s="72" t="s">
        <v>40</v>
      </c>
      <c r="B17" s="72">
        <v>0.0</v>
      </c>
      <c r="C17" s="16"/>
      <c r="D17" s="27"/>
      <c r="E17" s="27"/>
      <c r="F17" s="27"/>
      <c r="G17" s="16"/>
      <c r="H17" s="16"/>
      <c r="I17" s="16"/>
      <c r="J17" s="16"/>
      <c r="K17" s="16"/>
      <c r="L17" s="16"/>
      <c r="M17" s="73" t="s">
        <v>36</v>
      </c>
      <c r="N17" s="73" t="s">
        <v>35</v>
      </c>
      <c r="O17" s="73" t="s">
        <v>37</v>
      </c>
      <c r="P17" s="73">
        <v>2415.04</v>
      </c>
      <c r="Q17" s="18">
        <v>658.2451</v>
      </c>
      <c r="R17" s="34">
        <f t="array" ref="R17">XLOOKUP(N17, 'Data jarak '!$A$2:$A$11, XLOOKUP(O17, 'Data jarak '!$B$1:$K$1, 'Data jarak '!$B$2:$K$11))</f>
        <v>658.2451</v>
      </c>
      <c r="S17" s="16">
        <f t="shared" si="2"/>
        <v>17883992.77</v>
      </c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</row>
    <row r="18">
      <c r="A18" s="72" t="s">
        <v>37</v>
      </c>
      <c r="B18" s="72">
        <v>1.0</v>
      </c>
      <c r="C18" s="16"/>
      <c r="D18" s="27"/>
      <c r="E18" s="27"/>
      <c r="F18" s="27"/>
      <c r="G18" s="16"/>
      <c r="H18" s="16"/>
      <c r="I18" s="16"/>
      <c r="J18" s="16"/>
      <c r="K18" s="16"/>
      <c r="L18" s="16"/>
      <c r="M18" s="73" t="s">
        <v>32</v>
      </c>
      <c r="N18" s="73" t="s">
        <v>33</v>
      </c>
      <c r="O18" s="73" t="s">
        <v>31</v>
      </c>
      <c r="P18" s="73">
        <v>2877.88</v>
      </c>
      <c r="Q18" s="18">
        <v>1362.6505</v>
      </c>
      <c r="R18" s="34">
        <f t="array" ref="R18">XLOOKUP(N18, 'Data jarak '!$A$2:$A$11, XLOOKUP(O18, 'Data jarak '!$B$1:$K$1, 'Data jarak '!$B$2:$K$11))</f>
        <v>1362.65</v>
      </c>
      <c r="S18" s="16">
        <f t="shared" si="2"/>
        <v>44117360.8</v>
      </c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</row>
    <row r="19">
      <c r="A19" s="18"/>
      <c r="B19" s="74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73" t="s">
        <v>32</v>
      </c>
      <c r="N19" s="73" t="s">
        <v>33</v>
      </c>
      <c r="O19" s="73" t="s">
        <v>35</v>
      </c>
      <c r="P19" s="73">
        <v>33614.57</v>
      </c>
      <c r="Q19" s="18">
        <v>475.5078</v>
      </c>
      <c r="R19" s="34">
        <f t="array" ref="R19">XLOOKUP(N19, 'Data jarak '!$A$2:$A$11, XLOOKUP(O19, 'Data jarak '!$B$1:$K$1, 'Data jarak '!$B$2:$K$11))</f>
        <v>475.5078</v>
      </c>
      <c r="S19" s="16">
        <f t="shared" si="2"/>
        <v>179819890.1</v>
      </c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</row>
    <row r="20">
      <c r="A20" s="25" t="s">
        <v>41</v>
      </c>
      <c r="B20" s="26"/>
      <c r="C20" s="26"/>
      <c r="D20" s="26"/>
      <c r="E20" s="26"/>
      <c r="F20" s="6"/>
      <c r="G20" s="16"/>
      <c r="H20" s="16"/>
      <c r="I20" s="16"/>
      <c r="J20" s="16"/>
      <c r="K20" s="16"/>
      <c r="L20" s="16"/>
      <c r="M20" s="73" t="s">
        <v>32</v>
      </c>
      <c r="N20" s="73" t="s">
        <v>35</v>
      </c>
      <c r="O20" s="73" t="s">
        <v>37</v>
      </c>
      <c r="P20" s="73">
        <v>12387.4</v>
      </c>
      <c r="Q20" s="18">
        <v>658.2451</v>
      </c>
      <c r="R20" s="34">
        <f t="array" ref="R20">XLOOKUP(N20, 'Data jarak '!$A$2:$A$11, XLOOKUP(O20, 'Data jarak '!$B$1:$K$1, 'Data jarak '!$B$2:$K$11))</f>
        <v>658.2451</v>
      </c>
      <c r="S20" s="16">
        <f t="shared" si="2"/>
        <v>91731885.21</v>
      </c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</row>
    <row r="21">
      <c r="A21" s="27" t="s">
        <v>42</v>
      </c>
      <c r="B21" s="27" t="s">
        <v>43</v>
      </c>
      <c r="C21" s="27" t="s">
        <v>44</v>
      </c>
      <c r="D21" s="27" t="s">
        <v>45</v>
      </c>
      <c r="E21" s="27" t="s">
        <v>46</v>
      </c>
      <c r="F21" s="27" t="s">
        <v>47</v>
      </c>
      <c r="G21" s="16"/>
      <c r="H21" s="16"/>
      <c r="I21" s="16"/>
      <c r="J21" s="16"/>
      <c r="K21" s="16"/>
      <c r="L21" s="16"/>
      <c r="M21" s="73" t="s">
        <v>38</v>
      </c>
      <c r="N21" s="73" t="s">
        <v>33</v>
      </c>
      <c r="O21" s="73" t="s">
        <v>31</v>
      </c>
      <c r="P21" s="73">
        <v>1916.56</v>
      </c>
      <c r="Q21" s="18">
        <v>1362.6505</v>
      </c>
      <c r="R21" s="34">
        <f t="array" ref="R21">XLOOKUP(N21, 'Data jarak '!$A$2:$A$11, XLOOKUP(O21, 'Data jarak '!$B$1:$K$1, 'Data jarak '!$B$2:$K$11))</f>
        <v>1362.65</v>
      </c>
      <c r="S21" s="16">
        <f t="shared" si="2"/>
        <v>29380505.45</v>
      </c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</row>
    <row r="22">
      <c r="A22" s="27" t="s">
        <v>31</v>
      </c>
      <c r="B22" s="27" t="s">
        <v>37</v>
      </c>
      <c r="C22" s="27" t="s">
        <v>32</v>
      </c>
      <c r="D22" s="27" t="s">
        <v>48</v>
      </c>
      <c r="E22" s="27" t="s">
        <v>35</v>
      </c>
      <c r="F22" s="27" t="s">
        <v>49</v>
      </c>
      <c r="G22" s="16"/>
      <c r="H22" s="16"/>
      <c r="I22" s="16"/>
      <c r="J22" s="16"/>
      <c r="K22" s="16"/>
      <c r="L22" s="16"/>
      <c r="M22" s="73" t="s">
        <v>38</v>
      </c>
      <c r="N22" s="73" t="s">
        <v>33</v>
      </c>
      <c r="O22" s="73" t="s">
        <v>35</v>
      </c>
      <c r="P22" s="73">
        <v>28444.6</v>
      </c>
      <c r="Q22" s="18">
        <v>475.5078</v>
      </c>
      <c r="R22" s="34">
        <f t="array" ref="R22">XLOOKUP(N22, 'Data jarak '!$A$2:$A$11, XLOOKUP(O22, 'Data jarak '!$B$1:$K$1, 'Data jarak '!$B$2:$K$11))</f>
        <v>475.5078</v>
      </c>
      <c r="S22" s="16">
        <f t="shared" si="2"/>
        <v>152163328.1</v>
      </c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</row>
    <row r="23">
      <c r="A23" s="27" t="s">
        <v>36</v>
      </c>
      <c r="B23" s="27" t="s">
        <v>35</v>
      </c>
      <c r="C23" s="27" t="s">
        <v>33</v>
      </c>
      <c r="D23" s="27" t="s">
        <v>48</v>
      </c>
      <c r="E23" s="27" t="s">
        <v>35</v>
      </c>
      <c r="F23" s="27" t="s">
        <v>49</v>
      </c>
      <c r="G23" s="16"/>
      <c r="H23" s="16"/>
      <c r="I23" s="16"/>
      <c r="J23" s="16"/>
      <c r="K23" s="16"/>
      <c r="L23" s="16"/>
      <c r="M23" s="73" t="s">
        <v>38</v>
      </c>
      <c r="N23" s="73" t="s">
        <v>35</v>
      </c>
      <c r="O23" s="73" t="s">
        <v>37</v>
      </c>
      <c r="P23" s="73">
        <v>5911.52</v>
      </c>
      <c r="Q23" s="18">
        <v>658.2451</v>
      </c>
      <c r="R23" s="34">
        <f t="array" ref="R23">XLOOKUP(N23, 'Data jarak '!$A$2:$A$11, XLOOKUP(O23, 'Data jarak '!$B$1:$K$1, 'Data jarak '!$B$2:$K$11))</f>
        <v>658.2451</v>
      </c>
      <c r="S23" s="16">
        <f t="shared" si="2"/>
        <v>43776327.08</v>
      </c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</row>
    <row r="24">
      <c r="A24" s="27" t="s">
        <v>38</v>
      </c>
      <c r="B24" s="27" t="s">
        <v>33</v>
      </c>
      <c r="C24" s="27" t="s">
        <v>33</v>
      </c>
      <c r="D24" s="27" t="s">
        <v>48</v>
      </c>
      <c r="E24" s="27" t="s">
        <v>33</v>
      </c>
      <c r="F24" s="27" t="s">
        <v>49</v>
      </c>
      <c r="G24" s="16"/>
      <c r="H24" s="16"/>
      <c r="I24" s="16"/>
      <c r="J24" s="16"/>
      <c r="K24" s="16"/>
      <c r="L24" s="16"/>
      <c r="M24" s="73" t="s">
        <v>33</v>
      </c>
      <c r="N24" s="73" t="s">
        <v>33</v>
      </c>
      <c r="O24" s="73" t="s">
        <v>31</v>
      </c>
      <c r="P24" s="73">
        <v>2334.6</v>
      </c>
      <c r="Q24" s="18">
        <v>1362.6505</v>
      </c>
      <c r="R24" s="34">
        <f t="array" ref="R24">XLOOKUP(N24, 'Data jarak '!$A$2:$A$11, XLOOKUP(O24, 'Data jarak '!$B$1:$K$1, 'Data jarak '!$B$2:$K$11))</f>
        <v>1362.65</v>
      </c>
      <c r="S24" s="16">
        <f t="shared" si="2"/>
        <v>35788980.26</v>
      </c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</row>
    <row r="25">
      <c r="A25" s="27" t="s">
        <v>39</v>
      </c>
      <c r="B25" s="27" t="s">
        <v>32</v>
      </c>
      <c r="C25" s="27" t="s">
        <v>35</v>
      </c>
      <c r="D25" s="27" t="s">
        <v>48</v>
      </c>
      <c r="E25" s="27" t="s">
        <v>32</v>
      </c>
      <c r="F25" s="27" t="s">
        <v>49</v>
      </c>
      <c r="G25" s="16"/>
      <c r="H25" s="16"/>
      <c r="I25" s="16"/>
      <c r="J25" s="16"/>
      <c r="K25" s="16"/>
      <c r="L25" s="16"/>
      <c r="M25" s="73" t="s">
        <v>33</v>
      </c>
      <c r="N25" s="73" t="s">
        <v>33</v>
      </c>
      <c r="O25" s="73" t="s">
        <v>35</v>
      </c>
      <c r="P25" s="73">
        <v>44722.79</v>
      </c>
      <c r="Q25" s="18">
        <v>475.5078</v>
      </c>
      <c r="R25" s="34">
        <f t="array" ref="R25">XLOOKUP(N25, 'Data jarak '!$A$2:$A$11, XLOOKUP(O25, 'Data jarak '!$B$1:$K$1, 'Data jarak '!$B$2:$K$11))</f>
        <v>475.5078</v>
      </c>
      <c r="S25" s="16">
        <f t="shared" si="2"/>
        <v>239242899.2</v>
      </c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</row>
    <row r="26">
      <c r="A26" s="27" t="s">
        <v>40</v>
      </c>
      <c r="B26" s="27" t="s">
        <v>34</v>
      </c>
      <c r="C26" s="27" t="s">
        <v>35</v>
      </c>
      <c r="D26" s="27" t="s">
        <v>48</v>
      </c>
      <c r="E26" s="27" t="s">
        <v>32</v>
      </c>
      <c r="F26" s="27" t="s">
        <v>49</v>
      </c>
      <c r="G26" s="16"/>
      <c r="H26" s="16"/>
      <c r="I26" s="16"/>
      <c r="J26" s="16"/>
      <c r="K26" s="16"/>
      <c r="L26" s="16"/>
      <c r="M26" s="73" t="s">
        <v>33</v>
      </c>
      <c r="N26" s="73" t="s">
        <v>35</v>
      </c>
      <c r="O26" s="73" t="s">
        <v>37</v>
      </c>
      <c r="P26" s="73">
        <v>6665.76</v>
      </c>
      <c r="Q26" s="18">
        <v>658.2451</v>
      </c>
      <c r="R26" s="34">
        <f t="array" ref="R26">XLOOKUP(N26, 'Data jarak '!$A$2:$A$11, XLOOKUP(O26, 'Data jarak '!$B$1:$K$1, 'Data jarak '!$B$2:$K$11))</f>
        <v>658.2451</v>
      </c>
      <c r="S26" s="16">
        <f t="shared" si="2"/>
        <v>49361668.4</v>
      </c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</row>
    <row r="27">
      <c r="A27" s="74"/>
      <c r="B27" s="74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73" t="s">
        <v>39</v>
      </c>
      <c r="N27" s="73" t="s">
        <v>33</v>
      </c>
      <c r="O27" s="73" t="s">
        <v>31</v>
      </c>
      <c r="P27" s="73">
        <v>2873.96</v>
      </c>
      <c r="Q27" s="18">
        <v>1362.6505</v>
      </c>
      <c r="R27" s="34">
        <f t="array" ref="R27">XLOOKUP(N27, 'Data jarak '!$A$2:$A$11, XLOOKUP(O27, 'Data jarak '!$B$1:$K$1, 'Data jarak '!$B$2:$K$11))</f>
        <v>1362.65</v>
      </c>
      <c r="S27" s="16">
        <f t="shared" si="2"/>
        <v>44057267.93</v>
      </c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</row>
    <row r="28">
      <c r="A28" s="74"/>
      <c r="B28" s="74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73" t="s">
        <v>39</v>
      </c>
      <c r="N28" s="73" t="s">
        <v>35</v>
      </c>
      <c r="O28" s="73" t="s">
        <v>33</v>
      </c>
      <c r="P28" s="73">
        <v>48204.01</v>
      </c>
      <c r="Q28" s="18">
        <v>475.5078</v>
      </c>
      <c r="R28" s="34">
        <f t="array" ref="R28">XLOOKUP(N28, 'Data jarak '!$A$2:$A$11, XLOOKUP(O28, 'Data jarak '!$B$1:$K$1, 'Data jarak '!$B$2:$K$11))</f>
        <v>475.5078</v>
      </c>
      <c r="S28" s="16">
        <f t="shared" si="2"/>
        <v>257865555.9</v>
      </c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</row>
    <row r="29">
      <c r="A29" s="74"/>
      <c r="B29" s="74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8" t="s">
        <v>39</v>
      </c>
      <c r="N29" s="18" t="s">
        <v>35</v>
      </c>
      <c r="O29" s="18" t="s">
        <v>37</v>
      </c>
      <c r="P29" s="18">
        <v>8546.4</v>
      </c>
      <c r="Q29" s="18">
        <v>658.2451</v>
      </c>
      <c r="R29" s="34">
        <f t="array" ref="R29">XLOOKUP(N29, 'Data jarak '!$A$2:$A$11, XLOOKUP(O29, 'Data jarak '!$B$1:$K$1, 'Data jarak '!$B$2:$K$11))</f>
        <v>658.2451</v>
      </c>
      <c r="S29" s="16">
        <f t="shared" si="2"/>
        <v>63288291.63</v>
      </c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</row>
    <row r="30">
      <c r="A30" s="74"/>
      <c r="B30" s="74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8" t="s">
        <v>35</v>
      </c>
      <c r="N30" s="18" t="s">
        <v>33</v>
      </c>
      <c r="O30" s="18" t="s">
        <v>31</v>
      </c>
      <c r="P30" s="18">
        <v>30724.48</v>
      </c>
      <c r="Q30" s="18">
        <v>1362.6505</v>
      </c>
      <c r="R30" s="34">
        <f t="array" ref="R30">XLOOKUP(N30, 'Data jarak '!$A$2:$A$11, XLOOKUP(O30, 'Data jarak '!$B$1:$K$1, 'Data jarak '!$B$2:$K$11))</f>
        <v>1362.65</v>
      </c>
      <c r="S30" s="16">
        <f t="shared" si="2"/>
        <v>471000517.6</v>
      </c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</row>
    <row r="31">
      <c r="A31" s="74"/>
      <c r="B31" s="74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8" t="s">
        <v>35</v>
      </c>
      <c r="N31" s="18" t="s">
        <v>35</v>
      </c>
      <c r="O31" s="18" t="s">
        <v>33</v>
      </c>
      <c r="P31" s="18">
        <v>279223.18</v>
      </c>
      <c r="Q31" s="18">
        <v>475.5078</v>
      </c>
      <c r="R31" s="34">
        <f t="array" ref="R31">XLOOKUP(N31, 'Data jarak '!$A$2:$A$11, XLOOKUP(O31, 'Data jarak '!$B$1:$K$1, 'Data jarak '!$B$2:$K$11))</f>
        <v>475.5078</v>
      </c>
      <c r="S31" s="16">
        <f t="shared" si="2"/>
        <v>1493694000</v>
      </c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</row>
    <row r="32">
      <c r="A32" s="74"/>
      <c r="B32" s="74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8" t="s">
        <v>35</v>
      </c>
      <c r="N32" s="18" t="s">
        <v>35</v>
      </c>
      <c r="O32" s="18" t="s">
        <v>37</v>
      </c>
      <c r="P32" s="18">
        <v>101245.44</v>
      </c>
      <c r="Q32" s="18">
        <v>658.2451</v>
      </c>
      <c r="R32" s="34">
        <f t="array" ref="R32">XLOOKUP(N32, 'Data jarak '!$A$2:$A$11, XLOOKUP(O32, 'Data jarak '!$B$1:$K$1, 'Data jarak '!$B$2:$K$11))</f>
        <v>658.2451</v>
      </c>
      <c r="S32" s="16">
        <f t="shared" si="2"/>
        <v>749748541.2</v>
      </c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</row>
    <row r="33">
      <c r="A33" s="74"/>
      <c r="B33" s="74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8" t="s">
        <v>40</v>
      </c>
      <c r="N33" s="18" t="s">
        <v>33</v>
      </c>
      <c r="O33" s="18" t="s">
        <v>31</v>
      </c>
      <c r="P33" s="18">
        <v>535.69</v>
      </c>
      <c r="Q33" s="18">
        <v>1362.6505</v>
      </c>
      <c r="R33" s="34">
        <f t="array" ref="R33">XLOOKUP(N33, 'Data jarak '!$A$2:$A$11, XLOOKUP(O33, 'Data jarak '!$B$1:$K$1, 'Data jarak '!$B$2:$K$11))</f>
        <v>1362.65</v>
      </c>
      <c r="S33" s="16">
        <f t="shared" si="2"/>
        <v>8212027.258</v>
      </c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</row>
    <row r="34">
      <c r="A34" s="74"/>
      <c r="B34" s="74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8" t="s">
        <v>40</v>
      </c>
      <c r="N34" s="18" t="s">
        <v>35</v>
      </c>
      <c r="O34" s="18" t="s">
        <v>33</v>
      </c>
      <c r="P34" s="18">
        <v>7151.68</v>
      </c>
      <c r="Q34" s="18">
        <v>475.5078</v>
      </c>
      <c r="R34" s="34">
        <f t="array" ref="R34">XLOOKUP(N34, 'Data jarak '!$A$2:$A$11, XLOOKUP(O34, 'Data jarak '!$B$1:$K$1, 'Data jarak '!$B$2:$K$11))</f>
        <v>475.5078</v>
      </c>
      <c r="S34" s="16">
        <f t="shared" si="2"/>
        <v>38257645.76</v>
      </c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</row>
    <row r="35">
      <c r="A35" s="74"/>
      <c r="B35" s="74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8" t="s">
        <v>40</v>
      </c>
      <c r="N35" s="18" t="s">
        <v>35</v>
      </c>
      <c r="O35" s="18" t="s">
        <v>37</v>
      </c>
      <c r="P35" s="18">
        <v>1785.4</v>
      </c>
      <c r="Q35" s="18">
        <v>658.2451</v>
      </c>
      <c r="R35" s="34">
        <f t="array" ref="R35">XLOOKUP(N35, 'Data jarak '!$A$2:$A$11, XLOOKUP(O35, 'Data jarak '!$B$1:$K$1, 'Data jarak '!$B$2:$K$11))</f>
        <v>658.2451</v>
      </c>
      <c r="S35" s="16">
        <f t="shared" si="2"/>
        <v>13221346.52</v>
      </c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</row>
    <row r="36">
      <c r="A36" s="74"/>
      <c r="B36" s="74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8" t="s">
        <v>37</v>
      </c>
      <c r="N36" s="18" t="s">
        <v>35</v>
      </c>
      <c r="O36" s="18" t="s">
        <v>33</v>
      </c>
      <c r="P36" s="18">
        <v>65423.14</v>
      </c>
      <c r="Q36" s="18">
        <v>475.5078</v>
      </c>
      <c r="R36" s="34">
        <f t="array" ref="R36">XLOOKUP(N36, 'Data jarak '!$A$2:$A$11, XLOOKUP(O36, 'Data jarak '!$B$1:$K$1, 'Data jarak '!$B$2:$K$11))</f>
        <v>475.5078</v>
      </c>
      <c r="S36" s="16">
        <f t="shared" si="2"/>
        <v>349978650.4</v>
      </c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</row>
    <row r="37">
      <c r="A37" s="74"/>
      <c r="B37" s="74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8" t="s">
        <v>37</v>
      </c>
      <c r="N37" s="18" t="s">
        <v>37</v>
      </c>
      <c r="O37" s="18" t="s">
        <v>31</v>
      </c>
      <c r="P37" s="18">
        <v>29981.56</v>
      </c>
      <c r="Q37" s="18">
        <v>2382.4112</v>
      </c>
      <c r="R37" s="34">
        <f t="array" ref="R37">XLOOKUP(N37, 'Data jarak '!$A$2:$A$11, XLOOKUP(O37, 'Data jarak '!$B$1:$K$1, 'Data jarak '!$B$2:$K$11))</f>
        <v>2382.411</v>
      </c>
      <c r="S37" s="16">
        <f t="shared" si="2"/>
        <v>803569481.3</v>
      </c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</row>
    <row r="38">
      <c r="A38" s="74"/>
      <c r="B38" s="74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8" t="s">
        <v>37</v>
      </c>
      <c r="N38" s="18" t="s">
        <v>37</v>
      </c>
      <c r="O38" s="18" t="s">
        <v>35</v>
      </c>
      <c r="P38" s="18">
        <v>126353.68</v>
      </c>
      <c r="Q38" s="18">
        <v>658.2451</v>
      </c>
      <c r="R38" s="34">
        <f t="array" ref="R38">XLOOKUP(N38, 'Data jarak '!$A$2:$A$11, XLOOKUP(O38, 'Data jarak '!$B$1:$K$1, 'Data jarak '!$B$2:$K$11))</f>
        <v>658.2451</v>
      </c>
      <c r="S38" s="16">
        <f t="shared" si="2"/>
        <v>935681520.7</v>
      </c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</row>
    <row r="39">
      <c r="A39" s="74"/>
      <c r="B39" s="74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</row>
    <row r="40">
      <c r="A40" s="74"/>
      <c r="B40" s="74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</row>
    <row r="41">
      <c r="A41" s="74"/>
      <c r="B41" s="74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</row>
    <row r="42">
      <c r="A42" s="74"/>
      <c r="B42" s="74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</row>
    <row r="43">
      <c r="A43" s="74"/>
      <c r="B43" s="74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</row>
    <row r="44">
      <c r="A44" s="74"/>
      <c r="B44" s="74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</row>
    <row r="45">
      <c r="A45" s="74"/>
      <c r="B45" s="74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</row>
    <row r="46">
      <c r="A46" s="74"/>
      <c r="B46" s="74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</row>
    <row r="47">
      <c r="A47" s="74"/>
      <c r="B47" s="74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</row>
    <row r="48">
      <c r="A48" s="74"/>
      <c r="B48" s="74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</row>
    <row r="49">
      <c r="A49" s="74"/>
      <c r="B49" s="74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</row>
    <row r="50">
      <c r="A50" s="74"/>
      <c r="B50" s="74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</row>
    <row r="51">
      <c r="A51" s="74"/>
      <c r="B51" s="74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</row>
    <row r="52">
      <c r="A52" s="74"/>
      <c r="B52" s="74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</row>
    <row r="53">
      <c r="A53" s="74"/>
      <c r="B53" s="74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</row>
    <row r="54">
      <c r="A54" s="74"/>
      <c r="B54" s="74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</row>
    <row r="55">
      <c r="A55" s="74"/>
      <c r="B55" s="74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</row>
    <row r="56">
      <c r="A56" s="74"/>
      <c r="B56" s="74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</row>
    <row r="57">
      <c r="A57" s="74"/>
      <c r="B57" s="74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</row>
    <row r="58">
      <c r="A58" s="74"/>
      <c r="B58" s="74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</row>
    <row r="59">
      <c r="A59" s="74"/>
      <c r="B59" s="74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</row>
    <row r="60">
      <c r="A60" s="74"/>
      <c r="B60" s="74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</row>
    <row r="61">
      <c r="A61" s="74"/>
      <c r="B61" s="74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</row>
    <row r="62">
      <c r="A62" s="74"/>
      <c r="B62" s="74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</row>
    <row r="63">
      <c r="A63" s="74"/>
      <c r="B63" s="74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</row>
    <row r="64">
      <c r="A64" s="74"/>
      <c r="B64" s="74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</row>
    <row r="65">
      <c r="A65" s="74"/>
      <c r="B65" s="74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</row>
    <row r="66">
      <c r="A66" s="74"/>
      <c r="B66" s="74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</row>
    <row r="67">
      <c r="A67" s="74"/>
      <c r="B67" s="74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</row>
    <row r="68">
      <c r="A68" s="74"/>
      <c r="B68" s="74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</row>
    <row r="69">
      <c r="A69" s="74"/>
      <c r="B69" s="74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</row>
    <row r="70">
      <c r="A70" s="74"/>
      <c r="B70" s="74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</row>
    <row r="71">
      <c r="A71" s="74"/>
      <c r="B71" s="74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</row>
    <row r="72">
      <c r="A72" s="74"/>
      <c r="B72" s="74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</row>
    <row r="73">
      <c r="A73" s="74"/>
      <c r="B73" s="74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</row>
    <row r="74">
      <c r="A74" s="74"/>
      <c r="B74" s="74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</row>
    <row r="75">
      <c r="A75" s="74"/>
      <c r="B75" s="74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</row>
    <row r="76">
      <c r="A76" s="74"/>
      <c r="B76" s="74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</row>
    <row r="77">
      <c r="A77" s="74"/>
      <c r="B77" s="74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</row>
    <row r="78">
      <c r="A78" s="74"/>
      <c r="B78" s="74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</row>
    <row r="79">
      <c r="A79" s="74"/>
      <c r="B79" s="74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</row>
    <row r="80">
      <c r="A80" s="74"/>
      <c r="B80" s="74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</row>
    <row r="81">
      <c r="A81" s="74"/>
      <c r="B81" s="74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</row>
    <row r="82">
      <c r="A82" s="74"/>
      <c r="B82" s="74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</row>
    <row r="83">
      <c r="A83" s="74"/>
      <c r="B83" s="74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</row>
    <row r="84">
      <c r="A84" s="74"/>
      <c r="B84" s="74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</row>
    <row r="85">
      <c r="A85" s="74"/>
      <c r="B85" s="74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</row>
    <row r="86">
      <c r="A86" s="74"/>
      <c r="B86" s="74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</row>
    <row r="87">
      <c r="A87" s="74"/>
      <c r="B87" s="74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</row>
    <row r="88">
      <c r="A88" s="74"/>
      <c r="B88" s="74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</row>
    <row r="89">
      <c r="A89" s="74"/>
      <c r="B89" s="74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</row>
    <row r="90">
      <c r="A90" s="74"/>
      <c r="B90" s="74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</row>
    <row r="91">
      <c r="A91" s="74"/>
      <c r="B91" s="74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</row>
    <row r="92">
      <c r="A92" s="74"/>
      <c r="B92" s="74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</row>
    <row r="93">
      <c r="A93" s="74"/>
      <c r="B93" s="74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</row>
    <row r="94">
      <c r="A94" s="74"/>
      <c r="B94" s="74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</row>
    <row r="95">
      <c r="A95" s="74"/>
      <c r="B95" s="74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</row>
    <row r="96">
      <c r="A96" s="74"/>
      <c r="B96" s="74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</row>
    <row r="97">
      <c r="A97" s="74"/>
      <c r="B97" s="74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</row>
    <row r="98">
      <c r="A98" s="74"/>
      <c r="B98" s="74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</row>
    <row r="99">
      <c r="A99" s="74"/>
      <c r="B99" s="74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</row>
    <row r="100">
      <c r="A100" s="74"/>
      <c r="B100" s="74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</row>
    <row r="101">
      <c r="A101" s="74"/>
      <c r="B101" s="74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</row>
    <row r="102">
      <c r="A102" s="74"/>
      <c r="B102" s="74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</row>
    <row r="103">
      <c r="A103" s="74"/>
      <c r="B103" s="74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</row>
    <row r="104">
      <c r="A104" s="74"/>
      <c r="B104" s="74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</row>
    <row r="105">
      <c r="A105" s="74"/>
      <c r="B105" s="74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</row>
    <row r="106">
      <c r="A106" s="74"/>
      <c r="B106" s="74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</row>
    <row r="107">
      <c r="A107" s="74"/>
      <c r="B107" s="74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</row>
    <row r="108">
      <c r="A108" s="74"/>
      <c r="B108" s="74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</row>
    <row r="109">
      <c r="A109" s="74"/>
      <c r="B109" s="74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</row>
    <row r="110">
      <c r="A110" s="74"/>
      <c r="B110" s="74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</row>
    <row r="111">
      <c r="A111" s="74"/>
      <c r="B111" s="74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</row>
    <row r="112">
      <c r="A112" s="74"/>
      <c r="B112" s="74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</row>
    <row r="113">
      <c r="A113" s="74"/>
      <c r="B113" s="74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</row>
    <row r="114">
      <c r="A114" s="74"/>
      <c r="B114" s="74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</row>
    <row r="115">
      <c r="A115" s="74"/>
      <c r="B115" s="74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</row>
    <row r="116">
      <c r="A116" s="74"/>
      <c r="B116" s="74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</row>
    <row r="117">
      <c r="A117" s="74"/>
      <c r="B117" s="74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</row>
    <row r="118">
      <c r="A118" s="74"/>
      <c r="B118" s="74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</row>
    <row r="119">
      <c r="A119" s="74"/>
      <c r="B119" s="74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</row>
    <row r="120">
      <c r="A120" s="74"/>
      <c r="B120" s="74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</row>
    <row r="121">
      <c r="A121" s="74"/>
      <c r="B121" s="74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</row>
    <row r="122">
      <c r="A122" s="74"/>
      <c r="B122" s="74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</row>
    <row r="123">
      <c r="A123" s="74"/>
      <c r="B123" s="74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</row>
    <row r="124">
      <c r="A124" s="74"/>
      <c r="B124" s="74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</row>
    <row r="125">
      <c r="A125" s="74"/>
      <c r="B125" s="74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</row>
    <row r="126">
      <c r="A126" s="74"/>
      <c r="B126" s="74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</row>
    <row r="127">
      <c r="A127" s="74"/>
      <c r="B127" s="74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</row>
    <row r="128">
      <c r="A128" s="74"/>
      <c r="B128" s="74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</row>
    <row r="129">
      <c r="A129" s="74"/>
      <c r="B129" s="74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</row>
    <row r="130">
      <c r="A130" s="74"/>
      <c r="B130" s="74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</row>
    <row r="131">
      <c r="A131" s="74"/>
      <c r="B131" s="74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</row>
    <row r="132">
      <c r="A132" s="74"/>
      <c r="B132" s="74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</row>
    <row r="133">
      <c r="A133" s="74"/>
      <c r="B133" s="74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</row>
    <row r="134">
      <c r="A134" s="74"/>
      <c r="B134" s="74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</row>
    <row r="135">
      <c r="A135" s="74"/>
      <c r="B135" s="74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</row>
    <row r="136">
      <c r="A136" s="74"/>
      <c r="B136" s="74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</row>
    <row r="137">
      <c r="A137" s="74"/>
      <c r="B137" s="74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</row>
    <row r="138">
      <c r="A138" s="74"/>
      <c r="B138" s="74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</row>
    <row r="139">
      <c r="A139" s="74"/>
      <c r="B139" s="74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</row>
    <row r="140">
      <c r="A140" s="74"/>
      <c r="B140" s="74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</row>
    <row r="141">
      <c r="A141" s="74"/>
      <c r="B141" s="74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</row>
    <row r="142">
      <c r="A142" s="74"/>
      <c r="B142" s="74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</row>
    <row r="143">
      <c r="A143" s="74"/>
      <c r="B143" s="74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</row>
    <row r="144">
      <c r="A144" s="74"/>
      <c r="B144" s="74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</row>
    <row r="145">
      <c r="A145" s="74"/>
      <c r="B145" s="74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</row>
    <row r="146">
      <c r="A146" s="74"/>
      <c r="B146" s="74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</row>
    <row r="147">
      <c r="A147" s="74"/>
      <c r="B147" s="74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</row>
    <row r="148">
      <c r="A148" s="74"/>
      <c r="B148" s="74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</row>
    <row r="149">
      <c r="A149" s="74"/>
      <c r="B149" s="74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</row>
    <row r="150">
      <c r="A150" s="74"/>
      <c r="B150" s="74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</row>
    <row r="151">
      <c r="A151" s="74"/>
      <c r="B151" s="74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</row>
    <row r="152">
      <c r="A152" s="74"/>
      <c r="B152" s="74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</row>
    <row r="153">
      <c r="A153" s="74"/>
      <c r="B153" s="74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</row>
    <row r="154">
      <c r="A154" s="74"/>
      <c r="B154" s="74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</row>
    <row r="155">
      <c r="A155" s="74"/>
      <c r="B155" s="74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</row>
    <row r="156">
      <c r="A156" s="74"/>
      <c r="B156" s="74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</row>
    <row r="157">
      <c r="A157" s="74"/>
      <c r="B157" s="74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</row>
    <row r="158">
      <c r="A158" s="74"/>
      <c r="B158" s="74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</row>
    <row r="159">
      <c r="A159" s="74"/>
      <c r="B159" s="74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</row>
    <row r="160">
      <c r="A160" s="74"/>
      <c r="B160" s="74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</row>
    <row r="161">
      <c r="A161" s="74"/>
      <c r="B161" s="74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</row>
    <row r="162">
      <c r="A162" s="74"/>
      <c r="B162" s="74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</row>
    <row r="163">
      <c r="A163" s="74"/>
      <c r="B163" s="74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</row>
    <row r="164">
      <c r="A164" s="74"/>
      <c r="B164" s="74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</row>
    <row r="165">
      <c r="A165" s="74"/>
      <c r="B165" s="74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</row>
    <row r="166">
      <c r="A166" s="74"/>
      <c r="B166" s="74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</row>
    <row r="167">
      <c r="A167" s="74"/>
      <c r="B167" s="74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</row>
    <row r="168">
      <c r="A168" s="74"/>
      <c r="B168" s="74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</row>
    <row r="169">
      <c r="A169" s="74"/>
      <c r="B169" s="74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</row>
    <row r="170">
      <c r="A170" s="74"/>
      <c r="B170" s="74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</row>
    <row r="171">
      <c r="A171" s="74"/>
      <c r="B171" s="74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</row>
    <row r="172">
      <c r="A172" s="74"/>
      <c r="B172" s="74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</row>
    <row r="173">
      <c r="A173" s="74"/>
      <c r="B173" s="74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</row>
    <row r="174">
      <c r="A174" s="74"/>
      <c r="B174" s="74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</row>
    <row r="175">
      <c r="A175" s="74"/>
      <c r="B175" s="74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</row>
    <row r="176">
      <c r="A176" s="74"/>
      <c r="B176" s="74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</row>
    <row r="177">
      <c r="A177" s="74"/>
      <c r="B177" s="74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</row>
    <row r="178">
      <c r="A178" s="74"/>
      <c r="B178" s="74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</row>
    <row r="179">
      <c r="A179" s="74"/>
      <c r="B179" s="74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</row>
    <row r="180">
      <c r="A180" s="74"/>
      <c r="B180" s="74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</row>
    <row r="181">
      <c r="A181" s="74"/>
      <c r="B181" s="74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</row>
    <row r="182">
      <c r="A182" s="74"/>
      <c r="B182" s="74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</row>
    <row r="183">
      <c r="A183" s="74"/>
      <c r="B183" s="74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</row>
    <row r="184">
      <c r="A184" s="74"/>
      <c r="B184" s="74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</row>
    <row r="185">
      <c r="A185" s="74"/>
      <c r="B185" s="74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</row>
    <row r="186">
      <c r="A186" s="74"/>
      <c r="B186" s="74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</row>
    <row r="187">
      <c r="A187" s="74"/>
      <c r="B187" s="74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</row>
    <row r="188">
      <c r="A188" s="74"/>
      <c r="B188" s="74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</row>
    <row r="189">
      <c r="A189" s="74"/>
      <c r="B189" s="74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</row>
    <row r="190">
      <c r="A190" s="74"/>
      <c r="B190" s="74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</row>
    <row r="191">
      <c r="A191" s="74"/>
      <c r="B191" s="74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</row>
    <row r="192">
      <c r="A192" s="74"/>
      <c r="B192" s="74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</row>
    <row r="193">
      <c r="A193" s="74"/>
      <c r="B193" s="74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</row>
    <row r="194">
      <c r="A194" s="74"/>
      <c r="B194" s="74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</row>
    <row r="195">
      <c r="A195" s="74"/>
      <c r="B195" s="74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</row>
    <row r="196">
      <c r="A196" s="74"/>
      <c r="B196" s="74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</row>
    <row r="197">
      <c r="A197" s="74"/>
      <c r="B197" s="74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</row>
    <row r="198">
      <c r="A198" s="74"/>
      <c r="B198" s="74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</row>
    <row r="199">
      <c r="A199" s="74"/>
      <c r="B199" s="74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</row>
    <row r="200">
      <c r="A200" s="74"/>
      <c r="B200" s="74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</row>
    <row r="201">
      <c r="A201" s="74"/>
      <c r="B201" s="74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</row>
    <row r="202">
      <c r="A202" s="74"/>
      <c r="B202" s="74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</row>
    <row r="203">
      <c r="A203" s="74"/>
      <c r="B203" s="74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</row>
    <row r="204">
      <c r="A204" s="74"/>
      <c r="B204" s="74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</row>
    <row r="205">
      <c r="A205" s="74"/>
      <c r="B205" s="74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</row>
    <row r="206">
      <c r="A206" s="74"/>
      <c r="B206" s="74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</row>
    <row r="207">
      <c r="A207" s="74"/>
      <c r="B207" s="74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</row>
    <row r="208">
      <c r="A208" s="74"/>
      <c r="B208" s="74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</row>
    <row r="209">
      <c r="A209" s="74"/>
      <c r="B209" s="74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</row>
    <row r="210">
      <c r="A210" s="74"/>
      <c r="B210" s="74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</row>
    <row r="211">
      <c r="A211" s="74"/>
      <c r="B211" s="74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</row>
    <row r="212">
      <c r="A212" s="74"/>
      <c r="B212" s="74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</row>
    <row r="213">
      <c r="A213" s="74"/>
      <c r="B213" s="74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</row>
    <row r="214">
      <c r="A214" s="74"/>
      <c r="B214" s="74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</row>
    <row r="215">
      <c r="A215" s="74"/>
      <c r="B215" s="74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</row>
    <row r="216">
      <c r="A216" s="74"/>
      <c r="B216" s="74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</row>
    <row r="217">
      <c r="A217" s="74"/>
      <c r="B217" s="74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</row>
    <row r="218">
      <c r="A218" s="74"/>
      <c r="B218" s="74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</row>
    <row r="219">
      <c r="A219" s="74"/>
      <c r="B219" s="74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</row>
    <row r="220">
      <c r="A220" s="74"/>
      <c r="B220" s="74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</row>
    <row r="221">
      <c r="A221" s="74"/>
      <c r="B221" s="74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</row>
    <row r="222">
      <c r="A222" s="74"/>
      <c r="B222" s="74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</row>
    <row r="223">
      <c r="A223" s="74"/>
      <c r="B223" s="74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</row>
    <row r="224">
      <c r="A224" s="74"/>
      <c r="B224" s="74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</row>
    <row r="225">
      <c r="A225" s="74"/>
      <c r="B225" s="74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</row>
    <row r="226">
      <c r="A226" s="74"/>
      <c r="B226" s="74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</row>
    <row r="227">
      <c r="A227" s="74"/>
      <c r="B227" s="74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</row>
    <row r="228">
      <c r="A228" s="74"/>
      <c r="B228" s="74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</row>
    <row r="229">
      <c r="A229" s="74"/>
      <c r="B229" s="74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</row>
    <row r="230">
      <c r="A230" s="74"/>
      <c r="B230" s="74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</row>
    <row r="231">
      <c r="A231" s="74"/>
      <c r="B231" s="74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</row>
    <row r="232">
      <c r="A232" s="74"/>
      <c r="B232" s="74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</row>
    <row r="233">
      <c r="A233" s="74"/>
      <c r="B233" s="74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</row>
    <row r="234">
      <c r="A234" s="74"/>
      <c r="B234" s="74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</row>
    <row r="235">
      <c r="A235" s="74"/>
      <c r="B235" s="74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</row>
    <row r="236">
      <c r="A236" s="74"/>
      <c r="B236" s="74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</row>
    <row r="237">
      <c r="A237" s="74"/>
      <c r="B237" s="74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</row>
    <row r="238">
      <c r="A238" s="74"/>
      <c r="B238" s="74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</row>
    <row r="239">
      <c r="A239" s="74"/>
      <c r="B239" s="74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</row>
    <row r="240">
      <c r="A240" s="74"/>
      <c r="B240" s="74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</row>
    <row r="241">
      <c r="A241" s="74"/>
      <c r="B241" s="74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</row>
    <row r="242">
      <c r="A242" s="74"/>
      <c r="B242" s="74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</row>
    <row r="243">
      <c r="A243" s="74"/>
      <c r="B243" s="74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</row>
    <row r="244">
      <c r="A244" s="74"/>
      <c r="B244" s="74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</row>
    <row r="245">
      <c r="A245" s="74"/>
      <c r="B245" s="74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</row>
    <row r="246">
      <c r="A246" s="74"/>
      <c r="B246" s="74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</row>
    <row r="247">
      <c r="A247" s="74"/>
      <c r="B247" s="74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</row>
    <row r="248">
      <c r="A248" s="74"/>
      <c r="B248" s="74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</row>
    <row r="249">
      <c r="A249" s="74"/>
      <c r="B249" s="74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</row>
    <row r="250">
      <c r="A250" s="74"/>
      <c r="B250" s="74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</row>
    <row r="251">
      <c r="A251" s="74"/>
      <c r="B251" s="74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</row>
    <row r="252">
      <c r="A252" s="74"/>
      <c r="B252" s="74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</row>
    <row r="253">
      <c r="A253" s="74"/>
      <c r="B253" s="74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</row>
    <row r="254">
      <c r="A254" s="74"/>
      <c r="B254" s="74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</row>
    <row r="255">
      <c r="A255" s="74"/>
      <c r="B255" s="74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</row>
    <row r="256">
      <c r="A256" s="74"/>
      <c r="B256" s="74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</row>
    <row r="257">
      <c r="A257" s="74"/>
      <c r="B257" s="74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</row>
    <row r="258">
      <c r="A258" s="74"/>
      <c r="B258" s="74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</row>
    <row r="259">
      <c r="A259" s="74"/>
      <c r="B259" s="74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</row>
    <row r="260">
      <c r="A260" s="74"/>
      <c r="B260" s="74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</row>
    <row r="261">
      <c r="A261" s="74"/>
      <c r="B261" s="74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</row>
    <row r="262">
      <c r="A262" s="74"/>
      <c r="B262" s="74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</row>
    <row r="263">
      <c r="A263" s="74"/>
      <c r="B263" s="74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</row>
    <row r="264">
      <c r="A264" s="74"/>
      <c r="B264" s="74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</row>
    <row r="265">
      <c r="A265" s="74"/>
      <c r="B265" s="74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</row>
    <row r="266">
      <c r="A266" s="74"/>
      <c r="B266" s="74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</row>
    <row r="267">
      <c r="A267" s="74"/>
      <c r="B267" s="74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</row>
    <row r="268">
      <c r="A268" s="74"/>
      <c r="B268" s="74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</row>
    <row r="269">
      <c r="A269" s="74"/>
      <c r="B269" s="74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</row>
    <row r="270">
      <c r="A270" s="74"/>
      <c r="B270" s="74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</row>
    <row r="271">
      <c r="A271" s="74"/>
      <c r="B271" s="74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</row>
    <row r="272">
      <c r="A272" s="74"/>
      <c r="B272" s="74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</row>
    <row r="273">
      <c r="A273" s="74"/>
      <c r="B273" s="74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</row>
    <row r="274">
      <c r="A274" s="74"/>
      <c r="B274" s="74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</row>
    <row r="275">
      <c r="A275" s="74"/>
      <c r="B275" s="74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</row>
    <row r="276">
      <c r="A276" s="74"/>
      <c r="B276" s="74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</row>
    <row r="277">
      <c r="A277" s="74"/>
      <c r="B277" s="74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</row>
    <row r="278">
      <c r="A278" s="74"/>
      <c r="B278" s="74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</row>
    <row r="279">
      <c r="A279" s="74"/>
      <c r="B279" s="74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</row>
    <row r="280">
      <c r="A280" s="74"/>
      <c r="B280" s="74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</row>
    <row r="281">
      <c r="A281" s="74"/>
      <c r="B281" s="74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</row>
    <row r="282">
      <c r="A282" s="74"/>
      <c r="B282" s="74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</row>
    <row r="283">
      <c r="A283" s="74"/>
      <c r="B283" s="74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</row>
    <row r="284">
      <c r="A284" s="74"/>
      <c r="B284" s="74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</row>
    <row r="285">
      <c r="A285" s="74"/>
      <c r="B285" s="74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</row>
    <row r="286">
      <c r="A286" s="74"/>
      <c r="B286" s="74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</row>
    <row r="287">
      <c r="A287" s="74"/>
      <c r="B287" s="74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</row>
    <row r="288">
      <c r="A288" s="74"/>
      <c r="B288" s="74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</row>
    <row r="289">
      <c r="A289" s="74"/>
      <c r="B289" s="74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</row>
    <row r="290">
      <c r="A290" s="74"/>
      <c r="B290" s="74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</row>
    <row r="291">
      <c r="A291" s="74"/>
      <c r="B291" s="74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</row>
    <row r="292">
      <c r="A292" s="74"/>
      <c r="B292" s="74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</row>
    <row r="293">
      <c r="A293" s="74"/>
      <c r="B293" s="74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</row>
    <row r="294">
      <c r="A294" s="74"/>
      <c r="B294" s="74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</row>
    <row r="295">
      <c r="A295" s="74"/>
      <c r="B295" s="74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</row>
    <row r="296">
      <c r="A296" s="74"/>
      <c r="B296" s="74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</row>
    <row r="297">
      <c r="A297" s="74"/>
      <c r="B297" s="74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</row>
    <row r="298">
      <c r="A298" s="74"/>
      <c r="B298" s="74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</row>
    <row r="299">
      <c r="A299" s="74"/>
      <c r="B299" s="74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</row>
    <row r="300">
      <c r="A300" s="74"/>
      <c r="B300" s="74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</row>
    <row r="301">
      <c r="A301" s="74"/>
      <c r="B301" s="74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</row>
    <row r="302">
      <c r="A302" s="74"/>
      <c r="B302" s="74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</row>
    <row r="303">
      <c r="A303" s="74"/>
      <c r="B303" s="74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</row>
    <row r="304">
      <c r="A304" s="74"/>
      <c r="B304" s="74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</row>
    <row r="305">
      <c r="A305" s="74"/>
      <c r="B305" s="74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</row>
    <row r="306">
      <c r="A306" s="74"/>
      <c r="B306" s="74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</row>
    <row r="307">
      <c r="A307" s="74"/>
      <c r="B307" s="74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</row>
    <row r="308">
      <c r="A308" s="74"/>
      <c r="B308" s="74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</row>
    <row r="309">
      <c r="A309" s="74"/>
      <c r="B309" s="74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</row>
    <row r="310">
      <c r="A310" s="74"/>
      <c r="B310" s="74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</row>
    <row r="311">
      <c r="A311" s="74"/>
      <c r="B311" s="74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</row>
    <row r="312">
      <c r="A312" s="74"/>
      <c r="B312" s="74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</row>
    <row r="313">
      <c r="A313" s="74"/>
      <c r="B313" s="74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</row>
    <row r="314">
      <c r="A314" s="74"/>
      <c r="B314" s="74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</row>
    <row r="315">
      <c r="A315" s="74"/>
      <c r="B315" s="74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</row>
    <row r="316">
      <c r="A316" s="74"/>
      <c r="B316" s="74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</row>
    <row r="317">
      <c r="A317" s="74"/>
      <c r="B317" s="74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</row>
    <row r="318">
      <c r="A318" s="74"/>
      <c r="B318" s="74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</row>
    <row r="319">
      <c r="A319" s="74"/>
      <c r="B319" s="74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</row>
    <row r="320">
      <c r="A320" s="74"/>
      <c r="B320" s="74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</row>
    <row r="321">
      <c r="A321" s="74"/>
      <c r="B321" s="74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</row>
    <row r="322">
      <c r="A322" s="74"/>
      <c r="B322" s="74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</row>
    <row r="323">
      <c r="A323" s="74"/>
      <c r="B323" s="74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</row>
    <row r="324">
      <c r="A324" s="74"/>
      <c r="B324" s="74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</row>
    <row r="325">
      <c r="A325" s="74"/>
      <c r="B325" s="74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</row>
    <row r="326">
      <c r="A326" s="74"/>
      <c r="B326" s="74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</row>
    <row r="327">
      <c r="A327" s="74"/>
      <c r="B327" s="74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</row>
    <row r="328">
      <c r="A328" s="74"/>
      <c r="B328" s="74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</row>
    <row r="329">
      <c r="A329" s="74"/>
      <c r="B329" s="74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</row>
    <row r="330">
      <c r="A330" s="74"/>
      <c r="B330" s="74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</row>
    <row r="331">
      <c r="A331" s="74"/>
      <c r="B331" s="74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</row>
    <row r="332">
      <c r="A332" s="74"/>
      <c r="B332" s="74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</row>
    <row r="333">
      <c r="A333" s="74"/>
      <c r="B333" s="74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</row>
    <row r="334">
      <c r="A334" s="74"/>
      <c r="B334" s="74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</row>
    <row r="335">
      <c r="A335" s="74"/>
      <c r="B335" s="74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</row>
    <row r="336">
      <c r="A336" s="74"/>
      <c r="B336" s="74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</row>
    <row r="337">
      <c r="A337" s="74"/>
      <c r="B337" s="74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</row>
    <row r="338">
      <c r="A338" s="74"/>
      <c r="B338" s="74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</row>
    <row r="339">
      <c r="A339" s="74"/>
      <c r="B339" s="74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</row>
    <row r="340">
      <c r="A340" s="74"/>
      <c r="B340" s="74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</row>
    <row r="341">
      <c r="A341" s="74"/>
      <c r="B341" s="74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</row>
    <row r="342">
      <c r="A342" s="74"/>
      <c r="B342" s="74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</row>
    <row r="343">
      <c r="A343" s="74"/>
      <c r="B343" s="74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</row>
    <row r="344">
      <c r="A344" s="74"/>
      <c r="B344" s="74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</row>
    <row r="345">
      <c r="A345" s="74"/>
      <c r="B345" s="74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</row>
    <row r="346">
      <c r="A346" s="74"/>
      <c r="B346" s="74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</row>
    <row r="347">
      <c r="A347" s="74"/>
      <c r="B347" s="74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</row>
    <row r="348">
      <c r="A348" s="74"/>
      <c r="B348" s="74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</row>
    <row r="349">
      <c r="A349" s="74"/>
      <c r="B349" s="74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</row>
    <row r="350">
      <c r="A350" s="74"/>
      <c r="B350" s="74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</row>
    <row r="351">
      <c r="A351" s="74"/>
      <c r="B351" s="74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</row>
    <row r="352">
      <c r="A352" s="74"/>
      <c r="B352" s="74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</row>
    <row r="353">
      <c r="A353" s="74"/>
      <c r="B353" s="74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</row>
    <row r="354">
      <c r="A354" s="74"/>
      <c r="B354" s="74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</row>
    <row r="355">
      <c r="A355" s="74"/>
      <c r="B355" s="74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</row>
    <row r="356">
      <c r="A356" s="74"/>
      <c r="B356" s="74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</row>
    <row r="357">
      <c r="A357" s="74"/>
      <c r="B357" s="74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</row>
    <row r="358">
      <c r="A358" s="74"/>
      <c r="B358" s="74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</row>
    <row r="359">
      <c r="A359" s="74"/>
      <c r="B359" s="74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</row>
    <row r="360">
      <c r="A360" s="74"/>
      <c r="B360" s="74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</row>
    <row r="361">
      <c r="A361" s="74"/>
      <c r="B361" s="74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</row>
    <row r="362">
      <c r="A362" s="74"/>
      <c r="B362" s="74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</row>
    <row r="363">
      <c r="A363" s="74"/>
      <c r="B363" s="74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</row>
    <row r="364">
      <c r="A364" s="74"/>
      <c r="B364" s="74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</row>
    <row r="365">
      <c r="A365" s="74"/>
      <c r="B365" s="74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</row>
    <row r="366">
      <c r="A366" s="74"/>
      <c r="B366" s="74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</row>
    <row r="367">
      <c r="A367" s="74"/>
      <c r="B367" s="74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</row>
    <row r="368">
      <c r="A368" s="74"/>
      <c r="B368" s="74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</row>
    <row r="369">
      <c r="A369" s="74"/>
      <c r="B369" s="74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</row>
    <row r="370">
      <c r="A370" s="74"/>
      <c r="B370" s="74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</row>
    <row r="371">
      <c r="A371" s="74"/>
      <c r="B371" s="74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</row>
    <row r="372">
      <c r="A372" s="74"/>
      <c r="B372" s="74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</row>
    <row r="373">
      <c r="A373" s="74"/>
      <c r="B373" s="74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</row>
    <row r="374">
      <c r="A374" s="74"/>
      <c r="B374" s="74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</row>
    <row r="375">
      <c r="A375" s="74"/>
      <c r="B375" s="74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</row>
    <row r="376">
      <c r="A376" s="74"/>
      <c r="B376" s="74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</row>
    <row r="377">
      <c r="A377" s="74"/>
      <c r="B377" s="74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</row>
    <row r="378">
      <c r="A378" s="74"/>
      <c r="B378" s="74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</row>
    <row r="379">
      <c r="A379" s="74"/>
      <c r="B379" s="74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</row>
    <row r="380">
      <c r="A380" s="74"/>
      <c r="B380" s="74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</row>
    <row r="381">
      <c r="A381" s="74"/>
      <c r="B381" s="74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</row>
    <row r="382">
      <c r="A382" s="74"/>
      <c r="B382" s="74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</row>
    <row r="383">
      <c r="A383" s="74"/>
      <c r="B383" s="74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</row>
    <row r="384">
      <c r="A384" s="74"/>
      <c r="B384" s="74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</row>
    <row r="385">
      <c r="A385" s="74"/>
      <c r="B385" s="74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</row>
    <row r="386">
      <c r="A386" s="74"/>
      <c r="B386" s="74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</row>
    <row r="387">
      <c r="A387" s="74"/>
      <c r="B387" s="74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</row>
    <row r="388">
      <c r="A388" s="74"/>
      <c r="B388" s="74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</row>
    <row r="389">
      <c r="A389" s="74"/>
      <c r="B389" s="74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</row>
    <row r="390">
      <c r="A390" s="74"/>
      <c r="B390" s="74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</row>
    <row r="391">
      <c r="A391" s="74"/>
      <c r="B391" s="74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</row>
    <row r="392">
      <c r="A392" s="74"/>
      <c r="B392" s="74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</row>
    <row r="393">
      <c r="A393" s="74"/>
      <c r="B393" s="74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</row>
    <row r="394">
      <c r="A394" s="74"/>
      <c r="B394" s="74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</row>
    <row r="395">
      <c r="A395" s="74"/>
      <c r="B395" s="74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</row>
    <row r="396">
      <c r="A396" s="74"/>
      <c r="B396" s="74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</row>
    <row r="397">
      <c r="A397" s="74"/>
      <c r="B397" s="74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</row>
    <row r="398">
      <c r="A398" s="74"/>
      <c r="B398" s="74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</row>
    <row r="399">
      <c r="A399" s="74"/>
      <c r="B399" s="74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</row>
    <row r="400">
      <c r="A400" s="74"/>
      <c r="B400" s="74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</row>
    <row r="401">
      <c r="A401" s="74"/>
      <c r="B401" s="74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</row>
    <row r="402">
      <c r="A402" s="74"/>
      <c r="B402" s="74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</row>
    <row r="403">
      <c r="A403" s="74"/>
      <c r="B403" s="74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</row>
    <row r="404">
      <c r="A404" s="74"/>
      <c r="B404" s="74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</row>
    <row r="405">
      <c r="A405" s="74"/>
      <c r="B405" s="74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</row>
    <row r="406">
      <c r="A406" s="74"/>
      <c r="B406" s="74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</row>
    <row r="407">
      <c r="A407" s="74"/>
      <c r="B407" s="74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</row>
    <row r="408">
      <c r="A408" s="74"/>
      <c r="B408" s="74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</row>
    <row r="409">
      <c r="A409" s="74"/>
      <c r="B409" s="74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</row>
    <row r="410">
      <c r="A410" s="74"/>
      <c r="B410" s="74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</row>
    <row r="411">
      <c r="A411" s="74"/>
      <c r="B411" s="74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</row>
    <row r="412">
      <c r="A412" s="74"/>
      <c r="B412" s="74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</row>
    <row r="413">
      <c r="A413" s="74"/>
      <c r="B413" s="74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</row>
    <row r="414">
      <c r="A414" s="74"/>
      <c r="B414" s="74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</row>
    <row r="415">
      <c r="A415" s="74"/>
      <c r="B415" s="74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</row>
    <row r="416">
      <c r="A416" s="74"/>
      <c r="B416" s="74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</row>
    <row r="417">
      <c r="A417" s="74"/>
      <c r="B417" s="74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</row>
    <row r="418">
      <c r="A418" s="74"/>
      <c r="B418" s="74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</row>
    <row r="419">
      <c r="A419" s="74"/>
      <c r="B419" s="74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</row>
    <row r="420">
      <c r="A420" s="74"/>
      <c r="B420" s="74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</row>
    <row r="421">
      <c r="A421" s="74"/>
      <c r="B421" s="74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</row>
    <row r="422">
      <c r="A422" s="74"/>
      <c r="B422" s="74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</row>
    <row r="423">
      <c r="A423" s="74"/>
      <c r="B423" s="74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</row>
    <row r="424">
      <c r="A424" s="74"/>
      <c r="B424" s="74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</row>
    <row r="425">
      <c r="A425" s="74"/>
      <c r="B425" s="74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</row>
    <row r="426">
      <c r="A426" s="74"/>
      <c r="B426" s="74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</row>
    <row r="427">
      <c r="A427" s="74"/>
      <c r="B427" s="74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</row>
    <row r="428">
      <c r="A428" s="74"/>
      <c r="B428" s="74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</row>
    <row r="429">
      <c r="A429" s="74"/>
      <c r="B429" s="74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</row>
    <row r="430">
      <c r="A430" s="74"/>
      <c r="B430" s="74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</row>
    <row r="431">
      <c r="A431" s="74"/>
      <c r="B431" s="74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</row>
    <row r="432">
      <c r="A432" s="74"/>
      <c r="B432" s="74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</row>
    <row r="433">
      <c r="A433" s="74"/>
      <c r="B433" s="74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</row>
    <row r="434">
      <c r="A434" s="74"/>
      <c r="B434" s="74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</row>
    <row r="435">
      <c r="A435" s="74"/>
      <c r="B435" s="74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</row>
    <row r="436">
      <c r="A436" s="74"/>
      <c r="B436" s="74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</row>
    <row r="437">
      <c r="A437" s="74"/>
      <c r="B437" s="74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</row>
    <row r="438">
      <c r="A438" s="74"/>
      <c r="B438" s="74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</row>
    <row r="439">
      <c r="A439" s="74"/>
      <c r="B439" s="74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</row>
    <row r="440">
      <c r="A440" s="74"/>
      <c r="B440" s="74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</row>
    <row r="441">
      <c r="A441" s="74"/>
      <c r="B441" s="74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</row>
    <row r="442">
      <c r="A442" s="74"/>
      <c r="B442" s="74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</row>
    <row r="443">
      <c r="A443" s="74"/>
      <c r="B443" s="74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</row>
    <row r="444">
      <c r="A444" s="74"/>
      <c r="B444" s="74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</row>
    <row r="445">
      <c r="A445" s="74"/>
      <c r="B445" s="74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</row>
  </sheetData>
  <mergeCells count="3">
    <mergeCell ref="D7:F7"/>
    <mergeCell ref="M7:P7"/>
    <mergeCell ref="A20:F2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7.5"/>
    <col customWidth="1" min="3" max="3" width="14.75"/>
    <col customWidth="1" min="4" max="4" width="15.63"/>
    <col customWidth="1" min="7" max="7" width="14.88"/>
    <col customWidth="1" min="9" max="9" width="17.75"/>
    <col customWidth="1" min="12" max="12" width="15.88"/>
  </cols>
  <sheetData>
    <row r="1">
      <c r="A1" s="18"/>
      <c r="B1" s="18"/>
      <c r="C1" s="16"/>
      <c r="D1" s="18" t="s">
        <v>50</v>
      </c>
      <c r="E1" s="18" t="s">
        <v>51</v>
      </c>
      <c r="F1" s="18" t="s">
        <v>52</v>
      </c>
      <c r="G1" s="16"/>
      <c r="H1" s="16"/>
      <c r="I1" s="18" t="s">
        <v>3</v>
      </c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</row>
    <row r="2">
      <c r="A2" s="16"/>
      <c r="B2" s="16"/>
      <c r="C2" s="18" t="s">
        <v>11</v>
      </c>
      <c r="D2" s="19">
        <f>sum(H8:H23)</f>
        <v>1557482849</v>
      </c>
      <c r="E2" s="19">
        <f>sum(P8:P31)</f>
        <v>8314943956</v>
      </c>
      <c r="F2" s="20">
        <f>sum(W8:W97)</f>
        <v>2441143640</v>
      </c>
      <c r="G2" s="19">
        <f>sum(D2:F2)</f>
        <v>12313570446</v>
      </c>
      <c r="H2" s="19"/>
      <c r="I2" s="29">
        <v>1.2313570417E10</v>
      </c>
      <c r="J2" s="19">
        <f>G2-I2</f>
        <v>28.60662842</v>
      </c>
      <c r="K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</row>
    <row r="3">
      <c r="A3" s="18" t="s">
        <v>53</v>
      </c>
      <c r="B3" s="18">
        <v>15.0</v>
      </c>
      <c r="D3" s="16"/>
      <c r="E3" s="16"/>
      <c r="F3" s="16"/>
      <c r="G3" s="18" t="s">
        <v>54</v>
      </c>
      <c r="H3" s="18"/>
      <c r="I3" s="18"/>
      <c r="J3" s="18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</row>
    <row r="4">
      <c r="A4" s="18" t="s">
        <v>16</v>
      </c>
      <c r="B4" s="18">
        <v>0.75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</row>
    <row r="5">
      <c r="A5" s="18"/>
      <c r="B5" s="18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</row>
    <row r="6">
      <c r="A6" s="21" t="s">
        <v>17</v>
      </c>
      <c r="C6" s="16"/>
      <c r="D6" s="21" t="s">
        <v>55</v>
      </c>
      <c r="G6" s="16"/>
      <c r="H6" s="16"/>
      <c r="I6" s="16"/>
      <c r="J6" s="16"/>
      <c r="K6" s="21" t="s">
        <v>103</v>
      </c>
      <c r="O6" s="21"/>
      <c r="P6" s="21"/>
      <c r="Q6" s="16"/>
      <c r="R6" s="21" t="s">
        <v>57</v>
      </c>
      <c r="V6" s="16"/>
      <c r="W6" s="16"/>
      <c r="X6" s="16"/>
      <c r="Y6" s="25" t="s">
        <v>41</v>
      </c>
      <c r="Z6" s="26"/>
      <c r="AA6" s="26"/>
      <c r="AB6" s="26"/>
      <c r="AC6" s="26"/>
      <c r="AD6" s="6"/>
      <c r="AE6" s="16"/>
      <c r="AF6" s="16"/>
      <c r="AG6" s="16"/>
    </row>
    <row r="7">
      <c r="A7" s="30" t="s">
        <v>21</v>
      </c>
      <c r="B7" s="30" t="s">
        <v>22</v>
      </c>
      <c r="C7" s="18"/>
      <c r="D7" s="30" t="s">
        <v>23</v>
      </c>
      <c r="E7" s="30" t="s">
        <v>17</v>
      </c>
      <c r="F7" s="30" t="s">
        <v>27</v>
      </c>
      <c r="G7" s="18" t="s">
        <v>104</v>
      </c>
      <c r="H7" s="18" t="s">
        <v>29</v>
      </c>
      <c r="I7" s="18"/>
      <c r="J7" s="18"/>
      <c r="K7" s="30" t="s">
        <v>97</v>
      </c>
      <c r="L7" s="30" t="s">
        <v>98</v>
      </c>
      <c r="M7" s="30" t="s">
        <v>99</v>
      </c>
      <c r="N7" s="30" t="s">
        <v>105</v>
      </c>
      <c r="O7" s="31" t="s">
        <v>101</v>
      </c>
      <c r="P7" s="31" t="s">
        <v>29</v>
      </c>
      <c r="Q7" s="31"/>
      <c r="R7" s="30" t="s">
        <v>23</v>
      </c>
      <c r="S7" s="30" t="s">
        <v>30</v>
      </c>
      <c r="T7" s="30" t="s">
        <v>17</v>
      </c>
      <c r="U7" s="30" t="s">
        <v>27</v>
      </c>
      <c r="V7" s="18" t="s">
        <v>104</v>
      </c>
      <c r="W7" s="18" t="s">
        <v>29</v>
      </c>
      <c r="X7" s="16"/>
      <c r="Y7" s="27" t="s">
        <v>42</v>
      </c>
      <c r="Z7" s="27" t="s">
        <v>43</v>
      </c>
      <c r="AA7" s="27" t="s">
        <v>44</v>
      </c>
      <c r="AB7" s="27" t="s">
        <v>45</v>
      </c>
      <c r="AC7" s="27" t="s">
        <v>46</v>
      </c>
      <c r="AD7" s="27" t="s">
        <v>47</v>
      </c>
      <c r="AE7" s="16"/>
      <c r="AF7" s="16"/>
      <c r="AG7" s="16"/>
    </row>
    <row r="8">
      <c r="A8" s="32" t="s">
        <v>31</v>
      </c>
      <c r="B8" s="33">
        <v>1.0</v>
      </c>
      <c r="C8" s="18"/>
      <c r="D8" s="32" t="s">
        <v>31</v>
      </c>
      <c r="E8" s="32" t="s">
        <v>31</v>
      </c>
      <c r="F8" s="75">
        <v>125092.16</v>
      </c>
      <c r="G8" s="76">
        <v>0.0</v>
      </c>
      <c r="H8" s="18">
        <f t="shared" ref="H8:H23" si="1">$B$3*F8*G8</f>
        <v>0</v>
      </c>
      <c r="I8" s="18"/>
      <c r="J8" s="18"/>
      <c r="K8" s="32" t="s">
        <v>31</v>
      </c>
      <c r="L8" s="32" t="s">
        <v>31</v>
      </c>
      <c r="M8" s="32" t="s">
        <v>33</v>
      </c>
      <c r="N8" s="33">
        <v>10334.68</v>
      </c>
      <c r="O8" s="18">
        <v>1362.6505</v>
      </c>
      <c r="P8" s="33">
        <f t="shared" ref="P8:P31" si="2">$B$3*$B$4*N8*O8</f>
        <v>158428764.8</v>
      </c>
      <c r="Q8" s="33"/>
      <c r="R8" s="32" t="s">
        <v>31</v>
      </c>
      <c r="S8" s="32" t="s">
        <v>34</v>
      </c>
      <c r="T8" s="32" t="s">
        <v>31</v>
      </c>
      <c r="U8" s="33">
        <v>1460.8</v>
      </c>
      <c r="V8" s="18">
        <v>404.8972</v>
      </c>
      <c r="W8" s="16">
        <f t="shared" ref="W8:W97" si="3">$B$3*U8*V8</f>
        <v>8872107.446</v>
      </c>
      <c r="X8" s="16"/>
      <c r="Y8" s="27" t="s">
        <v>31</v>
      </c>
      <c r="Z8" s="27" t="s">
        <v>37</v>
      </c>
      <c r="AA8" s="27" t="s">
        <v>32</v>
      </c>
      <c r="AB8" s="27" t="s">
        <v>48</v>
      </c>
      <c r="AC8" s="27" t="s">
        <v>37</v>
      </c>
      <c r="AD8" s="27" t="s">
        <v>49</v>
      </c>
      <c r="AE8" s="16"/>
      <c r="AF8" s="16"/>
      <c r="AG8" s="16"/>
    </row>
    <row r="9">
      <c r="A9" s="32" t="s">
        <v>34</v>
      </c>
      <c r="B9" s="33">
        <v>0.0</v>
      </c>
      <c r="C9" s="18"/>
      <c r="D9" s="32" t="s">
        <v>34</v>
      </c>
      <c r="E9" s="32" t="s">
        <v>31</v>
      </c>
      <c r="F9" s="33">
        <v>5761.96</v>
      </c>
      <c r="G9" s="18">
        <v>404.8972</v>
      </c>
      <c r="H9" s="18">
        <f t="shared" si="1"/>
        <v>34995022.06</v>
      </c>
      <c r="I9" s="18"/>
      <c r="J9" s="18"/>
      <c r="K9" s="32" t="s">
        <v>31</v>
      </c>
      <c r="L9" s="32" t="s">
        <v>31</v>
      </c>
      <c r="M9" s="32" t="s">
        <v>35</v>
      </c>
      <c r="N9" s="33">
        <v>26992.84</v>
      </c>
      <c r="O9" s="18">
        <v>1810.4951</v>
      </c>
      <c r="P9" s="33">
        <f t="shared" si="2"/>
        <v>549792051.2</v>
      </c>
      <c r="Q9" s="33"/>
      <c r="R9" s="32" t="s">
        <v>31</v>
      </c>
      <c r="S9" s="32" t="s">
        <v>36</v>
      </c>
      <c r="T9" s="32" t="s">
        <v>31</v>
      </c>
      <c r="U9" s="33">
        <v>1864.4</v>
      </c>
      <c r="V9" s="18">
        <v>1061.8687</v>
      </c>
      <c r="W9" s="16">
        <f t="shared" si="3"/>
        <v>29696220.06</v>
      </c>
      <c r="X9" s="16"/>
      <c r="Y9" s="27" t="s">
        <v>36</v>
      </c>
      <c r="Z9" s="27" t="s">
        <v>35</v>
      </c>
      <c r="AA9" s="27" t="s">
        <v>35</v>
      </c>
      <c r="AB9" s="27" t="s">
        <v>60</v>
      </c>
      <c r="AC9" s="27" t="s">
        <v>35</v>
      </c>
      <c r="AD9" s="27" t="s">
        <v>49</v>
      </c>
      <c r="AE9" s="16"/>
      <c r="AF9" s="16"/>
      <c r="AG9" s="16"/>
    </row>
    <row r="10">
      <c r="A10" s="32" t="s">
        <v>36</v>
      </c>
      <c r="B10" s="33">
        <v>0.0</v>
      </c>
      <c r="C10" s="18"/>
      <c r="D10" s="32" t="s">
        <v>34</v>
      </c>
      <c r="E10" s="32" t="s">
        <v>33</v>
      </c>
      <c r="F10" s="33">
        <v>25230.78</v>
      </c>
      <c r="G10" s="18">
        <v>966.6815</v>
      </c>
      <c r="H10" s="18">
        <f t="shared" si="1"/>
        <v>365851923.8</v>
      </c>
      <c r="I10" s="18"/>
      <c r="J10" s="18"/>
      <c r="K10" s="32" t="s">
        <v>31</v>
      </c>
      <c r="L10" s="32" t="s">
        <v>31</v>
      </c>
      <c r="M10" s="32" t="s">
        <v>37</v>
      </c>
      <c r="N10" s="33">
        <v>70439.32</v>
      </c>
      <c r="O10" s="18">
        <v>2382.4112</v>
      </c>
      <c r="P10" s="33">
        <f t="shared" si="2"/>
        <v>1887923530</v>
      </c>
      <c r="Q10" s="33"/>
      <c r="R10" s="32" t="s">
        <v>31</v>
      </c>
      <c r="S10" s="32" t="s">
        <v>32</v>
      </c>
      <c r="T10" s="32" t="s">
        <v>31</v>
      </c>
      <c r="U10" s="33">
        <v>11535.68</v>
      </c>
      <c r="V10" s="18">
        <v>909.2041</v>
      </c>
      <c r="W10" s="16">
        <f t="shared" si="3"/>
        <v>157324313.3</v>
      </c>
      <c r="X10" s="16"/>
      <c r="Y10" s="27" t="s">
        <v>38</v>
      </c>
      <c r="Z10" s="27" t="s">
        <v>33</v>
      </c>
      <c r="AA10" s="27" t="s">
        <v>33</v>
      </c>
      <c r="AB10" s="27" t="s">
        <v>60</v>
      </c>
      <c r="AC10" s="27" t="s">
        <v>33</v>
      </c>
      <c r="AD10" s="27" t="s">
        <v>49</v>
      </c>
      <c r="AE10" s="16"/>
      <c r="AF10" s="16"/>
      <c r="AG10" s="16"/>
    </row>
    <row r="11">
      <c r="A11" s="32" t="s">
        <v>32</v>
      </c>
      <c r="B11" s="33">
        <v>0.0</v>
      </c>
      <c r="C11" s="18"/>
      <c r="D11" s="32" t="s">
        <v>36</v>
      </c>
      <c r="E11" s="32" t="s">
        <v>31</v>
      </c>
      <c r="F11" s="33">
        <v>881.92</v>
      </c>
      <c r="G11" s="18">
        <v>1061.8687</v>
      </c>
      <c r="H11" s="18">
        <f t="shared" si="1"/>
        <v>14047248.66</v>
      </c>
      <c r="I11" s="18"/>
      <c r="J11" s="18"/>
      <c r="K11" s="32" t="s">
        <v>34</v>
      </c>
      <c r="L11" s="32" t="s">
        <v>33</v>
      </c>
      <c r="M11" s="32" t="s">
        <v>35</v>
      </c>
      <c r="N11" s="33">
        <v>9718.65</v>
      </c>
      <c r="O11" s="18">
        <v>475.5078</v>
      </c>
      <c r="P11" s="33">
        <f t="shared" si="2"/>
        <v>51989556.16</v>
      </c>
      <c r="Q11" s="33"/>
      <c r="R11" s="32" t="s">
        <v>31</v>
      </c>
      <c r="S11" s="32" t="s">
        <v>38</v>
      </c>
      <c r="T11" s="32" t="s">
        <v>31</v>
      </c>
      <c r="U11" s="33">
        <v>2464.44</v>
      </c>
      <c r="V11" s="18">
        <v>1187.8262</v>
      </c>
      <c r="W11" s="16">
        <f t="shared" si="3"/>
        <v>43909896</v>
      </c>
      <c r="X11" s="16"/>
      <c r="Y11" s="27" t="s">
        <v>39</v>
      </c>
      <c r="Z11" s="27" t="s">
        <v>32</v>
      </c>
      <c r="AA11" s="27" t="s">
        <v>32</v>
      </c>
      <c r="AB11" s="27" t="s">
        <v>60</v>
      </c>
      <c r="AC11" s="27" t="s">
        <v>32</v>
      </c>
      <c r="AD11" s="27" t="s">
        <v>49</v>
      </c>
      <c r="AE11" s="16"/>
      <c r="AF11" s="16"/>
      <c r="AG11" s="16"/>
    </row>
    <row r="12">
      <c r="A12" s="32" t="s">
        <v>38</v>
      </c>
      <c r="B12" s="33">
        <v>0.0</v>
      </c>
      <c r="C12" s="18"/>
      <c r="D12" s="32" t="s">
        <v>36</v>
      </c>
      <c r="E12" s="32" t="s">
        <v>33</v>
      </c>
      <c r="F12" s="33">
        <v>26483.44</v>
      </c>
      <c r="G12" s="18">
        <v>397.4792</v>
      </c>
      <c r="H12" s="18">
        <f t="shared" si="1"/>
        <v>157899248.2</v>
      </c>
      <c r="I12" s="18"/>
      <c r="J12" s="18"/>
      <c r="K12" s="32" t="s">
        <v>34</v>
      </c>
      <c r="L12" s="32" t="s">
        <v>33</v>
      </c>
      <c r="M12" s="32" t="s">
        <v>37</v>
      </c>
      <c r="N12" s="33">
        <v>4136.76</v>
      </c>
      <c r="O12" s="18">
        <v>1024.7901</v>
      </c>
      <c r="P12" s="33">
        <f t="shared" si="2"/>
        <v>47692245.31</v>
      </c>
      <c r="Q12" s="33"/>
      <c r="R12" s="32" t="s">
        <v>31</v>
      </c>
      <c r="S12" s="32" t="s">
        <v>33</v>
      </c>
      <c r="T12" s="32" t="s">
        <v>33</v>
      </c>
      <c r="U12" s="33">
        <v>7952.0</v>
      </c>
      <c r="V12" s="18">
        <v>0.0</v>
      </c>
      <c r="W12" s="16">
        <f t="shared" si="3"/>
        <v>0</v>
      </c>
      <c r="X12" s="16"/>
      <c r="Y12" s="27" t="s">
        <v>40</v>
      </c>
      <c r="Z12" s="27" t="s">
        <v>34</v>
      </c>
      <c r="AA12" s="27" t="s">
        <v>35</v>
      </c>
      <c r="AB12" s="27" t="s">
        <v>48</v>
      </c>
      <c r="AC12" s="27" t="s">
        <v>32</v>
      </c>
      <c r="AD12" s="27" t="s">
        <v>49</v>
      </c>
      <c r="AE12" s="16"/>
      <c r="AF12" s="16"/>
      <c r="AG12" s="16"/>
    </row>
    <row r="13">
      <c r="A13" s="32" t="s">
        <v>33</v>
      </c>
      <c r="B13" s="33">
        <v>1.0</v>
      </c>
      <c r="C13" s="18"/>
      <c r="D13" s="32" t="s">
        <v>32</v>
      </c>
      <c r="E13" s="32" t="s">
        <v>31</v>
      </c>
      <c r="F13" s="33">
        <v>5715.23</v>
      </c>
      <c r="G13" s="18">
        <v>909.2041</v>
      </c>
      <c r="H13" s="18">
        <f t="shared" si="1"/>
        <v>77944658.23</v>
      </c>
      <c r="I13" s="18"/>
      <c r="J13" s="18"/>
      <c r="K13" s="32" t="s">
        <v>36</v>
      </c>
      <c r="L13" s="32" t="s">
        <v>33</v>
      </c>
      <c r="M13" s="32" t="s">
        <v>35</v>
      </c>
      <c r="N13" s="33">
        <v>5883.31</v>
      </c>
      <c r="O13" s="18">
        <v>475.5078</v>
      </c>
      <c r="P13" s="33">
        <f t="shared" si="2"/>
        <v>31472547.69</v>
      </c>
      <c r="Q13" s="33"/>
      <c r="R13" s="32" t="s">
        <v>31</v>
      </c>
      <c r="S13" s="32" t="s">
        <v>39</v>
      </c>
      <c r="T13" s="32" t="s">
        <v>33</v>
      </c>
      <c r="U13" s="33">
        <v>2382.68</v>
      </c>
      <c r="V13" s="18">
        <v>356.1662</v>
      </c>
      <c r="W13" s="16">
        <f t="shared" si="3"/>
        <v>12729451.22</v>
      </c>
      <c r="X13" s="16"/>
      <c r="Y13" s="16"/>
      <c r="Z13" s="16"/>
      <c r="AA13" s="16"/>
      <c r="AB13" s="16"/>
      <c r="AC13" s="16"/>
      <c r="AD13" s="16"/>
      <c r="AE13" s="16"/>
      <c r="AF13" s="16"/>
      <c r="AG13" s="16"/>
    </row>
    <row r="14">
      <c r="A14" s="32" t="s">
        <v>39</v>
      </c>
      <c r="B14" s="33">
        <v>0.0</v>
      </c>
      <c r="C14" s="18"/>
      <c r="D14" s="32" t="s">
        <v>32</v>
      </c>
      <c r="E14" s="32" t="s">
        <v>33</v>
      </c>
      <c r="F14" s="33">
        <v>45199.73</v>
      </c>
      <c r="G14" s="18">
        <v>525.4495</v>
      </c>
      <c r="H14" s="18">
        <f t="shared" si="1"/>
        <v>356252632.9</v>
      </c>
      <c r="I14" s="18"/>
      <c r="J14" s="18"/>
      <c r="K14" s="32" t="s">
        <v>36</v>
      </c>
      <c r="L14" s="32" t="s">
        <v>33</v>
      </c>
      <c r="M14" s="32" t="s">
        <v>37</v>
      </c>
      <c r="N14" s="33">
        <v>2415.04</v>
      </c>
      <c r="O14" s="18">
        <v>1024.7901</v>
      </c>
      <c r="P14" s="33">
        <f t="shared" si="2"/>
        <v>27842727.18</v>
      </c>
      <c r="Q14" s="16"/>
      <c r="R14" s="32" t="s">
        <v>31</v>
      </c>
      <c r="S14" s="32" t="s">
        <v>35</v>
      </c>
      <c r="T14" s="32" t="s">
        <v>35</v>
      </c>
      <c r="U14" s="33">
        <v>24726.24</v>
      </c>
      <c r="V14" s="18">
        <v>0.0</v>
      </c>
      <c r="W14" s="16">
        <f t="shared" si="3"/>
        <v>0</v>
      </c>
      <c r="X14" s="16"/>
      <c r="Y14" s="16"/>
      <c r="Z14" s="16"/>
      <c r="AA14" s="16"/>
      <c r="AB14" s="16"/>
      <c r="AC14" s="16"/>
      <c r="AD14" s="16"/>
      <c r="AE14" s="16"/>
      <c r="AF14" s="16"/>
      <c r="AG14" s="16"/>
    </row>
    <row r="15">
      <c r="A15" s="32" t="s">
        <v>35</v>
      </c>
      <c r="B15" s="33">
        <v>1.0</v>
      </c>
      <c r="C15" s="18"/>
      <c r="D15" s="32" t="s">
        <v>38</v>
      </c>
      <c r="E15" s="32" t="s">
        <v>31</v>
      </c>
      <c r="F15" s="33">
        <v>1916.56</v>
      </c>
      <c r="G15" s="18">
        <v>1187.8262</v>
      </c>
      <c r="H15" s="18">
        <f t="shared" si="1"/>
        <v>34148102.73</v>
      </c>
      <c r="I15" s="18"/>
      <c r="J15" s="18"/>
      <c r="K15" s="32" t="s">
        <v>32</v>
      </c>
      <c r="L15" s="32" t="s">
        <v>33</v>
      </c>
      <c r="M15" s="32" t="s">
        <v>35</v>
      </c>
      <c r="N15" s="33">
        <v>18203.37</v>
      </c>
      <c r="O15" s="18">
        <v>475.5078</v>
      </c>
      <c r="P15" s="33">
        <f t="shared" si="2"/>
        <v>97378249.74</v>
      </c>
      <c r="Q15" s="18"/>
      <c r="R15" s="32" t="s">
        <v>31</v>
      </c>
      <c r="S15" s="32" t="s">
        <v>40</v>
      </c>
      <c r="T15" s="32" t="s">
        <v>35</v>
      </c>
      <c r="U15" s="33">
        <v>2266.6</v>
      </c>
      <c r="V15" s="18">
        <v>403.0102</v>
      </c>
      <c r="W15" s="16">
        <f t="shared" si="3"/>
        <v>13701943.79</v>
      </c>
      <c r="X15" s="16"/>
      <c r="Y15" s="16"/>
      <c r="Z15" s="16"/>
      <c r="AA15" s="16"/>
      <c r="AB15" s="16"/>
      <c r="AC15" s="16"/>
      <c r="AD15" s="16"/>
      <c r="AE15" s="16"/>
      <c r="AF15" s="16"/>
      <c r="AG15" s="16"/>
    </row>
    <row r="16">
      <c r="A16" s="32" t="s">
        <v>40</v>
      </c>
      <c r="B16" s="33">
        <v>0.0</v>
      </c>
      <c r="C16" s="18"/>
      <c r="D16" s="32" t="s">
        <v>38</v>
      </c>
      <c r="E16" s="32" t="s">
        <v>33</v>
      </c>
      <c r="F16" s="33">
        <v>38989.52</v>
      </c>
      <c r="G16" s="18">
        <v>176.4669</v>
      </c>
      <c r="H16" s="18">
        <f t="shared" si="1"/>
        <v>103205395.9</v>
      </c>
      <c r="I16" s="18"/>
      <c r="J16" s="18"/>
      <c r="K16" s="32" t="s">
        <v>32</v>
      </c>
      <c r="L16" s="32" t="s">
        <v>33</v>
      </c>
      <c r="M16" s="32" t="s">
        <v>37</v>
      </c>
      <c r="N16" s="33">
        <v>12387.4</v>
      </c>
      <c r="O16" s="18">
        <v>1024.7901</v>
      </c>
      <c r="P16" s="33">
        <f t="shared" si="2"/>
        <v>142812955</v>
      </c>
      <c r="Q16" s="18"/>
      <c r="R16" s="32" t="s">
        <v>31</v>
      </c>
      <c r="S16" s="32" t="s">
        <v>37</v>
      </c>
      <c r="T16" s="32" t="s">
        <v>37</v>
      </c>
      <c r="U16" s="33">
        <v>70439.32</v>
      </c>
      <c r="V16" s="18">
        <v>0.0</v>
      </c>
      <c r="W16" s="16">
        <f t="shared" si="3"/>
        <v>0</v>
      </c>
      <c r="X16" s="16"/>
      <c r="Y16" s="16"/>
      <c r="Z16" s="16"/>
      <c r="AA16" s="16"/>
      <c r="AB16" s="16"/>
      <c r="AC16" s="16"/>
      <c r="AD16" s="16"/>
      <c r="AE16" s="16"/>
      <c r="AF16" s="16"/>
      <c r="AG16" s="16"/>
    </row>
    <row r="17">
      <c r="A17" s="32" t="s">
        <v>37</v>
      </c>
      <c r="B17" s="33">
        <v>1.0</v>
      </c>
      <c r="C17" s="18"/>
      <c r="D17" s="32" t="s">
        <v>33</v>
      </c>
      <c r="E17" s="32" t="s">
        <v>33</v>
      </c>
      <c r="F17" s="33">
        <v>64470.2</v>
      </c>
      <c r="G17" s="18">
        <v>0.0</v>
      </c>
      <c r="H17" s="18">
        <f t="shared" si="1"/>
        <v>0</v>
      </c>
      <c r="I17" s="18"/>
      <c r="J17" s="18"/>
      <c r="K17" s="32" t="s">
        <v>38</v>
      </c>
      <c r="L17" s="32" t="s">
        <v>33</v>
      </c>
      <c r="M17" s="32" t="s">
        <v>35</v>
      </c>
      <c r="N17" s="33">
        <v>21555.56</v>
      </c>
      <c r="O17" s="18">
        <v>475.5078</v>
      </c>
      <c r="P17" s="33">
        <f t="shared" si="2"/>
        <v>115310665.3</v>
      </c>
      <c r="Q17" s="18"/>
      <c r="R17" s="32" t="s">
        <v>34</v>
      </c>
      <c r="S17" s="32" t="s">
        <v>31</v>
      </c>
      <c r="T17" s="32" t="s">
        <v>31</v>
      </c>
      <c r="U17" s="33">
        <v>1517.87</v>
      </c>
      <c r="V17" s="18">
        <v>0.0</v>
      </c>
      <c r="W17" s="16">
        <f t="shared" si="3"/>
        <v>0</v>
      </c>
      <c r="X17" s="16"/>
      <c r="Y17" s="16"/>
      <c r="Z17" s="16"/>
      <c r="AA17" s="16"/>
      <c r="AB17" s="16"/>
      <c r="AC17" s="16"/>
      <c r="AD17" s="16"/>
      <c r="AE17" s="16"/>
      <c r="AF17" s="16"/>
      <c r="AG17" s="16"/>
    </row>
    <row r="18">
      <c r="A18" s="16"/>
      <c r="B18" s="16"/>
      <c r="C18" s="16"/>
      <c r="D18" s="32" t="s">
        <v>39</v>
      </c>
      <c r="E18" s="32" t="s">
        <v>33</v>
      </c>
      <c r="F18" s="33">
        <v>48204.01</v>
      </c>
      <c r="G18" s="18">
        <v>356.1662</v>
      </c>
      <c r="H18" s="18">
        <f t="shared" si="1"/>
        <v>257529586</v>
      </c>
      <c r="I18" s="18"/>
      <c r="J18" s="18"/>
      <c r="K18" s="32" t="s">
        <v>38</v>
      </c>
      <c r="L18" s="32" t="s">
        <v>33</v>
      </c>
      <c r="M18" s="32" t="s">
        <v>37</v>
      </c>
      <c r="N18" s="33">
        <v>5911.52</v>
      </c>
      <c r="O18" s="18">
        <v>1024.7901</v>
      </c>
      <c r="P18" s="33">
        <f t="shared" si="2"/>
        <v>68153255.68</v>
      </c>
      <c r="R18" s="32" t="s">
        <v>34</v>
      </c>
      <c r="S18" s="32" t="s">
        <v>36</v>
      </c>
      <c r="T18" s="32" t="s">
        <v>33</v>
      </c>
      <c r="U18" s="33">
        <v>1940.46</v>
      </c>
      <c r="V18" s="18">
        <v>397.4792</v>
      </c>
      <c r="W18" s="16">
        <f t="shared" si="3"/>
        <v>11569387.33</v>
      </c>
      <c r="X18" s="16"/>
      <c r="Y18" s="16"/>
      <c r="Z18" s="16"/>
      <c r="AA18" s="16"/>
      <c r="AB18" s="16"/>
      <c r="AC18" s="16"/>
      <c r="AD18" s="16"/>
      <c r="AE18" s="16"/>
      <c r="AF18" s="16"/>
      <c r="AG18" s="16"/>
    </row>
    <row r="19">
      <c r="A19" s="16"/>
      <c r="B19" s="16"/>
      <c r="C19" s="16"/>
      <c r="D19" s="32" t="s">
        <v>39</v>
      </c>
      <c r="E19" s="32" t="s">
        <v>35</v>
      </c>
      <c r="F19" s="33">
        <v>27063.83</v>
      </c>
      <c r="G19" s="18">
        <v>186.18</v>
      </c>
      <c r="H19" s="18">
        <f t="shared" si="1"/>
        <v>75581158.04</v>
      </c>
      <c r="I19" s="18"/>
      <c r="J19" s="18"/>
      <c r="K19" s="32" t="s">
        <v>33</v>
      </c>
      <c r="L19" s="32" t="s">
        <v>33</v>
      </c>
      <c r="M19" s="32" t="s">
        <v>31</v>
      </c>
      <c r="N19" s="33">
        <v>2334.6</v>
      </c>
      <c r="O19" s="18">
        <v>1362.6505</v>
      </c>
      <c r="P19" s="33">
        <f t="shared" si="2"/>
        <v>35788993.39</v>
      </c>
      <c r="Q19" s="16"/>
      <c r="R19" s="32" t="s">
        <v>34</v>
      </c>
      <c r="S19" s="32" t="s">
        <v>32</v>
      </c>
      <c r="T19" s="32" t="s">
        <v>31</v>
      </c>
      <c r="U19" s="33">
        <v>4244.09</v>
      </c>
      <c r="V19" s="18">
        <v>909.2041</v>
      </c>
      <c r="W19" s="16">
        <f t="shared" si="3"/>
        <v>57881160.43</v>
      </c>
      <c r="X19" s="16"/>
      <c r="Y19" s="16"/>
      <c r="Z19" s="16"/>
      <c r="AA19" s="16"/>
      <c r="AB19" s="16"/>
      <c r="AC19" s="16"/>
      <c r="AD19" s="16"/>
      <c r="AE19" s="16"/>
      <c r="AF19" s="16"/>
      <c r="AG19" s="16"/>
    </row>
    <row r="20">
      <c r="A20" s="35"/>
      <c r="B20" s="35"/>
      <c r="C20" s="35"/>
      <c r="D20" s="36" t="s">
        <v>35</v>
      </c>
      <c r="E20" s="36" t="s">
        <v>35</v>
      </c>
      <c r="F20" s="37">
        <v>420950.08</v>
      </c>
      <c r="G20" s="18">
        <v>0.0</v>
      </c>
      <c r="H20" s="18">
        <f t="shared" si="1"/>
        <v>0</v>
      </c>
      <c r="K20" s="32" t="s">
        <v>33</v>
      </c>
      <c r="L20" s="32" t="s">
        <v>33</v>
      </c>
      <c r="M20" s="32" t="s">
        <v>35</v>
      </c>
      <c r="N20" s="33">
        <v>35521.71</v>
      </c>
      <c r="O20" s="18">
        <v>475.5078</v>
      </c>
      <c r="P20" s="33">
        <f t="shared" si="2"/>
        <v>190022064.5</v>
      </c>
      <c r="Q20" s="18"/>
      <c r="R20" s="32" t="s">
        <v>34</v>
      </c>
      <c r="S20" s="32" t="s">
        <v>38</v>
      </c>
      <c r="T20" s="32" t="s">
        <v>33</v>
      </c>
      <c r="U20" s="33">
        <v>547.44</v>
      </c>
      <c r="V20" s="18">
        <v>176.4669</v>
      </c>
      <c r="W20" s="16">
        <f t="shared" si="3"/>
        <v>1449075.596</v>
      </c>
      <c r="X20" s="16"/>
      <c r="Y20" s="16"/>
      <c r="Z20" s="16"/>
      <c r="AA20" s="16"/>
      <c r="AB20" s="16"/>
      <c r="AC20" s="16"/>
      <c r="AD20" s="16"/>
      <c r="AE20" s="16"/>
      <c r="AF20" s="16"/>
      <c r="AG20" s="16"/>
    </row>
    <row r="21">
      <c r="A21" s="36"/>
      <c r="B21" s="36"/>
      <c r="C21" s="37"/>
      <c r="D21" s="36" t="s">
        <v>40</v>
      </c>
      <c r="E21" s="32" t="s">
        <v>35</v>
      </c>
      <c r="F21" s="37">
        <v>12102.89</v>
      </c>
      <c r="G21" s="18">
        <v>403.0102</v>
      </c>
      <c r="H21" s="18">
        <f t="shared" si="1"/>
        <v>73163821.79</v>
      </c>
      <c r="K21" s="32" t="s">
        <v>33</v>
      </c>
      <c r="L21" s="32" t="s">
        <v>33</v>
      </c>
      <c r="M21" s="32" t="s">
        <v>37</v>
      </c>
      <c r="N21" s="33">
        <v>6665.76</v>
      </c>
      <c r="O21" s="18">
        <v>1024.7901</v>
      </c>
      <c r="P21" s="33">
        <f t="shared" si="2"/>
        <v>76848804.64</v>
      </c>
      <c r="Q21" s="31"/>
      <c r="R21" s="32" t="s">
        <v>34</v>
      </c>
      <c r="S21" s="32" t="s">
        <v>33</v>
      </c>
      <c r="T21" s="32" t="s">
        <v>33</v>
      </c>
      <c r="U21" s="33">
        <v>6251.74</v>
      </c>
      <c r="V21" s="18">
        <v>0.0</v>
      </c>
      <c r="W21" s="16">
        <f t="shared" si="3"/>
        <v>0</v>
      </c>
      <c r="X21" s="16"/>
      <c r="Y21" s="16"/>
      <c r="Z21" s="16"/>
      <c r="AA21" s="16"/>
      <c r="AB21" s="16"/>
      <c r="AC21" s="16"/>
      <c r="AD21" s="16"/>
      <c r="AE21" s="16"/>
      <c r="AF21" s="16"/>
      <c r="AG21" s="16"/>
    </row>
    <row r="22">
      <c r="A22" s="36"/>
      <c r="B22" s="36"/>
      <c r="C22" s="37"/>
      <c r="D22" s="36" t="s">
        <v>40</v>
      </c>
      <c r="E22" s="32" t="s">
        <v>37</v>
      </c>
      <c r="F22" s="37">
        <v>1785.4</v>
      </c>
      <c r="G22" s="18">
        <v>256.303</v>
      </c>
      <c r="H22" s="18">
        <f t="shared" si="1"/>
        <v>6864050.643</v>
      </c>
      <c r="K22" s="38" t="s">
        <v>39</v>
      </c>
      <c r="L22" s="32" t="s">
        <v>33</v>
      </c>
      <c r="M22" s="32" t="s">
        <v>31</v>
      </c>
      <c r="N22" s="32">
        <v>2873.96</v>
      </c>
      <c r="O22" s="32">
        <v>1362.6505</v>
      </c>
      <c r="P22" s="33">
        <f t="shared" si="2"/>
        <v>44057284.1</v>
      </c>
      <c r="Q22" s="33"/>
      <c r="R22" s="36" t="s">
        <v>34</v>
      </c>
      <c r="S22" s="32" t="s">
        <v>39</v>
      </c>
      <c r="T22" s="32" t="s">
        <v>33</v>
      </c>
      <c r="U22" s="33">
        <v>2635.73</v>
      </c>
      <c r="V22" s="18">
        <v>356.1662</v>
      </c>
      <c r="W22" s="16">
        <f t="shared" si="3"/>
        <v>14081369.07</v>
      </c>
      <c r="X22" s="16"/>
      <c r="Y22" s="16"/>
      <c r="Z22" s="16"/>
      <c r="AA22" s="16"/>
      <c r="AB22" s="16"/>
      <c r="AC22" s="16"/>
      <c r="AD22" s="16"/>
      <c r="AE22" s="16"/>
      <c r="AF22" s="16"/>
      <c r="AG22" s="16"/>
    </row>
    <row r="23">
      <c r="A23" s="36"/>
      <c r="B23" s="36"/>
      <c r="C23" s="37"/>
      <c r="D23" s="36" t="s">
        <v>37</v>
      </c>
      <c r="E23" s="32" t="s">
        <v>37</v>
      </c>
      <c r="F23" s="37">
        <v>156335.24</v>
      </c>
      <c r="G23" s="18">
        <v>0.0</v>
      </c>
      <c r="H23" s="18">
        <f t="shared" si="1"/>
        <v>0</v>
      </c>
      <c r="K23" s="38" t="s">
        <v>39</v>
      </c>
      <c r="L23" s="32" t="s">
        <v>35</v>
      </c>
      <c r="M23" s="32" t="s">
        <v>37</v>
      </c>
      <c r="N23" s="32">
        <v>8546.4</v>
      </c>
      <c r="O23" s="32">
        <v>658.2451</v>
      </c>
      <c r="P23" s="33">
        <f t="shared" si="2"/>
        <v>63288291.63</v>
      </c>
      <c r="Q23" s="33"/>
      <c r="R23" s="36" t="s">
        <v>34</v>
      </c>
      <c r="S23" s="32" t="s">
        <v>35</v>
      </c>
      <c r="T23" s="32" t="s">
        <v>35</v>
      </c>
      <c r="U23" s="33">
        <v>6039.82</v>
      </c>
      <c r="V23" s="18">
        <v>0.0</v>
      </c>
      <c r="W23" s="16">
        <f t="shared" si="3"/>
        <v>0</v>
      </c>
      <c r="X23" s="16"/>
      <c r="Y23" s="16"/>
      <c r="Z23" s="16"/>
      <c r="AA23" s="16"/>
      <c r="AB23" s="16"/>
      <c r="AC23" s="16"/>
      <c r="AD23" s="16"/>
      <c r="AE23" s="16"/>
      <c r="AF23" s="16"/>
      <c r="AG23" s="16"/>
    </row>
    <row r="24">
      <c r="A24" s="36"/>
      <c r="B24" s="36"/>
      <c r="C24" s="37"/>
      <c r="D24" s="24"/>
      <c r="F24" s="20"/>
      <c r="K24" s="38" t="s">
        <v>35</v>
      </c>
      <c r="L24" s="32" t="s">
        <v>35</v>
      </c>
      <c r="M24" s="32" t="s">
        <v>31</v>
      </c>
      <c r="N24" s="32">
        <v>30724.48</v>
      </c>
      <c r="O24" s="32">
        <v>1810.4951</v>
      </c>
      <c r="P24" s="33">
        <f t="shared" si="2"/>
        <v>625798355.5</v>
      </c>
      <c r="Q24" s="33"/>
      <c r="R24" s="36" t="s">
        <v>34</v>
      </c>
      <c r="S24" s="32" t="s">
        <v>40</v>
      </c>
      <c r="T24" s="32" t="s">
        <v>35</v>
      </c>
      <c r="U24" s="33">
        <v>3678.83</v>
      </c>
      <c r="V24" s="18">
        <v>403.0102</v>
      </c>
      <c r="W24" s="16">
        <f t="shared" si="3"/>
        <v>22239090.21</v>
      </c>
      <c r="X24" s="16"/>
      <c r="Y24" s="16"/>
      <c r="Z24" s="16"/>
      <c r="AA24" s="16"/>
      <c r="AB24" s="16"/>
      <c r="AC24" s="16"/>
      <c r="AD24" s="16"/>
      <c r="AE24" s="16"/>
      <c r="AF24" s="16"/>
      <c r="AG24" s="16"/>
    </row>
    <row r="25">
      <c r="A25" s="36"/>
      <c r="B25" s="36"/>
      <c r="C25" s="37"/>
      <c r="D25" s="24"/>
      <c r="F25" s="20"/>
      <c r="K25" s="38" t="s">
        <v>35</v>
      </c>
      <c r="L25" s="32" t="s">
        <v>35</v>
      </c>
      <c r="M25" s="32" t="s">
        <v>33</v>
      </c>
      <c r="N25" s="32">
        <v>248498.7</v>
      </c>
      <c r="O25" s="32">
        <v>475.5078</v>
      </c>
      <c r="P25" s="33">
        <f t="shared" si="2"/>
        <v>1329334539</v>
      </c>
      <c r="Q25" s="33"/>
      <c r="R25" s="36" t="s">
        <v>34</v>
      </c>
      <c r="S25" s="32" t="s">
        <v>37</v>
      </c>
      <c r="T25" s="32" t="s">
        <v>37</v>
      </c>
      <c r="U25" s="33">
        <v>4136.76</v>
      </c>
      <c r="V25" s="18">
        <v>0.0</v>
      </c>
      <c r="W25" s="16">
        <f t="shared" si="3"/>
        <v>0</v>
      </c>
      <c r="X25" s="16"/>
      <c r="Y25" s="16"/>
      <c r="Z25" s="16"/>
      <c r="AA25" s="16"/>
      <c r="AB25" s="16"/>
      <c r="AC25" s="16"/>
      <c r="AD25" s="16"/>
      <c r="AE25" s="16"/>
      <c r="AF25" s="16"/>
      <c r="AG25" s="16"/>
    </row>
    <row r="26">
      <c r="A26" s="36"/>
      <c r="B26" s="36"/>
      <c r="C26" s="37"/>
      <c r="D26" s="24"/>
      <c r="F26" s="20"/>
      <c r="K26" s="38" t="s">
        <v>35</v>
      </c>
      <c r="L26" s="32" t="s">
        <v>35</v>
      </c>
      <c r="M26" s="32" t="s">
        <v>37</v>
      </c>
      <c r="N26" s="32">
        <v>101245.44</v>
      </c>
      <c r="O26" s="32">
        <v>658.2451</v>
      </c>
      <c r="P26" s="33">
        <f t="shared" si="2"/>
        <v>749748541.2</v>
      </c>
      <c r="Q26" s="33"/>
      <c r="R26" s="36" t="s">
        <v>36</v>
      </c>
      <c r="S26" s="32" t="s">
        <v>31</v>
      </c>
      <c r="T26" s="32" t="s">
        <v>31</v>
      </c>
      <c r="U26" s="33">
        <v>881.92</v>
      </c>
      <c r="V26" s="18">
        <v>0.0</v>
      </c>
      <c r="W26" s="16">
        <f t="shared" si="3"/>
        <v>0</v>
      </c>
      <c r="X26" s="16"/>
      <c r="Y26" s="16"/>
      <c r="Z26" s="16"/>
      <c r="AA26" s="16"/>
      <c r="AB26" s="16"/>
      <c r="AC26" s="16"/>
      <c r="AD26" s="16"/>
      <c r="AE26" s="16"/>
      <c r="AF26" s="16"/>
      <c r="AG26" s="16"/>
    </row>
    <row r="27">
      <c r="A27" s="36"/>
      <c r="B27" s="36"/>
      <c r="C27" s="37"/>
      <c r="D27" s="24"/>
      <c r="F27" s="20"/>
      <c r="K27" s="38" t="s">
        <v>40</v>
      </c>
      <c r="L27" s="32" t="s">
        <v>35</v>
      </c>
      <c r="M27" s="32" t="s">
        <v>31</v>
      </c>
      <c r="N27" s="32">
        <v>535.69</v>
      </c>
      <c r="O27" s="32">
        <v>1810.4951</v>
      </c>
      <c r="P27" s="33">
        <f t="shared" si="2"/>
        <v>10910971.35</v>
      </c>
      <c r="Q27" s="33"/>
      <c r="R27" s="36" t="s">
        <v>36</v>
      </c>
      <c r="S27" s="32" t="s">
        <v>34</v>
      </c>
      <c r="T27" s="32" t="s">
        <v>33</v>
      </c>
      <c r="U27" s="33">
        <v>768.89</v>
      </c>
      <c r="V27" s="18">
        <v>966.6815</v>
      </c>
      <c r="W27" s="16">
        <f t="shared" si="3"/>
        <v>11149076.08</v>
      </c>
      <c r="X27" s="16"/>
      <c r="Y27" s="16"/>
      <c r="Z27" s="16"/>
      <c r="AA27" s="16"/>
      <c r="AB27" s="16"/>
      <c r="AC27" s="16"/>
      <c r="AD27" s="16"/>
      <c r="AE27" s="16"/>
      <c r="AF27" s="16"/>
      <c r="AG27" s="16"/>
    </row>
    <row r="28">
      <c r="A28" s="36"/>
      <c r="B28" s="36"/>
      <c r="C28" s="37"/>
      <c r="D28" s="24"/>
      <c r="F28" s="20"/>
      <c r="K28" s="38" t="s">
        <v>40</v>
      </c>
      <c r="L28" s="32" t="s">
        <v>35</v>
      </c>
      <c r="M28" s="32" t="s">
        <v>33</v>
      </c>
      <c r="N28" s="32">
        <v>6615.99</v>
      </c>
      <c r="O28" s="32">
        <v>475.5078</v>
      </c>
      <c r="P28" s="33">
        <f t="shared" si="2"/>
        <v>35391992.06</v>
      </c>
      <c r="Q28" s="33"/>
      <c r="R28" s="36" t="s">
        <v>36</v>
      </c>
      <c r="S28" s="32" t="s">
        <v>32</v>
      </c>
      <c r="T28" s="32" t="s">
        <v>33</v>
      </c>
      <c r="U28" s="33">
        <v>2095.4</v>
      </c>
      <c r="V28" s="18">
        <v>525.4495</v>
      </c>
      <c r="W28" s="16">
        <f t="shared" si="3"/>
        <v>16515403.23</v>
      </c>
      <c r="X28" s="16"/>
      <c r="Y28" s="16"/>
      <c r="Z28" s="16"/>
      <c r="AA28" s="16"/>
      <c r="AB28" s="16"/>
      <c r="AC28" s="16"/>
      <c r="AD28" s="16"/>
      <c r="AE28" s="16"/>
      <c r="AF28" s="16"/>
      <c r="AG28" s="16"/>
    </row>
    <row r="29">
      <c r="A29" s="36"/>
      <c r="B29" s="36"/>
      <c r="C29" s="37"/>
      <c r="D29" s="24"/>
      <c r="F29" s="20"/>
      <c r="K29" s="38" t="s">
        <v>37</v>
      </c>
      <c r="L29" s="32" t="s">
        <v>37</v>
      </c>
      <c r="M29" s="32" t="s">
        <v>31</v>
      </c>
      <c r="N29" s="32">
        <v>29981.56</v>
      </c>
      <c r="O29" s="32">
        <v>2382.4112</v>
      </c>
      <c r="P29" s="33">
        <f t="shared" si="2"/>
        <v>803569548.8</v>
      </c>
      <c r="Q29" s="33"/>
      <c r="R29" s="36" t="s">
        <v>36</v>
      </c>
      <c r="S29" s="32" t="s">
        <v>38</v>
      </c>
      <c r="T29" s="32" t="s">
        <v>33</v>
      </c>
      <c r="U29" s="33">
        <v>575.8</v>
      </c>
      <c r="V29" s="18">
        <v>176.4669</v>
      </c>
      <c r="W29" s="16">
        <f t="shared" si="3"/>
        <v>1524144.615</v>
      </c>
      <c r="X29" s="16"/>
      <c r="Y29" s="16"/>
      <c r="Z29" s="16"/>
      <c r="AA29" s="16"/>
      <c r="AB29" s="16"/>
      <c r="AC29" s="16"/>
      <c r="AD29" s="16"/>
      <c r="AE29" s="16"/>
      <c r="AF29" s="16"/>
      <c r="AG29" s="16"/>
    </row>
    <row r="30">
      <c r="A30" s="36"/>
      <c r="B30" s="36"/>
      <c r="C30" s="37"/>
      <c r="D30" s="24"/>
      <c r="F30" s="20"/>
      <c r="K30" s="38" t="s">
        <v>37</v>
      </c>
      <c r="L30" s="32" t="s">
        <v>37</v>
      </c>
      <c r="M30" s="32" t="s">
        <v>33</v>
      </c>
      <c r="N30" s="32">
        <v>65423.14</v>
      </c>
      <c r="O30" s="32">
        <v>1024.7901</v>
      </c>
      <c r="P30" s="33">
        <f t="shared" si="2"/>
        <v>754256094.6</v>
      </c>
      <c r="Q30" s="33"/>
      <c r="R30" s="36" t="s">
        <v>36</v>
      </c>
      <c r="S30" s="32" t="s">
        <v>33</v>
      </c>
      <c r="T30" s="32" t="s">
        <v>33</v>
      </c>
      <c r="U30" s="33">
        <v>4265.72</v>
      </c>
      <c r="V30" s="18">
        <v>0.0</v>
      </c>
      <c r="W30" s="16">
        <f t="shared" si="3"/>
        <v>0</v>
      </c>
      <c r="X30" s="16"/>
      <c r="Y30" s="16"/>
      <c r="Z30" s="16"/>
      <c r="AA30" s="16"/>
      <c r="AB30" s="16"/>
      <c r="AC30" s="16"/>
      <c r="AD30" s="16"/>
      <c r="AE30" s="16"/>
      <c r="AF30" s="16"/>
      <c r="AG30" s="16"/>
    </row>
    <row r="31">
      <c r="A31" s="36"/>
      <c r="B31" s="36"/>
      <c r="C31" s="37"/>
      <c r="D31" s="24"/>
      <c r="F31" s="19"/>
      <c r="K31" s="18" t="s">
        <v>37</v>
      </c>
      <c r="L31" s="32" t="s">
        <v>37</v>
      </c>
      <c r="M31" s="32" t="s">
        <v>35</v>
      </c>
      <c r="N31" s="32">
        <v>56329.16</v>
      </c>
      <c r="O31" s="32">
        <v>658.2451</v>
      </c>
      <c r="P31" s="33">
        <f t="shared" si="2"/>
        <v>417131927.5</v>
      </c>
      <c r="Q31" s="33"/>
      <c r="R31" s="36" t="s">
        <v>36</v>
      </c>
      <c r="S31" s="32" t="s">
        <v>39</v>
      </c>
      <c r="T31" s="32" t="s">
        <v>33</v>
      </c>
      <c r="U31" s="33">
        <v>10479.28</v>
      </c>
      <c r="V31" s="18">
        <v>356.1662</v>
      </c>
      <c r="W31" s="16">
        <f t="shared" si="3"/>
        <v>55985480.05</v>
      </c>
      <c r="X31" s="16"/>
      <c r="Y31" s="16"/>
      <c r="Z31" s="16"/>
      <c r="AA31" s="16"/>
      <c r="AB31" s="16"/>
      <c r="AC31" s="16"/>
      <c r="AD31" s="16"/>
      <c r="AE31" s="16"/>
      <c r="AF31" s="16"/>
      <c r="AG31" s="16"/>
    </row>
    <row r="32">
      <c r="A32" s="36"/>
      <c r="B32" s="36"/>
      <c r="C32" s="37"/>
      <c r="D32" s="24"/>
      <c r="F32" s="19"/>
      <c r="G32" s="19"/>
      <c r="H32" s="19"/>
      <c r="I32" s="19"/>
      <c r="J32" s="19"/>
      <c r="K32" s="16"/>
      <c r="L32" s="32"/>
      <c r="M32" s="32"/>
      <c r="N32" s="32"/>
      <c r="O32" s="32"/>
      <c r="P32" s="32"/>
      <c r="Q32" s="33"/>
      <c r="R32" s="36" t="s">
        <v>36</v>
      </c>
      <c r="S32" s="32" t="s">
        <v>35</v>
      </c>
      <c r="T32" s="32" t="s">
        <v>35</v>
      </c>
      <c r="U32" s="33">
        <v>5041.36</v>
      </c>
      <c r="V32" s="18">
        <v>0.0</v>
      </c>
      <c r="W32" s="16">
        <f t="shared" si="3"/>
        <v>0</v>
      </c>
      <c r="X32" s="16"/>
      <c r="Y32" s="16"/>
      <c r="Z32" s="16"/>
      <c r="AA32" s="16"/>
      <c r="AB32" s="16"/>
      <c r="AC32" s="16"/>
      <c r="AD32" s="16"/>
      <c r="AE32" s="16"/>
      <c r="AF32" s="16"/>
      <c r="AG32" s="16"/>
    </row>
    <row r="33">
      <c r="A33" s="36"/>
      <c r="B33" s="36"/>
      <c r="C33" s="37"/>
      <c r="D33" s="24"/>
      <c r="F33" s="19"/>
      <c r="G33" s="19"/>
      <c r="H33" s="19"/>
      <c r="I33" s="19"/>
      <c r="J33" s="19"/>
      <c r="K33" s="16"/>
      <c r="L33" s="32"/>
      <c r="M33" s="32"/>
      <c r="N33" s="32"/>
      <c r="O33" s="32"/>
      <c r="P33" s="32"/>
      <c r="Q33" s="33"/>
      <c r="R33" s="36" t="s">
        <v>36</v>
      </c>
      <c r="S33" s="32" t="s">
        <v>40</v>
      </c>
      <c r="T33" s="32" t="s">
        <v>35</v>
      </c>
      <c r="U33" s="33">
        <v>841.95</v>
      </c>
      <c r="V33" s="18">
        <v>403.0102</v>
      </c>
      <c r="W33" s="16">
        <f t="shared" si="3"/>
        <v>5089716.568</v>
      </c>
      <c r="X33" s="16"/>
      <c r="Y33" s="16"/>
      <c r="Z33" s="16"/>
      <c r="AA33" s="16"/>
      <c r="AB33" s="16"/>
      <c r="AC33" s="16"/>
      <c r="AD33" s="16"/>
      <c r="AE33" s="16"/>
      <c r="AF33" s="16"/>
      <c r="AG33" s="16"/>
    </row>
    <row r="34">
      <c r="A34" s="36"/>
      <c r="B34" s="36"/>
      <c r="C34" s="37"/>
      <c r="D34" s="24"/>
      <c r="F34" s="19"/>
      <c r="G34" s="19"/>
      <c r="H34" s="19"/>
      <c r="I34" s="19"/>
      <c r="J34" s="19"/>
      <c r="K34" s="16"/>
      <c r="L34" s="32"/>
      <c r="M34" s="32"/>
      <c r="N34" s="32"/>
      <c r="O34" s="32"/>
      <c r="P34" s="32"/>
      <c r="Q34" s="33"/>
      <c r="R34" s="36" t="s">
        <v>36</v>
      </c>
      <c r="S34" s="32" t="s">
        <v>37</v>
      </c>
      <c r="T34" s="32" t="s">
        <v>37</v>
      </c>
      <c r="U34" s="33">
        <v>2415.04</v>
      </c>
      <c r="V34" s="18">
        <v>0.0</v>
      </c>
      <c r="W34" s="16">
        <f t="shared" si="3"/>
        <v>0</v>
      </c>
      <c r="X34" s="16"/>
      <c r="Y34" s="16"/>
      <c r="Z34" s="16"/>
      <c r="AA34" s="16"/>
      <c r="AB34" s="16"/>
      <c r="AC34" s="16"/>
      <c r="AD34" s="16"/>
      <c r="AE34" s="16"/>
      <c r="AF34" s="16"/>
      <c r="AG34" s="16"/>
    </row>
    <row r="35">
      <c r="A35" s="20"/>
      <c r="B35" s="20"/>
      <c r="C35" s="20"/>
      <c r="D35" s="28"/>
      <c r="E35" s="19"/>
      <c r="F35" s="19"/>
      <c r="G35" s="19"/>
      <c r="H35" s="19"/>
      <c r="I35" s="19"/>
      <c r="J35" s="19"/>
      <c r="K35" s="16"/>
      <c r="L35" s="32"/>
      <c r="M35" s="32"/>
      <c r="N35" s="32"/>
      <c r="O35" s="32"/>
      <c r="P35" s="32"/>
      <c r="Q35" s="33"/>
      <c r="R35" s="36" t="s">
        <v>32</v>
      </c>
      <c r="S35" s="32" t="s">
        <v>31</v>
      </c>
      <c r="T35" s="32" t="s">
        <v>31</v>
      </c>
      <c r="U35" s="33">
        <v>2877.88</v>
      </c>
      <c r="V35" s="18">
        <v>0.0</v>
      </c>
      <c r="W35" s="16">
        <f t="shared" si="3"/>
        <v>0</v>
      </c>
      <c r="X35" s="16"/>
      <c r="Y35" s="16"/>
      <c r="Z35" s="16"/>
      <c r="AA35" s="16"/>
      <c r="AB35" s="16"/>
      <c r="AC35" s="16"/>
      <c r="AD35" s="16"/>
      <c r="AE35" s="16"/>
      <c r="AF35" s="16"/>
      <c r="AG35" s="16"/>
    </row>
    <row r="36">
      <c r="A36" s="20"/>
      <c r="B36" s="20"/>
      <c r="C36" s="20"/>
      <c r="D36" s="28"/>
      <c r="E36" s="19"/>
      <c r="F36" s="19"/>
      <c r="G36" s="19"/>
      <c r="H36" s="19"/>
      <c r="I36" s="19"/>
      <c r="J36" s="19"/>
      <c r="K36" s="16"/>
      <c r="L36" s="32"/>
      <c r="M36" s="32"/>
      <c r="N36" s="32"/>
      <c r="O36" s="32"/>
      <c r="P36" s="32"/>
      <c r="Q36" s="33"/>
      <c r="R36" s="36" t="s">
        <v>32</v>
      </c>
      <c r="S36" s="32" t="s">
        <v>34</v>
      </c>
      <c r="T36" s="32" t="s">
        <v>31</v>
      </c>
      <c r="U36" s="33">
        <v>2837.35</v>
      </c>
      <c r="V36" s="18">
        <v>404.8972</v>
      </c>
      <c r="W36" s="16">
        <f t="shared" si="3"/>
        <v>17232526.06</v>
      </c>
      <c r="X36" s="16"/>
      <c r="Y36" s="16"/>
      <c r="Z36" s="16"/>
      <c r="AA36" s="16"/>
      <c r="AB36" s="16"/>
      <c r="AC36" s="16"/>
      <c r="AD36" s="16"/>
      <c r="AE36" s="16"/>
      <c r="AF36" s="16"/>
      <c r="AG36" s="16"/>
    </row>
    <row r="37">
      <c r="A37" s="20"/>
      <c r="B37" s="20"/>
      <c r="C37" s="20"/>
      <c r="D37" s="28"/>
      <c r="E37" s="19"/>
      <c r="F37" s="19"/>
      <c r="G37" s="19"/>
      <c r="H37" s="19"/>
      <c r="I37" s="19"/>
      <c r="J37" s="19"/>
      <c r="K37" s="16"/>
      <c r="L37" s="32"/>
      <c r="M37" s="32"/>
      <c r="N37" s="32"/>
      <c r="O37" s="32"/>
      <c r="P37" s="32"/>
      <c r="Q37" s="33"/>
      <c r="R37" s="36" t="s">
        <v>32</v>
      </c>
      <c r="S37" s="32" t="s">
        <v>36</v>
      </c>
      <c r="T37" s="32" t="s">
        <v>33</v>
      </c>
      <c r="U37" s="33">
        <v>2340.64</v>
      </c>
      <c r="V37" s="18">
        <v>397.4792</v>
      </c>
      <c r="W37" s="16">
        <f t="shared" si="3"/>
        <v>13955335.72</v>
      </c>
      <c r="X37" s="16"/>
      <c r="Y37" s="16"/>
      <c r="Z37" s="16"/>
      <c r="AA37" s="16"/>
      <c r="AB37" s="16"/>
      <c r="AC37" s="16"/>
      <c r="AD37" s="16"/>
      <c r="AE37" s="16"/>
      <c r="AF37" s="16"/>
      <c r="AG37" s="16"/>
    </row>
    <row r="38">
      <c r="A38" s="20"/>
      <c r="B38" s="20"/>
      <c r="C38" s="20"/>
      <c r="D38" s="28"/>
      <c r="E38" s="19"/>
      <c r="F38" s="19"/>
      <c r="G38" s="19"/>
      <c r="H38" s="19"/>
      <c r="I38" s="19"/>
      <c r="J38" s="19"/>
      <c r="K38" s="16"/>
      <c r="L38" s="32"/>
      <c r="M38" s="32"/>
      <c r="N38" s="32"/>
      <c r="O38" s="32"/>
      <c r="P38" s="32"/>
      <c r="Q38" s="33"/>
      <c r="R38" s="36" t="s">
        <v>32</v>
      </c>
      <c r="S38" s="32" t="s">
        <v>38</v>
      </c>
      <c r="T38" s="32" t="s">
        <v>33</v>
      </c>
      <c r="U38" s="33">
        <v>1346.84</v>
      </c>
      <c r="V38" s="18">
        <v>176.4669</v>
      </c>
      <c r="W38" s="16">
        <f t="shared" si="3"/>
        <v>3565090.194</v>
      </c>
      <c r="X38" s="16"/>
      <c r="Y38" s="16"/>
      <c r="Z38" s="16"/>
      <c r="AA38" s="16"/>
      <c r="AB38" s="16"/>
      <c r="AC38" s="16"/>
      <c r="AD38" s="16"/>
      <c r="AE38" s="16"/>
      <c r="AF38" s="16"/>
      <c r="AG38" s="16"/>
    </row>
    <row r="39">
      <c r="A39" s="20"/>
      <c r="B39" s="20"/>
      <c r="C39" s="20"/>
      <c r="D39" s="28"/>
      <c r="E39" s="19"/>
      <c r="F39" s="19"/>
      <c r="G39" s="19"/>
      <c r="H39" s="19"/>
      <c r="I39" s="19"/>
      <c r="J39" s="19"/>
      <c r="K39" s="16"/>
      <c r="L39" s="32"/>
      <c r="M39" s="32"/>
      <c r="N39" s="32"/>
      <c r="O39" s="32"/>
      <c r="P39" s="32"/>
      <c r="Q39" s="33"/>
      <c r="R39" s="36" t="s">
        <v>32</v>
      </c>
      <c r="S39" s="32" t="s">
        <v>33</v>
      </c>
      <c r="T39" s="32" t="s">
        <v>33</v>
      </c>
      <c r="U39" s="33">
        <v>7897.68</v>
      </c>
      <c r="V39" s="18">
        <v>0.0</v>
      </c>
      <c r="W39" s="16">
        <f t="shared" si="3"/>
        <v>0</v>
      </c>
      <c r="X39" s="16"/>
      <c r="Y39" s="16"/>
      <c r="Z39" s="16"/>
      <c r="AA39" s="16"/>
      <c r="AB39" s="16"/>
      <c r="AC39" s="16"/>
      <c r="AD39" s="16"/>
      <c r="AE39" s="16"/>
      <c r="AF39" s="16"/>
      <c r="AG39" s="16"/>
    </row>
    <row r="40">
      <c r="A40" s="20"/>
      <c r="B40" s="20"/>
      <c r="C40" s="20"/>
      <c r="D40" s="28"/>
      <c r="E40" s="19"/>
      <c r="F40" s="19"/>
      <c r="G40" s="19"/>
      <c r="H40" s="19"/>
      <c r="I40" s="19"/>
      <c r="J40" s="19"/>
      <c r="K40" s="16"/>
      <c r="L40" s="32"/>
      <c r="M40" s="32"/>
      <c r="N40" s="32"/>
      <c r="O40" s="32"/>
      <c r="P40" s="32"/>
      <c r="Q40" s="33"/>
      <c r="R40" s="36" t="s">
        <v>32</v>
      </c>
      <c r="S40" s="32" t="s">
        <v>39</v>
      </c>
      <c r="T40" s="32" t="s">
        <v>33</v>
      </c>
      <c r="U40" s="33">
        <v>3023.8</v>
      </c>
      <c r="V40" s="18">
        <v>356.1662</v>
      </c>
      <c r="W40" s="16">
        <f t="shared" si="3"/>
        <v>16154630.33</v>
      </c>
      <c r="X40" s="16"/>
      <c r="Y40" s="16"/>
      <c r="Z40" s="16"/>
      <c r="AA40" s="16"/>
      <c r="AB40" s="16"/>
      <c r="AC40" s="16"/>
      <c r="AD40" s="16"/>
      <c r="AE40" s="16"/>
      <c r="AF40" s="16"/>
      <c r="AG40" s="16"/>
    </row>
    <row r="41">
      <c r="A41" s="20"/>
      <c r="B41" s="20"/>
      <c r="C41" s="20"/>
      <c r="D41" s="28"/>
      <c r="E41" s="19"/>
      <c r="F41" s="19"/>
      <c r="G41" s="19"/>
      <c r="H41" s="19"/>
      <c r="I41" s="19"/>
      <c r="J41" s="19"/>
      <c r="K41" s="16"/>
      <c r="L41" s="32"/>
      <c r="M41" s="32"/>
      <c r="N41" s="32"/>
      <c r="O41" s="32"/>
      <c r="P41" s="32"/>
      <c r="Q41" s="33"/>
      <c r="R41" s="36" t="s">
        <v>32</v>
      </c>
      <c r="S41" s="32" t="s">
        <v>35</v>
      </c>
      <c r="T41" s="32" t="s">
        <v>35</v>
      </c>
      <c r="U41" s="33">
        <v>15699.2</v>
      </c>
      <c r="V41" s="18">
        <v>0.0</v>
      </c>
      <c r="W41" s="16">
        <f t="shared" si="3"/>
        <v>0</v>
      </c>
      <c r="X41" s="16"/>
      <c r="Y41" s="16"/>
      <c r="Z41" s="16"/>
      <c r="AA41" s="16"/>
      <c r="AB41" s="16"/>
      <c r="AC41" s="16"/>
      <c r="AD41" s="16"/>
      <c r="AE41" s="16"/>
      <c r="AF41" s="16"/>
      <c r="AG41" s="16"/>
    </row>
    <row r="42">
      <c r="A42" s="20"/>
      <c r="B42" s="20"/>
      <c r="C42" s="20"/>
      <c r="D42" s="28"/>
      <c r="E42" s="19"/>
      <c r="F42" s="19"/>
      <c r="G42" s="19"/>
      <c r="H42" s="19"/>
      <c r="I42" s="19"/>
      <c r="J42" s="19"/>
      <c r="K42" s="16"/>
      <c r="L42" s="32"/>
      <c r="M42" s="32"/>
      <c r="N42" s="32"/>
      <c r="O42" s="32"/>
      <c r="P42" s="32"/>
      <c r="Q42" s="33"/>
      <c r="R42" s="36" t="s">
        <v>32</v>
      </c>
      <c r="S42" s="32" t="s">
        <v>40</v>
      </c>
      <c r="T42" s="32" t="s">
        <v>35</v>
      </c>
      <c r="U42" s="33">
        <v>2504.17</v>
      </c>
      <c r="V42" s="18">
        <v>403.0102</v>
      </c>
      <c r="W42" s="16">
        <f t="shared" si="3"/>
        <v>15138090.79</v>
      </c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32"/>
      <c r="M43" s="32"/>
      <c r="N43" s="32"/>
      <c r="O43" s="32"/>
      <c r="P43" s="32"/>
      <c r="Q43" s="33"/>
      <c r="R43" s="36" t="s">
        <v>32</v>
      </c>
      <c r="S43" s="32" t="s">
        <v>37</v>
      </c>
      <c r="T43" s="32" t="s">
        <v>37</v>
      </c>
      <c r="U43" s="33">
        <v>12387.4</v>
      </c>
      <c r="V43" s="18">
        <v>0.0</v>
      </c>
      <c r="W43" s="16">
        <f t="shared" si="3"/>
        <v>0</v>
      </c>
      <c r="X43" s="16"/>
      <c r="Y43" s="16"/>
      <c r="Z43" s="16"/>
      <c r="AA43" s="16"/>
      <c r="AB43" s="16"/>
      <c r="AC43" s="16"/>
      <c r="AD43" s="16"/>
      <c r="AE43" s="16"/>
      <c r="AF43" s="16"/>
      <c r="AG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32"/>
      <c r="M44" s="32"/>
      <c r="N44" s="32"/>
      <c r="O44" s="32"/>
      <c r="P44" s="32"/>
      <c r="Q44" s="33"/>
      <c r="R44" s="36" t="s">
        <v>38</v>
      </c>
      <c r="S44" s="32" t="s">
        <v>31</v>
      </c>
      <c r="T44" s="32" t="s">
        <v>31</v>
      </c>
      <c r="U44" s="33">
        <v>1916.56</v>
      </c>
      <c r="V44" s="18">
        <v>0.0</v>
      </c>
      <c r="W44" s="16">
        <f t="shared" si="3"/>
        <v>0</v>
      </c>
      <c r="X44" s="16"/>
      <c r="Y44" s="16"/>
      <c r="Z44" s="16"/>
      <c r="AA44" s="16"/>
      <c r="AB44" s="16"/>
      <c r="AC44" s="16"/>
      <c r="AD44" s="16"/>
      <c r="AE44" s="16"/>
      <c r="AF44" s="16"/>
      <c r="AG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32"/>
      <c r="M45" s="32"/>
      <c r="N45" s="32"/>
      <c r="O45" s="32"/>
      <c r="P45" s="32"/>
      <c r="Q45" s="33"/>
      <c r="R45" s="36" t="s">
        <v>38</v>
      </c>
      <c r="S45" s="32" t="s">
        <v>34</v>
      </c>
      <c r="T45" s="32" t="s">
        <v>33</v>
      </c>
      <c r="U45" s="33">
        <v>453.68</v>
      </c>
      <c r="V45" s="18">
        <v>966.6815</v>
      </c>
      <c r="W45" s="16">
        <f t="shared" si="3"/>
        <v>6578460.944</v>
      </c>
      <c r="X45" s="16"/>
      <c r="Y45" s="16"/>
      <c r="Z45" s="16"/>
      <c r="AA45" s="16"/>
      <c r="AB45" s="16"/>
      <c r="AC45" s="16"/>
      <c r="AD45" s="16"/>
      <c r="AE45" s="16"/>
      <c r="AF45" s="16"/>
      <c r="AG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32"/>
      <c r="M46" s="32"/>
      <c r="N46" s="32"/>
      <c r="O46" s="32"/>
      <c r="P46" s="32"/>
      <c r="Q46" s="33"/>
      <c r="R46" s="36" t="s">
        <v>38</v>
      </c>
      <c r="S46" s="32" t="s">
        <v>36</v>
      </c>
      <c r="T46" s="32" t="s">
        <v>33</v>
      </c>
      <c r="U46" s="33">
        <v>821.08</v>
      </c>
      <c r="V46" s="18">
        <v>397.4792</v>
      </c>
      <c r="W46" s="16">
        <f t="shared" si="3"/>
        <v>4895433.323</v>
      </c>
      <c r="X46" s="16"/>
      <c r="Y46" s="16"/>
      <c r="Z46" s="16"/>
      <c r="AA46" s="16"/>
      <c r="AB46" s="16"/>
      <c r="AC46" s="16"/>
      <c r="AD46" s="16"/>
      <c r="AE46" s="16"/>
      <c r="AF46" s="16"/>
      <c r="AG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32"/>
      <c r="M47" s="32"/>
      <c r="N47" s="32"/>
      <c r="O47" s="32"/>
      <c r="P47" s="32"/>
      <c r="Q47" s="33"/>
      <c r="R47" s="36" t="s">
        <v>38</v>
      </c>
      <c r="S47" s="32" t="s">
        <v>32</v>
      </c>
      <c r="T47" s="32" t="s">
        <v>33</v>
      </c>
      <c r="U47" s="33">
        <v>3869.6</v>
      </c>
      <c r="V47" s="18">
        <v>525.4495</v>
      </c>
      <c r="W47" s="16">
        <f t="shared" si="3"/>
        <v>30499190.78</v>
      </c>
      <c r="X47" s="16"/>
      <c r="Y47" s="16"/>
      <c r="Z47" s="16"/>
      <c r="AA47" s="16"/>
      <c r="AB47" s="16"/>
      <c r="AC47" s="16"/>
      <c r="AD47" s="16"/>
      <c r="AE47" s="16"/>
      <c r="AF47" s="16"/>
      <c r="AG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32"/>
      <c r="M48" s="32"/>
      <c r="N48" s="32"/>
      <c r="O48" s="32"/>
      <c r="P48" s="32"/>
      <c r="Q48" s="33"/>
      <c r="R48" s="36" t="s">
        <v>38</v>
      </c>
      <c r="S48" s="32" t="s">
        <v>33</v>
      </c>
      <c r="T48" s="32" t="s">
        <v>33</v>
      </c>
      <c r="U48" s="33">
        <v>5400.56</v>
      </c>
      <c r="V48" s="18">
        <v>0.0</v>
      </c>
      <c r="W48" s="16">
        <f t="shared" si="3"/>
        <v>0</v>
      </c>
      <c r="X48" s="16"/>
      <c r="Y48" s="16"/>
      <c r="Z48" s="16"/>
      <c r="AA48" s="16"/>
      <c r="AB48" s="16"/>
      <c r="AC48" s="16"/>
      <c r="AD48" s="16"/>
      <c r="AE48" s="16"/>
      <c r="AF48" s="16"/>
      <c r="AG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32"/>
      <c r="M49" s="32"/>
      <c r="N49" s="32"/>
      <c r="O49" s="32"/>
      <c r="P49" s="32"/>
      <c r="Q49" s="33"/>
      <c r="R49" s="36" t="s">
        <v>38</v>
      </c>
      <c r="S49" s="32" t="s">
        <v>39</v>
      </c>
      <c r="T49" s="32" t="s">
        <v>33</v>
      </c>
      <c r="U49" s="33">
        <v>977.52</v>
      </c>
      <c r="V49" s="18">
        <v>356.1662</v>
      </c>
      <c r="W49" s="16">
        <f t="shared" si="3"/>
        <v>5222393.757</v>
      </c>
      <c r="X49" s="16"/>
      <c r="Y49" s="16"/>
      <c r="Z49" s="16"/>
      <c r="AA49" s="16"/>
      <c r="AB49" s="16"/>
      <c r="AC49" s="16"/>
      <c r="AD49" s="16"/>
      <c r="AE49" s="16"/>
      <c r="AF49" s="16"/>
      <c r="AG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32"/>
      <c r="M50" s="32"/>
      <c r="N50" s="32"/>
      <c r="O50" s="32"/>
      <c r="P50" s="32"/>
      <c r="Q50" s="33"/>
      <c r="R50" s="36" t="s">
        <v>38</v>
      </c>
      <c r="S50" s="32" t="s">
        <v>35</v>
      </c>
      <c r="T50" s="32" t="s">
        <v>35</v>
      </c>
      <c r="U50" s="33">
        <v>20364.36</v>
      </c>
      <c r="V50" s="18">
        <v>0.0</v>
      </c>
      <c r="W50" s="16">
        <f t="shared" si="3"/>
        <v>0</v>
      </c>
      <c r="X50" s="16"/>
      <c r="Y50" s="16"/>
      <c r="Z50" s="16"/>
      <c r="AA50" s="16"/>
      <c r="AB50" s="16"/>
      <c r="AC50" s="16"/>
      <c r="AD50" s="16"/>
      <c r="AE50" s="16"/>
      <c r="AF50" s="16"/>
      <c r="AG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32"/>
      <c r="M51" s="32"/>
      <c r="N51" s="32"/>
      <c r="O51" s="32"/>
      <c r="P51" s="32"/>
      <c r="Q51" s="33"/>
      <c r="R51" s="36" t="s">
        <v>38</v>
      </c>
      <c r="S51" s="32" t="s">
        <v>40</v>
      </c>
      <c r="T51" s="32" t="s">
        <v>35</v>
      </c>
      <c r="U51" s="33">
        <v>1191.2</v>
      </c>
      <c r="V51" s="18">
        <v>403.0102</v>
      </c>
      <c r="W51" s="16">
        <f t="shared" si="3"/>
        <v>7200986.254</v>
      </c>
      <c r="X51" s="16"/>
      <c r="Y51" s="16"/>
      <c r="Z51" s="16"/>
      <c r="AA51" s="16"/>
      <c r="AB51" s="16"/>
      <c r="AC51" s="16"/>
      <c r="AD51" s="16"/>
      <c r="AE51" s="16"/>
      <c r="AF51" s="16"/>
      <c r="AG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32"/>
      <c r="M52" s="32"/>
      <c r="N52" s="32"/>
      <c r="O52" s="32"/>
      <c r="P52" s="32"/>
      <c r="Q52" s="33"/>
      <c r="R52" s="36" t="s">
        <v>38</v>
      </c>
      <c r="S52" s="32" t="s">
        <v>37</v>
      </c>
      <c r="T52" s="32" t="s">
        <v>37</v>
      </c>
      <c r="U52" s="33">
        <v>5911.52</v>
      </c>
      <c r="V52" s="18">
        <v>0.0</v>
      </c>
      <c r="W52" s="16">
        <f t="shared" si="3"/>
        <v>0</v>
      </c>
      <c r="X52" s="16"/>
      <c r="Y52" s="16"/>
      <c r="Z52" s="16"/>
      <c r="AA52" s="16"/>
      <c r="AB52" s="16"/>
      <c r="AC52" s="16"/>
      <c r="AD52" s="16"/>
      <c r="AE52" s="16"/>
      <c r="AF52" s="16"/>
      <c r="AG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32"/>
      <c r="M53" s="32"/>
      <c r="N53" s="32"/>
      <c r="O53" s="32"/>
      <c r="P53" s="32"/>
      <c r="Q53" s="33"/>
      <c r="R53" s="36" t="s">
        <v>33</v>
      </c>
      <c r="S53" s="32" t="s">
        <v>31</v>
      </c>
      <c r="T53" s="32" t="s">
        <v>31</v>
      </c>
      <c r="U53" s="33">
        <v>2334.6</v>
      </c>
      <c r="V53" s="18">
        <v>0.0</v>
      </c>
      <c r="W53" s="16">
        <f t="shared" si="3"/>
        <v>0</v>
      </c>
      <c r="X53" s="16"/>
      <c r="Y53" s="16"/>
      <c r="Z53" s="16"/>
      <c r="AA53" s="16"/>
      <c r="AB53" s="16"/>
      <c r="AC53" s="16"/>
      <c r="AD53" s="16"/>
      <c r="AE53" s="16"/>
      <c r="AF53" s="16"/>
      <c r="AG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32"/>
      <c r="M54" s="32"/>
      <c r="N54" s="32"/>
      <c r="O54" s="32"/>
      <c r="P54" s="32"/>
      <c r="Q54" s="33"/>
      <c r="R54" s="36" t="s">
        <v>33</v>
      </c>
      <c r="S54" s="32" t="s">
        <v>34</v>
      </c>
      <c r="T54" s="32" t="s">
        <v>33</v>
      </c>
      <c r="U54" s="33">
        <v>2285.37</v>
      </c>
      <c r="V54" s="18">
        <v>966.6815</v>
      </c>
      <c r="W54" s="16">
        <f t="shared" si="3"/>
        <v>33138373.49</v>
      </c>
      <c r="X54" s="16"/>
      <c r="Y54" s="16"/>
      <c r="Z54" s="16"/>
      <c r="AA54" s="16"/>
      <c r="AB54" s="16"/>
      <c r="AC54" s="16"/>
      <c r="AD54" s="16"/>
      <c r="AE54" s="16"/>
      <c r="AF54" s="16"/>
      <c r="AG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32"/>
      <c r="M55" s="32"/>
      <c r="N55" s="32"/>
      <c r="O55" s="32"/>
      <c r="P55" s="32"/>
      <c r="Q55" s="33"/>
      <c r="R55" s="36" t="s">
        <v>33</v>
      </c>
      <c r="S55" s="32" t="s">
        <v>36</v>
      </c>
      <c r="T55" s="32" t="s">
        <v>33</v>
      </c>
      <c r="U55" s="33">
        <v>2193.32</v>
      </c>
      <c r="V55" s="18">
        <v>397.4792</v>
      </c>
      <c r="W55" s="16">
        <f t="shared" si="3"/>
        <v>13076986.18</v>
      </c>
      <c r="X55" s="16"/>
      <c r="Y55" s="16"/>
      <c r="Z55" s="16"/>
      <c r="AA55" s="16"/>
      <c r="AB55" s="16"/>
      <c r="AC55" s="16"/>
      <c r="AD55" s="16"/>
      <c r="AE55" s="16"/>
      <c r="AF55" s="16"/>
      <c r="AG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32"/>
      <c r="M56" s="32"/>
      <c r="N56" s="32"/>
      <c r="O56" s="32"/>
      <c r="P56" s="32"/>
      <c r="Q56" s="33"/>
      <c r="R56" s="36" t="s">
        <v>33</v>
      </c>
      <c r="S56" s="32" t="s">
        <v>32</v>
      </c>
      <c r="T56" s="32" t="s">
        <v>33</v>
      </c>
      <c r="U56" s="33">
        <v>10240.56</v>
      </c>
      <c r="V56" s="18">
        <v>525.4495</v>
      </c>
      <c r="W56" s="16">
        <f t="shared" si="3"/>
        <v>80713456.98</v>
      </c>
      <c r="X56" s="16"/>
      <c r="Y56" s="16"/>
      <c r="Z56" s="16"/>
      <c r="AA56" s="16"/>
      <c r="AB56" s="16"/>
      <c r="AC56" s="16"/>
      <c r="AD56" s="16"/>
      <c r="AE56" s="16"/>
      <c r="AF56" s="16"/>
      <c r="AG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32"/>
      <c r="M57" s="32"/>
      <c r="N57" s="32"/>
      <c r="O57" s="32"/>
      <c r="P57" s="32"/>
      <c r="Q57" s="33"/>
      <c r="R57" s="36" t="s">
        <v>33</v>
      </c>
      <c r="S57" s="32" t="s">
        <v>38</v>
      </c>
      <c r="T57" s="32" t="s">
        <v>33</v>
      </c>
      <c r="U57" s="33">
        <v>2693.56</v>
      </c>
      <c r="V57" s="18">
        <v>176.4669</v>
      </c>
      <c r="W57" s="16">
        <f t="shared" si="3"/>
        <v>7129862.747</v>
      </c>
      <c r="X57" s="16"/>
      <c r="Y57" s="16"/>
      <c r="Z57" s="16"/>
      <c r="AA57" s="16"/>
      <c r="AB57" s="16"/>
      <c r="AC57" s="16"/>
      <c r="AD57" s="16"/>
      <c r="AE57" s="16"/>
      <c r="AF57" s="16"/>
      <c r="AG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32"/>
      <c r="M58" s="32"/>
      <c r="N58" s="32"/>
      <c r="O58" s="32"/>
      <c r="P58" s="32"/>
      <c r="Q58" s="33"/>
      <c r="R58" s="36" t="s">
        <v>33</v>
      </c>
      <c r="S58" s="32" t="s">
        <v>39</v>
      </c>
      <c r="T58" s="32" t="s">
        <v>33</v>
      </c>
      <c r="U58" s="33">
        <v>2535.32</v>
      </c>
      <c r="V58" s="18">
        <v>356.1662</v>
      </c>
      <c r="W58" s="16">
        <f t="shared" si="3"/>
        <v>13544929.35</v>
      </c>
      <c r="X58" s="16"/>
      <c r="Y58" s="16"/>
      <c r="Z58" s="16"/>
      <c r="AA58" s="16"/>
      <c r="AB58" s="16"/>
      <c r="AC58" s="16"/>
      <c r="AD58" s="16"/>
      <c r="AE58" s="16"/>
      <c r="AF58" s="16"/>
      <c r="AG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32"/>
      <c r="M59" s="32"/>
      <c r="N59" s="32"/>
      <c r="O59" s="32"/>
      <c r="P59" s="32"/>
      <c r="Q59" s="33"/>
      <c r="R59" s="36" t="s">
        <v>33</v>
      </c>
      <c r="S59" s="32" t="s">
        <v>35</v>
      </c>
      <c r="T59" s="32" t="s">
        <v>35</v>
      </c>
      <c r="U59" s="33">
        <v>33272.84</v>
      </c>
      <c r="V59" s="18">
        <v>0.0</v>
      </c>
      <c r="W59" s="16">
        <f t="shared" si="3"/>
        <v>0</v>
      </c>
      <c r="X59" s="16"/>
      <c r="Y59" s="16"/>
      <c r="Z59" s="16"/>
      <c r="AA59" s="16"/>
      <c r="AB59" s="16"/>
      <c r="AC59" s="16"/>
      <c r="AD59" s="16"/>
      <c r="AE59" s="16"/>
      <c r="AF59" s="16"/>
      <c r="AG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32"/>
      <c r="M60" s="32"/>
      <c r="N60" s="32"/>
      <c r="O60" s="32"/>
      <c r="P60" s="32"/>
      <c r="Q60" s="33"/>
      <c r="R60" s="36" t="s">
        <v>33</v>
      </c>
      <c r="S60" s="32" t="s">
        <v>40</v>
      </c>
      <c r="T60" s="32" t="s">
        <v>35</v>
      </c>
      <c r="U60" s="33">
        <v>2248.87</v>
      </c>
      <c r="V60" s="18">
        <v>403.0102</v>
      </c>
      <c r="W60" s="16">
        <f t="shared" si="3"/>
        <v>13594763.23</v>
      </c>
      <c r="X60" s="16"/>
      <c r="Y60" s="16"/>
      <c r="Z60" s="16"/>
      <c r="AA60" s="16"/>
      <c r="AB60" s="16"/>
      <c r="AC60" s="16"/>
      <c r="AD60" s="16"/>
      <c r="AE60" s="16"/>
      <c r="AF60" s="16"/>
      <c r="AG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32"/>
      <c r="M61" s="32"/>
      <c r="N61" s="32"/>
      <c r="O61" s="32"/>
      <c r="P61" s="32"/>
      <c r="Q61" s="33"/>
      <c r="R61" s="36" t="s">
        <v>33</v>
      </c>
      <c r="S61" s="32" t="s">
        <v>37</v>
      </c>
      <c r="T61" s="32" t="s">
        <v>37</v>
      </c>
      <c r="U61" s="33">
        <v>6665.76</v>
      </c>
      <c r="V61" s="18">
        <v>0.0</v>
      </c>
      <c r="W61" s="16">
        <f t="shared" si="3"/>
        <v>0</v>
      </c>
      <c r="X61" s="16"/>
      <c r="Y61" s="16"/>
      <c r="Z61" s="16"/>
      <c r="AA61" s="16"/>
      <c r="AB61" s="16"/>
      <c r="AC61" s="16"/>
      <c r="AD61" s="16"/>
      <c r="AE61" s="16"/>
      <c r="AF61" s="16"/>
      <c r="AG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32"/>
      <c r="M62" s="32"/>
      <c r="N62" s="32"/>
      <c r="O62" s="32"/>
      <c r="P62" s="32"/>
      <c r="Q62" s="33"/>
      <c r="R62" s="36" t="s">
        <v>39</v>
      </c>
      <c r="S62" s="32" t="s">
        <v>31</v>
      </c>
      <c r="T62" s="32" t="s">
        <v>31</v>
      </c>
      <c r="U62" s="33">
        <v>2873.96</v>
      </c>
      <c r="V62" s="18">
        <v>0.0</v>
      </c>
      <c r="W62" s="16">
        <f t="shared" si="3"/>
        <v>0</v>
      </c>
      <c r="X62" s="16"/>
      <c r="Y62" s="16"/>
      <c r="Z62" s="16"/>
      <c r="AA62" s="16"/>
      <c r="AB62" s="16"/>
      <c r="AC62" s="16"/>
      <c r="AD62" s="16"/>
      <c r="AE62" s="16"/>
      <c r="AF62" s="16"/>
      <c r="AG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32"/>
      <c r="M63" s="32"/>
      <c r="N63" s="32"/>
      <c r="O63" s="32"/>
      <c r="P63" s="32"/>
      <c r="Q63" s="33"/>
      <c r="R63" s="36" t="s">
        <v>39</v>
      </c>
      <c r="S63" s="32" t="s">
        <v>34</v>
      </c>
      <c r="T63" s="32" t="s">
        <v>33</v>
      </c>
      <c r="U63" s="33">
        <v>3207.09</v>
      </c>
      <c r="V63" s="18">
        <v>966.6815</v>
      </c>
      <c r="W63" s="16">
        <f t="shared" si="3"/>
        <v>46503518.58</v>
      </c>
      <c r="X63" s="16"/>
      <c r="Y63" s="16"/>
      <c r="Z63" s="16"/>
      <c r="AA63" s="16"/>
      <c r="AB63" s="16"/>
      <c r="AC63" s="16"/>
      <c r="AD63" s="16"/>
      <c r="AE63" s="16"/>
      <c r="AF63" s="16"/>
      <c r="AG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32"/>
      <c r="M64" s="32"/>
      <c r="N64" s="32"/>
      <c r="O64" s="32"/>
      <c r="P64" s="32"/>
      <c r="Q64" s="33"/>
      <c r="R64" s="36" t="s">
        <v>39</v>
      </c>
      <c r="S64" s="32" t="s">
        <v>36</v>
      </c>
      <c r="T64" s="32" t="s">
        <v>33</v>
      </c>
      <c r="U64" s="33">
        <v>22608.32</v>
      </c>
      <c r="V64" s="18">
        <v>397.4792</v>
      </c>
      <c r="W64" s="16">
        <f t="shared" si="3"/>
        <v>134795054.2</v>
      </c>
      <c r="X64" s="16"/>
      <c r="Y64" s="16"/>
      <c r="Z64" s="16"/>
      <c r="AA64" s="16"/>
      <c r="AB64" s="16"/>
      <c r="AC64" s="16"/>
      <c r="AD64" s="16"/>
      <c r="AE64" s="16"/>
      <c r="AF64" s="16"/>
      <c r="AG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32"/>
      <c r="M65" s="32"/>
      <c r="N65" s="32"/>
      <c r="O65" s="32"/>
      <c r="P65" s="32"/>
      <c r="Q65" s="33"/>
      <c r="R65" s="36" t="s">
        <v>39</v>
      </c>
      <c r="S65" s="32" t="s">
        <v>32</v>
      </c>
      <c r="T65" s="32" t="s">
        <v>33</v>
      </c>
      <c r="U65" s="33">
        <v>6602.08</v>
      </c>
      <c r="V65" s="18">
        <v>525.4495</v>
      </c>
      <c r="W65" s="16">
        <f t="shared" si="3"/>
        <v>52035894.52</v>
      </c>
      <c r="X65" s="16"/>
      <c r="Y65" s="16"/>
      <c r="Z65" s="16"/>
      <c r="AA65" s="16"/>
      <c r="AB65" s="16"/>
      <c r="AC65" s="16"/>
      <c r="AD65" s="16"/>
      <c r="AE65" s="16"/>
      <c r="AF65" s="16"/>
      <c r="AG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32"/>
      <c r="M66" s="32"/>
      <c r="N66" s="32"/>
      <c r="O66" s="32"/>
      <c r="P66" s="32"/>
      <c r="Q66" s="33"/>
      <c r="R66" s="36" t="s">
        <v>39</v>
      </c>
      <c r="S66" s="32" t="s">
        <v>38</v>
      </c>
      <c r="T66" s="32" t="s">
        <v>33</v>
      </c>
      <c r="U66" s="33">
        <v>1576.64</v>
      </c>
      <c r="V66" s="18">
        <v>176.4669</v>
      </c>
      <c r="W66" s="16">
        <f t="shared" si="3"/>
        <v>4173371.598</v>
      </c>
      <c r="X66" s="16"/>
      <c r="Y66" s="16"/>
      <c r="Z66" s="16"/>
      <c r="AA66" s="16"/>
      <c r="AB66" s="16"/>
      <c r="AC66" s="16"/>
      <c r="AD66" s="16"/>
      <c r="AE66" s="16"/>
      <c r="AF66" s="16"/>
      <c r="AG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32"/>
      <c r="M67" s="32"/>
      <c r="N67" s="32"/>
      <c r="O67" s="32"/>
      <c r="P67" s="32"/>
      <c r="Q67" s="33"/>
      <c r="R67" s="36" t="s">
        <v>39</v>
      </c>
      <c r="S67" s="32" t="s">
        <v>33</v>
      </c>
      <c r="T67" s="32" t="s">
        <v>33</v>
      </c>
      <c r="U67" s="33">
        <v>11335.92</v>
      </c>
      <c r="V67" s="18">
        <v>0.0</v>
      </c>
      <c r="W67" s="16">
        <f t="shared" si="3"/>
        <v>0</v>
      </c>
      <c r="X67" s="16"/>
      <c r="Y67" s="16"/>
      <c r="Z67" s="16"/>
      <c r="AA67" s="16"/>
      <c r="AB67" s="16"/>
      <c r="AC67" s="16"/>
      <c r="AD67" s="16"/>
      <c r="AE67" s="16"/>
      <c r="AF67" s="16"/>
      <c r="AG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32"/>
      <c r="M68" s="32"/>
      <c r="N68" s="32"/>
      <c r="O68" s="32"/>
      <c r="P68" s="32"/>
      <c r="Q68" s="33"/>
      <c r="R68" s="36" t="s">
        <v>39</v>
      </c>
      <c r="S68" s="32" t="s">
        <v>35</v>
      </c>
      <c r="T68" s="32" t="s">
        <v>35</v>
      </c>
      <c r="U68" s="33">
        <v>14964.48</v>
      </c>
      <c r="V68" s="18">
        <v>0.0</v>
      </c>
      <c r="W68" s="16">
        <f t="shared" si="3"/>
        <v>0</v>
      </c>
      <c r="X68" s="16"/>
      <c r="Y68" s="16"/>
      <c r="Z68" s="16"/>
      <c r="AA68" s="16"/>
      <c r="AB68" s="16"/>
      <c r="AC68" s="16"/>
      <c r="AD68" s="16"/>
      <c r="AE68" s="16"/>
      <c r="AF68" s="16"/>
      <c r="AG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32"/>
      <c r="M69" s="32"/>
      <c r="N69" s="32"/>
      <c r="O69" s="32"/>
      <c r="P69" s="32"/>
      <c r="Q69" s="33"/>
      <c r="R69" s="36" t="s">
        <v>39</v>
      </c>
      <c r="S69" s="32" t="s">
        <v>40</v>
      </c>
      <c r="T69" s="32" t="s">
        <v>35</v>
      </c>
      <c r="U69" s="33">
        <v>3552.95</v>
      </c>
      <c r="V69" s="18">
        <v>403.0102</v>
      </c>
      <c r="W69" s="16">
        <f t="shared" si="3"/>
        <v>21478126.35</v>
      </c>
      <c r="X69" s="16"/>
      <c r="Y69" s="16"/>
      <c r="Z69" s="16"/>
      <c r="AA69" s="16"/>
      <c r="AB69" s="16"/>
      <c r="AC69" s="16"/>
      <c r="AD69" s="16"/>
      <c r="AE69" s="16"/>
      <c r="AF69" s="16"/>
      <c r="AG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32"/>
      <c r="M70" s="32"/>
      <c r="N70" s="32"/>
      <c r="O70" s="32"/>
      <c r="P70" s="32"/>
      <c r="Q70" s="33"/>
      <c r="R70" s="36" t="s">
        <v>39</v>
      </c>
      <c r="S70" s="32" t="s">
        <v>37</v>
      </c>
      <c r="T70" s="32" t="s">
        <v>37</v>
      </c>
      <c r="U70" s="33">
        <v>8546.4</v>
      </c>
      <c r="V70" s="18">
        <v>0.0</v>
      </c>
      <c r="W70" s="16">
        <f t="shared" si="3"/>
        <v>0</v>
      </c>
      <c r="X70" s="16"/>
      <c r="Y70" s="16"/>
      <c r="Z70" s="16"/>
      <c r="AA70" s="16"/>
      <c r="AB70" s="16"/>
      <c r="AC70" s="16"/>
      <c r="AD70" s="16"/>
      <c r="AE70" s="16"/>
      <c r="AF70" s="16"/>
      <c r="AG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32"/>
      <c r="M71" s="32"/>
      <c r="N71" s="32"/>
      <c r="O71" s="32"/>
      <c r="P71" s="32"/>
      <c r="Q71" s="33"/>
      <c r="R71" s="36" t="s">
        <v>35</v>
      </c>
      <c r="S71" s="32" t="s">
        <v>31</v>
      </c>
      <c r="T71" s="32" t="s">
        <v>31</v>
      </c>
      <c r="U71" s="33">
        <v>30724.48</v>
      </c>
      <c r="V71" s="18">
        <v>0.0</v>
      </c>
      <c r="W71" s="16">
        <f t="shared" si="3"/>
        <v>0</v>
      </c>
      <c r="X71" s="16"/>
      <c r="Y71" s="16"/>
      <c r="Z71" s="16"/>
      <c r="AA71" s="16"/>
      <c r="AB71" s="16"/>
      <c r="AC71" s="16"/>
      <c r="AD71" s="16"/>
      <c r="AE71" s="16"/>
      <c r="AF71" s="16"/>
      <c r="AG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32"/>
      <c r="M72" s="32"/>
      <c r="N72" s="32"/>
      <c r="O72" s="32"/>
      <c r="P72" s="32"/>
      <c r="Q72" s="33"/>
      <c r="R72" s="36" t="s">
        <v>35</v>
      </c>
      <c r="S72" s="32" t="s">
        <v>34</v>
      </c>
      <c r="T72" s="32" t="s">
        <v>33</v>
      </c>
      <c r="U72" s="33">
        <v>6826.26</v>
      </c>
      <c r="V72" s="18">
        <v>966.6815</v>
      </c>
      <c r="W72" s="16">
        <f t="shared" si="3"/>
        <v>98982288.84</v>
      </c>
      <c r="X72" s="16"/>
      <c r="Y72" s="16"/>
      <c r="Z72" s="16"/>
      <c r="AA72" s="16"/>
      <c r="AB72" s="16"/>
      <c r="AC72" s="16"/>
      <c r="AD72" s="16"/>
      <c r="AE72" s="16"/>
      <c r="AF72" s="16"/>
      <c r="AG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32"/>
      <c r="M73" s="32"/>
      <c r="N73" s="32"/>
      <c r="O73" s="32"/>
      <c r="P73" s="32"/>
      <c r="Q73" s="33"/>
      <c r="R73" s="36" t="s">
        <v>35</v>
      </c>
      <c r="S73" s="32" t="s">
        <v>36</v>
      </c>
      <c r="T73" s="32" t="s">
        <v>33</v>
      </c>
      <c r="U73" s="33">
        <v>12802.76</v>
      </c>
      <c r="V73" s="18">
        <v>397.4792</v>
      </c>
      <c r="W73" s="16">
        <f t="shared" si="3"/>
        <v>76332462.04</v>
      </c>
      <c r="X73" s="16"/>
      <c r="Y73" s="16"/>
      <c r="Z73" s="16"/>
      <c r="AA73" s="16"/>
      <c r="AB73" s="16"/>
      <c r="AC73" s="16"/>
      <c r="AD73" s="16"/>
      <c r="AE73" s="16"/>
      <c r="AF73" s="16"/>
      <c r="AG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32"/>
      <c r="M74" s="32"/>
      <c r="N74" s="32"/>
      <c r="O74" s="32"/>
      <c r="P74" s="32"/>
      <c r="Q74" s="33"/>
      <c r="R74" s="36" t="s">
        <v>35</v>
      </c>
      <c r="S74" s="32" t="s">
        <v>32</v>
      </c>
      <c r="T74" s="32" t="s">
        <v>33</v>
      </c>
      <c r="U74" s="33">
        <v>72304.0</v>
      </c>
      <c r="V74" s="18">
        <v>525.4495</v>
      </c>
      <c r="W74" s="16">
        <f t="shared" si="3"/>
        <v>569881509.7</v>
      </c>
      <c r="X74" s="16"/>
      <c r="Y74" s="16"/>
      <c r="Z74" s="16"/>
      <c r="AA74" s="16"/>
      <c r="AB74" s="16"/>
      <c r="AC74" s="16"/>
      <c r="AD74" s="16"/>
      <c r="AE74" s="16"/>
      <c r="AF74" s="16"/>
      <c r="AG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32"/>
      <c r="M75" s="32"/>
      <c r="N75" s="32"/>
      <c r="O75" s="32"/>
      <c r="P75" s="32"/>
      <c r="Q75" s="33"/>
      <c r="R75" s="36" t="s">
        <v>35</v>
      </c>
      <c r="S75" s="32" t="s">
        <v>38</v>
      </c>
      <c r="T75" s="32" t="s">
        <v>33</v>
      </c>
      <c r="U75" s="33">
        <v>34996.76</v>
      </c>
      <c r="V75" s="18">
        <v>176.4669</v>
      </c>
      <c r="W75" s="16">
        <f t="shared" si="3"/>
        <v>92636546.21</v>
      </c>
      <c r="X75" s="16"/>
      <c r="Y75" s="16"/>
      <c r="Z75" s="16"/>
      <c r="AA75" s="16"/>
      <c r="AB75" s="16"/>
      <c r="AC75" s="16"/>
      <c r="AD75" s="16"/>
      <c r="AE75" s="16"/>
      <c r="AF75" s="16"/>
      <c r="AG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32"/>
      <c r="M76" s="32"/>
      <c r="N76" s="32"/>
      <c r="O76" s="32"/>
      <c r="P76" s="32"/>
      <c r="Q76" s="33"/>
      <c r="R76" s="36" t="s">
        <v>35</v>
      </c>
      <c r="S76" s="32" t="s">
        <v>33</v>
      </c>
      <c r="T76" s="32" t="s">
        <v>33</v>
      </c>
      <c r="U76" s="33">
        <v>121568.92</v>
      </c>
      <c r="V76" s="18">
        <v>0.0</v>
      </c>
      <c r="W76" s="16">
        <f t="shared" si="3"/>
        <v>0</v>
      </c>
      <c r="X76" s="16"/>
      <c r="Y76" s="16"/>
      <c r="Z76" s="16"/>
      <c r="AA76" s="16"/>
      <c r="AB76" s="16"/>
      <c r="AC76" s="16"/>
      <c r="AD76" s="16"/>
      <c r="AE76" s="16"/>
      <c r="AF76" s="16"/>
      <c r="AG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32"/>
      <c r="M77" s="32"/>
      <c r="N77" s="32"/>
      <c r="O77" s="32"/>
      <c r="P77" s="32"/>
      <c r="Q77" s="33"/>
      <c r="R77" s="36" t="s">
        <v>35</v>
      </c>
      <c r="S77" s="32" t="s">
        <v>39</v>
      </c>
      <c r="T77" s="32" t="s">
        <v>35</v>
      </c>
      <c r="U77" s="33">
        <v>16938.64</v>
      </c>
      <c r="V77" s="18">
        <v>186.18</v>
      </c>
      <c r="W77" s="16">
        <f t="shared" si="3"/>
        <v>47304539.93</v>
      </c>
      <c r="X77" s="16"/>
      <c r="Y77" s="16"/>
      <c r="Z77" s="16"/>
      <c r="AA77" s="16"/>
      <c r="AB77" s="16"/>
      <c r="AC77" s="16"/>
      <c r="AD77" s="16"/>
      <c r="AE77" s="16"/>
      <c r="AF77" s="16"/>
      <c r="AG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32"/>
      <c r="M78" s="32"/>
      <c r="N78" s="32"/>
      <c r="O78" s="32"/>
      <c r="P78" s="32"/>
      <c r="Q78" s="33"/>
      <c r="R78" s="36" t="s">
        <v>35</v>
      </c>
      <c r="S78" s="32" t="s">
        <v>40</v>
      </c>
      <c r="T78" s="32" t="s">
        <v>35</v>
      </c>
      <c r="U78" s="33">
        <v>23542.82</v>
      </c>
      <c r="V78" s="18">
        <v>403.0102</v>
      </c>
      <c r="W78" s="16">
        <f t="shared" si="3"/>
        <v>142319949</v>
      </c>
      <c r="X78" s="16"/>
      <c r="Y78" s="16"/>
      <c r="Z78" s="16"/>
      <c r="AA78" s="16"/>
      <c r="AB78" s="16"/>
      <c r="AC78" s="16"/>
      <c r="AD78" s="16"/>
      <c r="AE78" s="16"/>
      <c r="AF78" s="16"/>
      <c r="AG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32"/>
      <c r="M79" s="32"/>
      <c r="N79" s="32"/>
      <c r="O79" s="32"/>
      <c r="P79" s="32"/>
      <c r="Q79" s="33"/>
      <c r="R79" s="36" t="s">
        <v>35</v>
      </c>
      <c r="S79" s="32" t="s">
        <v>37</v>
      </c>
      <c r="T79" s="32" t="s">
        <v>37</v>
      </c>
      <c r="U79" s="33">
        <v>101245.44</v>
      </c>
      <c r="V79" s="18">
        <v>0.0</v>
      </c>
      <c r="W79" s="16">
        <f t="shared" si="3"/>
        <v>0</v>
      </c>
      <c r="X79" s="16"/>
      <c r="Y79" s="16"/>
      <c r="Z79" s="16"/>
      <c r="AA79" s="16"/>
      <c r="AB79" s="16"/>
      <c r="AC79" s="16"/>
      <c r="AD79" s="16"/>
      <c r="AE79" s="16"/>
      <c r="AF79" s="16"/>
      <c r="AG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32"/>
      <c r="M80" s="32"/>
      <c r="N80" s="32"/>
      <c r="O80" s="32"/>
      <c r="P80" s="32"/>
      <c r="Q80" s="33"/>
      <c r="R80" s="36" t="s">
        <v>40</v>
      </c>
      <c r="S80" s="32" t="s">
        <v>31</v>
      </c>
      <c r="T80" s="32" t="s">
        <v>31</v>
      </c>
      <c r="U80" s="33">
        <v>535.69</v>
      </c>
      <c r="V80" s="18">
        <v>0.0</v>
      </c>
      <c r="W80" s="16">
        <f t="shared" si="3"/>
        <v>0</v>
      </c>
      <c r="X80" s="16"/>
      <c r="Y80" s="16"/>
      <c r="Z80" s="16"/>
      <c r="AA80" s="16"/>
      <c r="AB80" s="16"/>
      <c r="AC80" s="16"/>
      <c r="AD80" s="16"/>
      <c r="AE80" s="16"/>
      <c r="AF80" s="16"/>
      <c r="AG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32"/>
      <c r="M81" s="32"/>
      <c r="N81" s="32"/>
      <c r="O81" s="32"/>
      <c r="P81" s="32"/>
      <c r="Q81" s="33"/>
      <c r="R81" s="36" t="s">
        <v>40</v>
      </c>
      <c r="S81" s="32" t="s">
        <v>34</v>
      </c>
      <c r="T81" s="32" t="s">
        <v>33</v>
      </c>
      <c r="U81" s="33">
        <v>1238.12</v>
      </c>
      <c r="V81" s="18">
        <v>966.6815</v>
      </c>
      <c r="W81" s="16">
        <f t="shared" si="3"/>
        <v>17953015.48</v>
      </c>
      <c r="X81" s="16"/>
      <c r="Y81" s="16"/>
      <c r="Z81" s="16"/>
      <c r="AA81" s="16"/>
      <c r="AB81" s="16"/>
      <c r="AC81" s="16"/>
      <c r="AD81" s="16"/>
      <c r="AE81" s="16"/>
      <c r="AF81" s="16"/>
      <c r="AG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32"/>
      <c r="M82" s="32"/>
      <c r="N82" s="32"/>
      <c r="O82" s="32"/>
      <c r="P82" s="32"/>
      <c r="Q82" s="33"/>
      <c r="R82" s="36" t="s">
        <v>40</v>
      </c>
      <c r="S82" s="32" t="s">
        <v>36</v>
      </c>
      <c r="T82" s="32" t="s">
        <v>33</v>
      </c>
      <c r="U82" s="33">
        <v>540.3</v>
      </c>
      <c r="V82" s="18">
        <v>397.4792</v>
      </c>
      <c r="W82" s="16">
        <f t="shared" si="3"/>
        <v>3221370.176</v>
      </c>
      <c r="X82" s="16"/>
      <c r="Y82" s="16"/>
      <c r="Z82" s="16"/>
      <c r="AA82" s="16"/>
      <c r="AB82" s="16"/>
      <c r="AC82" s="16"/>
      <c r="AD82" s="16"/>
      <c r="AE82" s="16"/>
      <c r="AF82" s="16"/>
      <c r="AG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32"/>
      <c r="M83" s="32"/>
      <c r="N83" s="32"/>
      <c r="O83" s="32"/>
      <c r="P83" s="32"/>
      <c r="Q83" s="33"/>
      <c r="R83" s="36" t="s">
        <v>40</v>
      </c>
      <c r="S83" s="32" t="s">
        <v>32</v>
      </c>
      <c r="T83" s="32" t="s">
        <v>33</v>
      </c>
      <c r="U83" s="33">
        <v>1578.11</v>
      </c>
      <c r="V83" s="18">
        <v>525.4495</v>
      </c>
      <c r="W83" s="16">
        <f t="shared" si="3"/>
        <v>12438256.66</v>
      </c>
      <c r="X83" s="16"/>
      <c r="Y83" s="16"/>
      <c r="Z83" s="16"/>
      <c r="AA83" s="16"/>
      <c r="AB83" s="16"/>
      <c r="AC83" s="16"/>
      <c r="AD83" s="16"/>
      <c r="AE83" s="16"/>
      <c r="AF83" s="16"/>
      <c r="AG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32"/>
      <c r="M84" s="32"/>
      <c r="N84" s="32"/>
      <c r="O84" s="32"/>
      <c r="P84" s="32"/>
      <c r="Q84" s="33"/>
      <c r="R84" s="36" t="s">
        <v>40</v>
      </c>
      <c r="S84" s="32" t="s">
        <v>38</v>
      </c>
      <c r="T84" s="32" t="s">
        <v>33</v>
      </c>
      <c r="U84" s="33">
        <v>310.92</v>
      </c>
      <c r="V84" s="18">
        <v>176.4669</v>
      </c>
      <c r="W84" s="16">
        <f t="shared" si="3"/>
        <v>823006.3282</v>
      </c>
      <c r="X84" s="16"/>
      <c r="Y84" s="16"/>
      <c r="Z84" s="16"/>
      <c r="AA84" s="16"/>
      <c r="AB84" s="16"/>
      <c r="AC84" s="16"/>
      <c r="AD84" s="16"/>
      <c r="AE84" s="16"/>
      <c r="AF84" s="16"/>
      <c r="AG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32"/>
      <c r="M85" s="32"/>
      <c r="N85" s="32"/>
      <c r="O85" s="32"/>
      <c r="P85" s="32"/>
      <c r="Q85" s="33"/>
      <c r="R85" s="36" t="s">
        <v>40</v>
      </c>
      <c r="S85" s="32" t="s">
        <v>33</v>
      </c>
      <c r="T85" s="32" t="s">
        <v>33</v>
      </c>
      <c r="U85" s="33">
        <v>2948.54</v>
      </c>
      <c r="V85" s="18">
        <v>0.0</v>
      </c>
      <c r="W85" s="16">
        <f t="shared" si="3"/>
        <v>0</v>
      </c>
      <c r="X85" s="16"/>
      <c r="Y85" s="16"/>
      <c r="Z85" s="16"/>
      <c r="AA85" s="16"/>
      <c r="AB85" s="16"/>
      <c r="AC85" s="16"/>
      <c r="AD85" s="16"/>
      <c r="AE85" s="16"/>
      <c r="AF85" s="16"/>
      <c r="AG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32"/>
      <c r="M86" s="32"/>
      <c r="N86" s="32"/>
      <c r="O86" s="32"/>
      <c r="P86" s="32"/>
      <c r="Q86" s="33"/>
      <c r="R86" s="36" t="s">
        <v>40</v>
      </c>
      <c r="S86" s="32" t="s">
        <v>39</v>
      </c>
      <c r="T86" s="32" t="s">
        <v>35</v>
      </c>
      <c r="U86" s="33">
        <v>663.27</v>
      </c>
      <c r="V86" s="18">
        <v>186.18</v>
      </c>
      <c r="W86" s="16">
        <f t="shared" si="3"/>
        <v>1852314.129</v>
      </c>
      <c r="X86" s="16"/>
      <c r="Y86" s="16"/>
      <c r="Z86" s="16"/>
      <c r="AA86" s="16"/>
      <c r="AB86" s="16"/>
      <c r="AC86" s="16"/>
      <c r="AD86" s="16"/>
      <c r="AE86" s="16"/>
      <c r="AF86" s="16"/>
      <c r="AG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32"/>
      <c r="M87" s="32"/>
      <c r="N87" s="32"/>
      <c r="O87" s="32"/>
      <c r="P87" s="32"/>
      <c r="Q87" s="33"/>
      <c r="R87" s="36" t="s">
        <v>40</v>
      </c>
      <c r="S87" s="32" t="s">
        <v>35</v>
      </c>
      <c r="T87" s="32" t="s">
        <v>35</v>
      </c>
      <c r="U87" s="33">
        <v>4287.94</v>
      </c>
      <c r="V87" s="18">
        <v>0.0</v>
      </c>
      <c r="W87" s="16">
        <f t="shared" si="3"/>
        <v>0</v>
      </c>
      <c r="X87" s="16"/>
      <c r="Y87" s="16"/>
      <c r="Z87" s="16"/>
      <c r="AA87" s="16"/>
      <c r="AB87" s="16"/>
      <c r="AC87" s="16"/>
      <c r="AD87" s="16"/>
      <c r="AE87" s="16"/>
      <c r="AF87" s="16"/>
      <c r="AG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32"/>
      <c r="M88" s="32"/>
      <c r="N88" s="32"/>
      <c r="O88" s="32"/>
      <c r="P88" s="32"/>
      <c r="Q88" s="33"/>
      <c r="R88" s="36" t="s">
        <v>40</v>
      </c>
      <c r="S88" s="32" t="s">
        <v>37</v>
      </c>
      <c r="T88" s="32" t="s">
        <v>37</v>
      </c>
      <c r="U88" s="33">
        <v>1785.4</v>
      </c>
      <c r="V88" s="18">
        <v>0.0</v>
      </c>
      <c r="W88" s="16">
        <f t="shared" si="3"/>
        <v>0</v>
      </c>
      <c r="X88" s="16"/>
      <c r="Y88" s="16"/>
      <c r="Z88" s="16"/>
      <c r="AA88" s="16"/>
      <c r="AB88" s="16"/>
      <c r="AC88" s="16"/>
      <c r="AD88" s="16"/>
      <c r="AE88" s="16"/>
      <c r="AF88" s="16"/>
      <c r="AG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32"/>
      <c r="M89" s="32"/>
      <c r="N89" s="32"/>
      <c r="O89" s="32"/>
      <c r="P89" s="32"/>
      <c r="Q89" s="33"/>
      <c r="R89" s="36" t="s">
        <v>37</v>
      </c>
      <c r="S89" s="32" t="s">
        <v>31</v>
      </c>
      <c r="T89" s="32" t="s">
        <v>31</v>
      </c>
      <c r="U89" s="33">
        <v>29981.56</v>
      </c>
      <c r="V89" s="18">
        <v>0.0</v>
      </c>
      <c r="W89" s="16">
        <f t="shared" si="3"/>
        <v>0</v>
      </c>
      <c r="X89" s="16"/>
      <c r="Y89" s="16"/>
      <c r="Z89" s="16"/>
      <c r="AA89" s="16"/>
      <c r="AB89" s="16"/>
      <c r="AC89" s="16"/>
      <c r="AD89" s="16"/>
      <c r="AE89" s="16"/>
      <c r="AF89" s="16"/>
      <c r="AG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32"/>
      <c r="M90" s="32"/>
      <c r="N90" s="32"/>
      <c r="O90" s="32"/>
      <c r="P90" s="32"/>
      <c r="Q90" s="33"/>
      <c r="R90" s="36" t="s">
        <v>37</v>
      </c>
      <c r="S90" s="32" t="s">
        <v>34</v>
      </c>
      <c r="T90" s="32" t="s">
        <v>33</v>
      </c>
      <c r="U90" s="33">
        <v>2231.22</v>
      </c>
      <c r="V90" s="18">
        <v>966.6815</v>
      </c>
      <c r="W90" s="16">
        <f t="shared" si="3"/>
        <v>32353186.45</v>
      </c>
      <c r="X90" s="16"/>
      <c r="Y90" s="16"/>
      <c r="Z90" s="16"/>
      <c r="AA90" s="16"/>
      <c r="AB90" s="16"/>
      <c r="AC90" s="16"/>
      <c r="AD90" s="16"/>
      <c r="AE90" s="16"/>
      <c r="AF90" s="16"/>
      <c r="AG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32"/>
      <c r="M91" s="32"/>
      <c r="N91" s="32"/>
      <c r="O91" s="32"/>
      <c r="P91" s="32"/>
      <c r="Q91" s="33"/>
      <c r="R91" s="36" t="s">
        <v>37</v>
      </c>
      <c r="S91" s="32" t="s">
        <v>36</v>
      </c>
      <c r="T91" s="32" t="s">
        <v>33</v>
      </c>
      <c r="U91" s="33">
        <v>3648.96</v>
      </c>
      <c r="V91" s="18">
        <v>397.4792</v>
      </c>
      <c r="W91" s="16">
        <f t="shared" si="3"/>
        <v>21755785.52</v>
      </c>
      <c r="X91" s="16"/>
      <c r="Y91" s="16"/>
      <c r="Z91" s="16"/>
      <c r="AA91" s="16"/>
      <c r="AB91" s="16"/>
      <c r="AC91" s="16"/>
      <c r="AD91" s="16"/>
      <c r="AE91" s="16"/>
      <c r="AF91" s="16"/>
      <c r="AG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32"/>
      <c r="M92" s="32"/>
      <c r="N92" s="32"/>
      <c r="O92" s="32"/>
      <c r="P92" s="32"/>
      <c r="Q92" s="33"/>
      <c r="R92" s="36" t="s">
        <v>37</v>
      </c>
      <c r="S92" s="32" t="s">
        <v>32</v>
      </c>
      <c r="T92" s="32" t="s">
        <v>33</v>
      </c>
      <c r="U92" s="33">
        <v>35048.12</v>
      </c>
      <c r="V92" s="18">
        <v>525.4495</v>
      </c>
      <c r="W92" s="16">
        <f t="shared" si="3"/>
        <v>276240256.9</v>
      </c>
      <c r="X92" s="16"/>
      <c r="Y92" s="16"/>
      <c r="Z92" s="16"/>
      <c r="AA92" s="16"/>
      <c r="AB92" s="16"/>
      <c r="AC92" s="16"/>
      <c r="AD92" s="16"/>
      <c r="AE92" s="16"/>
      <c r="AF92" s="16"/>
      <c r="AG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32"/>
      <c r="M93" s="32"/>
      <c r="N93" s="32"/>
      <c r="O93" s="32"/>
      <c r="P93" s="32"/>
      <c r="Q93" s="33"/>
      <c r="R93" s="36" t="s">
        <v>37</v>
      </c>
      <c r="S93" s="32" t="s">
        <v>38</v>
      </c>
      <c r="T93" s="32" t="s">
        <v>33</v>
      </c>
      <c r="U93" s="33">
        <v>4802.16</v>
      </c>
      <c r="V93" s="18">
        <v>176.4669</v>
      </c>
      <c r="W93" s="16">
        <f t="shared" si="3"/>
        <v>12711334.33</v>
      </c>
      <c r="X93" s="16"/>
      <c r="Y93" s="16"/>
      <c r="Z93" s="16"/>
      <c r="AA93" s="16"/>
      <c r="AB93" s="16"/>
      <c r="AC93" s="16"/>
      <c r="AD93" s="16"/>
      <c r="AE93" s="16"/>
      <c r="AF93" s="16"/>
      <c r="AG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32"/>
      <c r="M94" s="32"/>
      <c r="N94" s="32"/>
      <c r="O94" s="32"/>
      <c r="P94" s="32"/>
      <c r="Q94" s="33"/>
      <c r="R94" s="36" t="s">
        <v>37</v>
      </c>
      <c r="S94" s="32" t="s">
        <v>33</v>
      </c>
      <c r="T94" s="32" t="s">
        <v>33</v>
      </c>
      <c r="U94" s="33">
        <v>19692.68</v>
      </c>
      <c r="V94" s="18">
        <v>0.0</v>
      </c>
      <c r="W94" s="16">
        <f t="shared" si="3"/>
        <v>0</v>
      </c>
      <c r="X94" s="16"/>
      <c r="Y94" s="16"/>
      <c r="Z94" s="16"/>
      <c r="AA94" s="16"/>
      <c r="AB94" s="16"/>
      <c r="AC94" s="16"/>
      <c r="AD94" s="16"/>
      <c r="AE94" s="16"/>
      <c r="AF94" s="16"/>
      <c r="AG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32"/>
      <c r="M95" s="32"/>
      <c r="N95" s="32"/>
      <c r="O95" s="32"/>
      <c r="P95" s="32"/>
      <c r="Q95" s="33"/>
      <c r="R95" s="36" t="s">
        <v>37</v>
      </c>
      <c r="S95" s="32" t="s">
        <v>39</v>
      </c>
      <c r="T95" s="32" t="s">
        <v>35</v>
      </c>
      <c r="U95" s="33">
        <v>4405.52</v>
      </c>
      <c r="V95" s="18">
        <v>186.18</v>
      </c>
      <c r="W95" s="16">
        <f t="shared" si="3"/>
        <v>12303295.7</v>
      </c>
      <c r="X95" s="16"/>
      <c r="Y95" s="16"/>
      <c r="Z95" s="16"/>
      <c r="AA95" s="16"/>
      <c r="AB95" s="16"/>
      <c r="AC95" s="16"/>
      <c r="AD95" s="16"/>
      <c r="AE95" s="16"/>
      <c r="AF95" s="16"/>
      <c r="AG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32"/>
      <c r="M96" s="32"/>
      <c r="N96" s="32"/>
      <c r="O96" s="32"/>
      <c r="P96" s="32"/>
      <c r="Q96" s="33"/>
      <c r="R96" s="36" t="s">
        <v>37</v>
      </c>
      <c r="S96" s="32" t="s">
        <v>35</v>
      </c>
      <c r="T96" s="32" t="s">
        <v>35</v>
      </c>
      <c r="U96" s="33">
        <v>51923.64</v>
      </c>
      <c r="V96" s="18">
        <v>0.0</v>
      </c>
      <c r="W96" s="16">
        <f t="shared" si="3"/>
        <v>0</v>
      </c>
      <c r="X96" s="16"/>
      <c r="Y96" s="16"/>
      <c r="Z96" s="16"/>
      <c r="AA96" s="16"/>
      <c r="AB96" s="16"/>
      <c r="AC96" s="16"/>
      <c r="AD96" s="16"/>
      <c r="AE96" s="16"/>
      <c r="AF96" s="16"/>
      <c r="AG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32"/>
      <c r="M97" s="32"/>
      <c r="N97" s="32"/>
      <c r="O97" s="32"/>
      <c r="P97" s="32"/>
      <c r="Q97" s="33"/>
      <c r="R97" s="36" t="s">
        <v>37</v>
      </c>
      <c r="S97" s="32" t="s">
        <v>40</v>
      </c>
      <c r="T97" s="32" t="s">
        <v>37</v>
      </c>
      <c r="U97" s="33">
        <v>4601.38</v>
      </c>
      <c r="V97" s="18">
        <v>256.303</v>
      </c>
      <c r="W97" s="16">
        <f t="shared" si="3"/>
        <v>17690212.47</v>
      </c>
      <c r="X97" s="16"/>
      <c r="Y97" s="16"/>
      <c r="Z97" s="16"/>
      <c r="AA97" s="16"/>
      <c r="AB97" s="16"/>
      <c r="AC97" s="16"/>
      <c r="AD97" s="16"/>
      <c r="AE97" s="16"/>
      <c r="AF97" s="16"/>
      <c r="AG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32"/>
      <c r="M98" s="32"/>
      <c r="N98" s="32"/>
      <c r="O98" s="32"/>
      <c r="P98" s="32"/>
      <c r="Q98" s="33"/>
      <c r="R98" s="24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32"/>
      <c r="M99" s="32"/>
      <c r="N99" s="32"/>
      <c r="O99" s="32"/>
      <c r="P99" s="32"/>
      <c r="Q99" s="33"/>
      <c r="R99" s="24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32"/>
      <c r="M100" s="32"/>
      <c r="N100" s="32"/>
      <c r="O100" s="32"/>
      <c r="P100" s="32"/>
      <c r="Q100" s="33"/>
      <c r="R100" s="24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32"/>
      <c r="M101" s="32"/>
      <c r="N101" s="32"/>
      <c r="O101" s="32"/>
      <c r="P101" s="32"/>
      <c r="Q101" s="33"/>
      <c r="R101" s="24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32"/>
      <c r="M102" s="32"/>
      <c r="N102" s="32"/>
      <c r="O102" s="32"/>
      <c r="P102" s="32"/>
      <c r="Q102" s="33"/>
      <c r="R102" s="24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32"/>
      <c r="M103" s="32"/>
      <c r="N103" s="32"/>
      <c r="O103" s="32"/>
      <c r="P103" s="32"/>
      <c r="Q103" s="33"/>
      <c r="R103" s="24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32"/>
      <c r="M104" s="32"/>
      <c r="N104" s="32"/>
      <c r="O104" s="32"/>
      <c r="P104" s="32"/>
      <c r="Q104" s="33"/>
      <c r="R104" s="24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32"/>
      <c r="M105" s="32"/>
      <c r="N105" s="32"/>
      <c r="O105" s="32"/>
      <c r="P105" s="32"/>
      <c r="Q105" s="33"/>
      <c r="R105" s="24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32"/>
      <c r="M106" s="32"/>
      <c r="N106" s="32"/>
      <c r="O106" s="32"/>
      <c r="P106" s="32"/>
      <c r="Q106" s="33"/>
      <c r="R106" s="24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32"/>
      <c r="M107" s="32"/>
      <c r="N107" s="32"/>
      <c r="O107" s="32"/>
      <c r="P107" s="32"/>
      <c r="Q107" s="33"/>
      <c r="R107" s="24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32"/>
      <c r="M108" s="32"/>
      <c r="N108" s="32"/>
      <c r="O108" s="32"/>
      <c r="P108" s="32"/>
      <c r="Q108" s="33"/>
      <c r="R108" s="24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32"/>
      <c r="M109" s="32"/>
      <c r="N109" s="32"/>
      <c r="O109" s="32"/>
      <c r="P109" s="32"/>
      <c r="Q109" s="33"/>
      <c r="R109" s="24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32"/>
      <c r="M110" s="32"/>
      <c r="N110" s="32"/>
      <c r="O110" s="32"/>
      <c r="P110" s="32"/>
      <c r="Q110" s="33"/>
      <c r="R110" s="24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32"/>
      <c r="M111" s="32"/>
      <c r="N111" s="32"/>
      <c r="O111" s="32"/>
      <c r="P111" s="32"/>
      <c r="Q111" s="33"/>
      <c r="R111" s="24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</row>
    <row r="100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</row>
    <row r="1002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6"/>
    </row>
  </sheetData>
  <mergeCells count="5">
    <mergeCell ref="A6:B6"/>
    <mergeCell ref="D6:F6"/>
    <mergeCell ref="K6:N6"/>
    <mergeCell ref="R6:U6"/>
    <mergeCell ref="Y6:AD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34.25"/>
    <col customWidth="1" min="3" max="4" width="14.75"/>
    <col customWidth="1" min="5" max="7" width="17.25"/>
    <col customWidth="1" min="8" max="8" width="44.25"/>
    <col customWidth="1" min="10" max="10" width="22.38"/>
    <col customWidth="1" min="11" max="11" width="22.0"/>
    <col customWidth="1" min="13" max="13" width="15.88"/>
  </cols>
  <sheetData>
    <row r="1">
      <c r="A1" s="18"/>
      <c r="B1" s="18"/>
      <c r="C1" s="16"/>
      <c r="D1" s="16"/>
      <c r="E1" s="18" t="s">
        <v>50</v>
      </c>
      <c r="F1" s="18" t="s">
        <v>51</v>
      </c>
      <c r="G1" s="18" t="s">
        <v>52</v>
      </c>
      <c r="H1" s="16"/>
      <c r="I1" s="16"/>
      <c r="J1" s="18" t="s">
        <v>3</v>
      </c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>
      <c r="A2" s="16"/>
      <c r="B2" s="16"/>
      <c r="C2" s="18"/>
      <c r="D2" s="18" t="s">
        <v>11</v>
      </c>
      <c r="E2" s="19">
        <f>sum(I9:I37)</f>
        <v>9313978460420</v>
      </c>
      <c r="F2" s="19">
        <f>sum(Q9:Q131)</f>
        <v>5179905733031</v>
      </c>
      <c r="G2" s="20">
        <f>sum(X9:X561)</f>
        <v>8660391495484</v>
      </c>
      <c r="H2" s="19">
        <f>sum(E2:G2)+sum(E4:F4)</f>
        <v>27249275688935</v>
      </c>
      <c r="I2" s="19"/>
      <c r="J2" s="29">
        <v>4.70006253578594E16</v>
      </c>
      <c r="K2" s="19">
        <f>H2-J2</f>
        <v>-4.69734E+16</v>
      </c>
      <c r="L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</row>
    <row r="3">
      <c r="A3" s="18" t="s">
        <v>106</v>
      </c>
      <c r="B3" s="20">
        <v>5.0E11</v>
      </c>
      <c r="E3" s="16"/>
      <c r="F3" s="16"/>
      <c r="G3" s="16"/>
      <c r="H3" s="18"/>
      <c r="I3" s="18"/>
      <c r="J3" s="18"/>
      <c r="K3" s="18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</row>
    <row r="4">
      <c r="A4" s="18" t="s">
        <v>107</v>
      </c>
      <c r="B4" s="20">
        <v>5.5E10</v>
      </c>
      <c r="E4" s="19">
        <f>sum(C9:C32)</f>
        <v>2500000000000</v>
      </c>
      <c r="F4" s="19">
        <f>sum(D9:D32)+sum(D41:D316)</f>
        <v>1595000000000</v>
      </c>
      <c r="G4" s="16"/>
      <c r="H4" s="18" t="s">
        <v>54</v>
      </c>
      <c r="I4" s="18"/>
      <c r="J4" s="18"/>
      <c r="K4" s="18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</row>
    <row r="5">
      <c r="A5" s="18" t="s">
        <v>16</v>
      </c>
      <c r="B5" s="18">
        <v>0.2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</row>
    <row r="6">
      <c r="A6" s="18"/>
      <c r="B6" s="18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</row>
    <row r="7">
      <c r="A7" s="21" t="s">
        <v>17</v>
      </c>
      <c r="C7" s="16"/>
      <c r="D7" s="16"/>
      <c r="E7" s="21" t="s">
        <v>55</v>
      </c>
      <c r="H7" s="16"/>
      <c r="I7" s="16"/>
      <c r="J7" s="16"/>
      <c r="K7" s="16"/>
      <c r="L7" s="21" t="s">
        <v>103</v>
      </c>
      <c r="P7" s="21"/>
      <c r="Q7" s="21"/>
      <c r="R7" s="16"/>
      <c r="S7" s="21" t="s">
        <v>57</v>
      </c>
      <c r="W7" s="16"/>
      <c r="X7" s="16"/>
      <c r="Y7" s="16"/>
      <c r="Z7" s="25" t="s">
        <v>41</v>
      </c>
      <c r="AA7" s="26"/>
      <c r="AB7" s="26"/>
      <c r="AC7" s="26"/>
      <c r="AD7" s="26"/>
      <c r="AE7" s="6"/>
      <c r="AF7" s="16"/>
      <c r="AK7" s="31"/>
      <c r="AL7" s="31"/>
    </row>
    <row r="8">
      <c r="A8" s="77" t="s">
        <v>21</v>
      </c>
      <c r="B8" s="77" t="s">
        <v>22</v>
      </c>
      <c r="C8" s="18" t="s">
        <v>108</v>
      </c>
      <c r="D8" s="18" t="s">
        <v>109</v>
      </c>
      <c r="E8" s="30" t="s">
        <v>23</v>
      </c>
      <c r="F8" s="30" t="s">
        <v>17</v>
      </c>
      <c r="G8" s="30" t="s">
        <v>27</v>
      </c>
      <c r="H8" s="18" t="s">
        <v>104</v>
      </c>
      <c r="I8" s="18" t="s">
        <v>108</v>
      </c>
      <c r="J8" s="18"/>
      <c r="K8" s="18"/>
      <c r="L8" s="30" t="s">
        <v>97</v>
      </c>
      <c r="M8" s="30" t="s">
        <v>98</v>
      </c>
      <c r="N8" s="30" t="s">
        <v>99</v>
      </c>
      <c r="O8" s="30" t="s">
        <v>105</v>
      </c>
      <c r="P8" s="31" t="s">
        <v>101</v>
      </c>
      <c r="Q8" s="31" t="s">
        <v>108</v>
      </c>
      <c r="R8" s="31"/>
      <c r="S8" s="30" t="s">
        <v>23</v>
      </c>
      <c r="T8" s="30" t="s">
        <v>30</v>
      </c>
      <c r="U8" s="30" t="s">
        <v>17</v>
      </c>
      <c r="V8" s="30" t="s">
        <v>27</v>
      </c>
      <c r="W8" s="18" t="s">
        <v>104</v>
      </c>
      <c r="X8" s="18" t="s">
        <v>108</v>
      </c>
      <c r="Y8" s="16"/>
      <c r="Z8" s="27" t="s">
        <v>42</v>
      </c>
      <c r="AA8" s="27" t="s">
        <v>43</v>
      </c>
      <c r="AB8" s="27" t="s">
        <v>44</v>
      </c>
      <c r="AC8" s="27" t="s">
        <v>45</v>
      </c>
      <c r="AD8" s="27" t="s">
        <v>46</v>
      </c>
      <c r="AE8" s="27" t="s">
        <v>47</v>
      </c>
      <c r="AF8" s="16"/>
      <c r="AK8" s="33"/>
      <c r="AL8" s="33"/>
    </row>
    <row r="9">
      <c r="A9" s="78" t="s">
        <v>31</v>
      </c>
      <c r="B9" s="78">
        <v>0.0</v>
      </c>
      <c r="C9" s="18">
        <f t="shared" ref="C9:C32" si="1">B9*$B$3</f>
        <v>0</v>
      </c>
      <c r="D9" s="20">
        <f t="shared" ref="D9:D32" si="2">$B$4</f>
        <v>55000000000</v>
      </c>
      <c r="E9" s="32" t="s">
        <v>31</v>
      </c>
      <c r="F9" s="32" t="s">
        <v>33</v>
      </c>
      <c r="G9" s="75">
        <v>219823.16</v>
      </c>
      <c r="H9" s="76">
        <v>1362.6505</v>
      </c>
      <c r="I9" s="79">
        <v>1.27451E12</v>
      </c>
      <c r="J9" s="18"/>
      <c r="K9" s="18"/>
      <c r="L9" s="32" t="s">
        <v>31</v>
      </c>
      <c r="M9" s="32" t="s">
        <v>33</v>
      </c>
      <c r="N9" s="32" t="s">
        <v>35</v>
      </c>
      <c r="O9" s="33">
        <v>99814.84</v>
      </c>
      <c r="P9" s="18">
        <v>475.5078</v>
      </c>
      <c r="Q9" s="33">
        <v>4.0389360452E10</v>
      </c>
      <c r="R9" s="33"/>
      <c r="S9" s="32" t="s">
        <v>31</v>
      </c>
      <c r="T9" s="32" t="s">
        <v>34</v>
      </c>
      <c r="U9" s="32" t="s">
        <v>33</v>
      </c>
      <c r="V9" s="33">
        <v>1460.8</v>
      </c>
      <c r="W9" s="18">
        <v>966.6815</v>
      </c>
      <c r="X9" s="18">
        <v>6.008393992E9</v>
      </c>
      <c r="Y9" s="16"/>
      <c r="Z9" s="27" t="s">
        <v>31</v>
      </c>
      <c r="AA9" s="27" t="s">
        <v>37</v>
      </c>
      <c r="AB9" s="27" t="s">
        <v>32</v>
      </c>
      <c r="AC9" s="27" t="s">
        <v>48</v>
      </c>
      <c r="AD9" s="27" t="s">
        <v>37</v>
      </c>
      <c r="AE9" s="27" t="s">
        <v>49</v>
      </c>
      <c r="AF9" s="16"/>
      <c r="AK9" s="33"/>
      <c r="AL9" s="33"/>
    </row>
    <row r="10">
      <c r="A10" s="78" t="s">
        <v>34</v>
      </c>
      <c r="B10" s="78">
        <v>0.0</v>
      </c>
      <c r="C10" s="18">
        <f t="shared" si="1"/>
        <v>0</v>
      </c>
      <c r="D10" s="20">
        <f t="shared" si="2"/>
        <v>55000000000</v>
      </c>
      <c r="E10" s="32" t="s">
        <v>34</v>
      </c>
      <c r="F10" s="32" t="s">
        <v>33</v>
      </c>
      <c r="G10" s="33">
        <v>113722.62</v>
      </c>
      <c r="H10" s="18">
        <v>966.6815</v>
      </c>
      <c r="I10" s="79">
        <v>4.67751E11</v>
      </c>
      <c r="J10" s="18"/>
      <c r="K10" s="18"/>
      <c r="L10" s="32" t="s">
        <v>31</v>
      </c>
      <c r="M10" s="32" t="s">
        <v>33</v>
      </c>
      <c r="N10" s="32" t="s">
        <v>64</v>
      </c>
      <c r="O10" s="33">
        <v>89668.72</v>
      </c>
      <c r="P10" s="18">
        <v>894.5228</v>
      </c>
      <c r="Q10" s="33">
        <v>6.8256908217E10</v>
      </c>
      <c r="R10" s="33"/>
      <c r="S10" s="32" t="s">
        <v>31</v>
      </c>
      <c r="T10" s="32" t="s">
        <v>36</v>
      </c>
      <c r="U10" s="32" t="s">
        <v>33</v>
      </c>
      <c r="V10" s="33">
        <v>1864.4</v>
      </c>
      <c r="W10" s="18">
        <v>397.4792</v>
      </c>
      <c r="X10" s="18">
        <v>3.153099705E9</v>
      </c>
      <c r="Y10" s="16"/>
      <c r="Z10" s="27" t="s">
        <v>36</v>
      </c>
      <c r="AA10" s="27" t="s">
        <v>35</v>
      </c>
      <c r="AB10" s="27" t="s">
        <v>35</v>
      </c>
      <c r="AC10" s="27" t="s">
        <v>60</v>
      </c>
      <c r="AD10" s="27" t="s">
        <v>35</v>
      </c>
      <c r="AE10" s="27" t="s">
        <v>49</v>
      </c>
      <c r="AF10" s="16"/>
      <c r="AK10" s="33"/>
      <c r="AL10" s="33"/>
    </row>
    <row r="11">
      <c r="A11" s="78" t="s">
        <v>36</v>
      </c>
      <c r="B11" s="78">
        <v>0.0</v>
      </c>
      <c r="C11" s="18">
        <f t="shared" si="1"/>
        <v>0</v>
      </c>
      <c r="D11" s="20">
        <f t="shared" si="2"/>
        <v>55000000000</v>
      </c>
      <c r="E11" s="32" t="s">
        <v>36</v>
      </c>
      <c r="F11" s="32" t="s">
        <v>33</v>
      </c>
      <c r="G11" s="33">
        <v>127542.2</v>
      </c>
      <c r="H11" s="18">
        <v>397.4792</v>
      </c>
      <c r="I11" s="79">
        <v>2.15701E11</v>
      </c>
      <c r="J11" s="18"/>
      <c r="K11" s="18"/>
      <c r="L11" s="32" t="s">
        <v>31</v>
      </c>
      <c r="M11" s="32" t="s">
        <v>64</v>
      </c>
      <c r="N11" s="32" t="s">
        <v>63</v>
      </c>
      <c r="O11" s="33">
        <v>89668.72</v>
      </c>
      <c r="P11" s="18">
        <v>197.4577</v>
      </c>
      <c r="Q11" s="33">
        <v>1.7598160367E10</v>
      </c>
      <c r="R11" s="33"/>
      <c r="S11" s="32" t="s">
        <v>31</v>
      </c>
      <c r="T11" s="32" t="s">
        <v>32</v>
      </c>
      <c r="U11" s="32" t="s">
        <v>33</v>
      </c>
      <c r="V11" s="33">
        <v>11535.68</v>
      </c>
      <c r="W11" s="18">
        <v>525.4495</v>
      </c>
      <c r="X11" s="18">
        <v>2.5790422438E10</v>
      </c>
      <c r="Y11" s="16"/>
      <c r="Z11" s="27" t="s">
        <v>38</v>
      </c>
      <c r="AA11" s="27" t="s">
        <v>33</v>
      </c>
      <c r="AB11" s="27" t="s">
        <v>33</v>
      </c>
      <c r="AC11" s="27" t="s">
        <v>60</v>
      </c>
      <c r="AD11" s="27" t="s">
        <v>33</v>
      </c>
      <c r="AE11" s="27" t="s">
        <v>49</v>
      </c>
      <c r="AF11" s="16"/>
      <c r="AK11" s="33"/>
      <c r="AL11" s="33"/>
    </row>
    <row r="12">
      <c r="A12" s="78" t="s">
        <v>32</v>
      </c>
      <c r="B12" s="78">
        <v>0.0</v>
      </c>
      <c r="C12" s="18">
        <f t="shared" si="1"/>
        <v>0</v>
      </c>
      <c r="D12" s="20">
        <f t="shared" si="2"/>
        <v>55000000000</v>
      </c>
      <c r="E12" s="32" t="s">
        <v>32</v>
      </c>
      <c r="F12" s="32" t="s">
        <v>33</v>
      </c>
      <c r="G12" s="33">
        <v>149109.44</v>
      </c>
      <c r="H12" s="18">
        <v>525.4495</v>
      </c>
      <c r="I12" s="79">
        <v>3.33365E11</v>
      </c>
      <c r="J12" s="18"/>
      <c r="K12" s="18"/>
      <c r="L12" s="32" t="s">
        <v>31</v>
      </c>
      <c r="M12" s="32" t="s">
        <v>63</v>
      </c>
      <c r="N12" s="32" t="s">
        <v>66</v>
      </c>
      <c r="O12" s="33">
        <v>21022.32</v>
      </c>
      <c r="P12" s="18">
        <v>424.516</v>
      </c>
      <c r="Q12" s="33">
        <v>5.948302863E9</v>
      </c>
      <c r="R12" s="33"/>
      <c r="S12" s="32" t="s">
        <v>31</v>
      </c>
      <c r="T12" s="32" t="s">
        <v>38</v>
      </c>
      <c r="U12" s="32" t="s">
        <v>33</v>
      </c>
      <c r="V12" s="33">
        <v>2464.44</v>
      </c>
      <c r="W12" s="18">
        <v>176.4669</v>
      </c>
      <c r="X12" s="18">
        <v>1.850400765E9</v>
      </c>
      <c r="Y12" s="16"/>
      <c r="Z12" s="27" t="s">
        <v>39</v>
      </c>
      <c r="AA12" s="27" t="s">
        <v>32</v>
      </c>
      <c r="AB12" s="27" t="s">
        <v>32</v>
      </c>
      <c r="AC12" s="27" t="s">
        <v>60</v>
      </c>
      <c r="AD12" s="27" t="s">
        <v>32</v>
      </c>
      <c r="AE12" s="27" t="s">
        <v>49</v>
      </c>
      <c r="AF12" s="16"/>
      <c r="AK12" s="33"/>
      <c r="AL12" s="33"/>
    </row>
    <row r="13">
      <c r="A13" s="78" t="s">
        <v>38</v>
      </c>
      <c r="B13" s="78">
        <v>0.0</v>
      </c>
      <c r="C13" s="18">
        <f t="shared" si="1"/>
        <v>0</v>
      </c>
      <c r="D13" s="20">
        <f t="shared" si="2"/>
        <v>55000000000</v>
      </c>
      <c r="E13" s="32" t="s">
        <v>38</v>
      </c>
      <c r="F13" s="32" t="s">
        <v>33</v>
      </c>
      <c r="G13" s="33">
        <v>92596.28</v>
      </c>
      <c r="H13" s="18">
        <v>176.4669</v>
      </c>
      <c r="I13" s="18">
        <v>6.9525014752E10</v>
      </c>
      <c r="J13" s="18"/>
      <c r="K13" s="18"/>
      <c r="L13" s="32" t="s">
        <v>31</v>
      </c>
      <c r="M13" s="32" t="s">
        <v>63</v>
      </c>
      <c r="N13" s="32" t="s">
        <v>72</v>
      </c>
      <c r="O13" s="33">
        <v>14268.56</v>
      </c>
      <c r="P13" s="18">
        <v>1497.2162</v>
      </c>
      <c r="Q13" s="33">
        <v>1.4239117068E10</v>
      </c>
      <c r="R13" s="33"/>
      <c r="S13" s="32" t="s">
        <v>31</v>
      </c>
      <c r="T13" s="32" t="s">
        <v>33</v>
      </c>
      <c r="U13" s="32" t="s">
        <v>33</v>
      </c>
      <c r="V13" s="33">
        <v>7952.0</v>
      </c>
      <c r="W13" s="18">
        <v>0.0</v>
      </c>
      <c r="X13" s="18">
        <v>0.0</v>
      </c>
      <c r="Y13" s="16"/>
      <c r="Z13" s="27" t="s">
        <v>40</v>
      </c>
      <c r="AA13" s="27" t="s">
        <v>34</v>
      </c>
      <c r="AB13" s="27" t="s">
        <v>35</v>
      </c>
      <c r="AC13" s="27" t="s">
        <v>48</v>
      </c>
      <c r="AD13" s="27" t="s">
        <v>32</v>
      </c>
      <c r="AE13" s="27" t="s">
        <v>49</v>
      </c>
      <c r="AF13" s="16"/>
      <c r="AK13" s="33"/>
      <c r="AL13" s="33"/>
    </row>
    <row r="14">
      <c r="A14" s="78" t="s">
        <v>33</v>
      </c>
      <c r="B14" s="78">
        <v>1.0</v>
      </c>
      <c r="C14" s="18">
        <f t="shared" si="1"/>
        <v>500000000000</v>
      </c>
      <c r="D14" s="20">
        <f t="shared" si="2"/>
        <v>55000000000</v>
      </c>
      <c r="E14" s="32" t="s">
        <v>33</v>
      </c>
      <c r="F14" s="32" t="s">
        <v>33</v>
      </c>
      <c r="G14" s="33">
        <v>356464.08</v>
      </c>
      <c r="H14" s="18">
        <v>0.0</v>
      </c>
      <c r="I14" s="18">
        <v>0.0</v>
      </c>
      <c r="J14" s="18"/>
      <c r="K14" s="18"/>
      <c r="L14" s="32" t="s">
        <v>34</v>
      </c>
      <c r="M14" s="32" t="s">
        <v>33</v>
      </c>
      <c r="N14" s="32" t="s">
        <v>35</v>
      </c>
      <c r="O14" s="33">
        <v>16491.14</v>
      </c>
      <c r="P14" s="18">
        <v>475.5078</v>
      </c>
      <c r="Q14" s="33">
        <v>6.673021744E9</v>
      </c>
      <c r="R14" s="33"/>
      <c r="S14" s="32" t="s">
        <v>31</v>
      </c>
      <c r="T14" s="32" t="s">
        <v>39</v>
      </c>
      <c r="U14" s="32" t="s">
        <v>35</v>
      </c>
      <c r="V14" s="33">
        <v>2382.68</v>
      </c>
      <c r="W14" s="18">
        <v>186.18</v>
      </c>
      <c r="X14" s="18">
        <v>1.887482629E9</v>
      </c>
      <c r="Y14" s="16"/>
      <c r="Z14" s="16"/>
      <c r="AA14" s="16"/>
      <c r="AB14" s="16"/>
      <c r="AC14" s="16"/>
      <c r="AD14" s="16"/>
      <c r="AE14" s="16"/>
      <c r="AF14" s="16"/>
      <c r="AK14" s="33"/>
      <c r="AL14" s="33"/>
    </row>
    <row r="15">
      <c r="A15" s="78" t="s">
        <v>39</v>
      </c>
      <c r="B15" s="78">
        <v>0.0</v>
      </c>
      <c r="C15" s="18">
        <f t="shared" si="1"/>
        <v>0</v>
      </c>
      <c r="D15" s="20">
        <f t="shared" si="2"/>
        <v>55000000000</v>
      </c>
      <c r="E15" s="32" t="s">
        <v>39</v>
      </c>
      <c r="F15" s="32" t="s">
        <v>35</v>
      </c>
      <c r="G15" s="33">
        <v>314649.32</v>
      </c>
      <c r="H15" s="18">
        <v>186.18</v>
      </c>
      <c r="I15" s="79">
        <v>2.49255E11</v>
      </c>
      <c r="J15" s="18"/>
      <c r="K15" s="18"/>
      <c r="L15" s="32" t="s">
        <v>34</v>
      </c>
      <c r="M15" s="32" t="s">
        <v>33</v>
      </c>
      <c r="N15" s="32" t="s">
        <v>64</v>
      </c>
      <c r="O15" s="33">
        <v>79640.84</v>
      </c>
      <c r="P15" s="18">
        <v>894.5228</v>
      </c>
      <c r="Q15" s="33">
        <v>6.0623565344E10</v>
      </c>
      <c r="R15" s="16"/>
      <c r="S15" s="32" t="s">
        <v>31</v>
      </c>
      <c r="T15" s="32" t="s">
        <v>35</v>
      </c>
      <c r="U15" s="32" t="s">
        <v>35</v>
      </c>
      <c r="V15" s="33">
        <v>24726.24</v>
      </c>
      <c r="W15" s="18">
        <v>0.0</v>
      </c>
      <c r="X15" s="18">
        <v>0.0</v>
      </c>
      <c r="Y15" s="16"/>
      <c r="Z15" s="16"/>
      <c r="AA15" s="16"/>
      <c r="AB15" s="16"/>
      <c r="AC15" s="16"/>
      <c r="AD15" s="16"/>
      <c r="AE15" s="16"/>
      <c r="AF15" s="16"/>
      <c r="AK15" s="33"/>
      <c r="AL15" s="33"/>
    </row>
    <row r="16">
      <c r="A16" s="78" t="s">
        <v>35</v>
      </c>
      <c r="B16" s="78">
        <v>1.0</v>
      </c>
      <c r="C16" s="18">
        <f t="shared" si="1"/>
        <v>500000000000</v>
      </c>
      <c r="D16" s="20">
        <f t="shared" si="2"/>
        <v>55000000000</v>
      </c>
      <c r="E16" s="32" t="s">
        <v>35</v>
      </c>
      <c r="F16" s="32" t="s">
        <v>35</v>
      </c>
      <c r="G16" s="33">
        <v>1366604.92</v>
      </c>
      <c r="H16" s="18">
        <v>0.0</v>
      </c>
      <c r="I16" s="18">
        <v>0.0</v>
      </c>
      <c r="J16" s="18"/>
      <c r="K16" s="18"/>
      <c r="L16" s="32" t="s">
        <v>34</v>
      </c>
      <c r="M16" s="32" t="s">
        <v>64</v>
      </c>
      <c r="N16" s="32" t="s">
        <v>63</v>
      </c>
      <c r="O16" s="33">
        <v>79640.84</v>
      </c>
      <c r="P16" s="18">
        <v>197.4577</v>
      </c>
      <c r="Q16" s="33">
        <v>1.5630113535E10</v>
      </c>
      <c r="R16" s="18"/>
      <c r="S16" s="32" t="s">
        <v>31</v>
      </c>
      <c r="T16" s="32" t="s">
        <v>40</v>
      </c>
      <c r="U16" s="32" t="s">
        <v>35</v>
      </c>
      <c r="V16" s="33">
        <v>2266.6</v>
      </c>
      <c r="W16" s="18">
        <v>403.0102</v>
      </c>
      <c r="X16" s="18">
        <v>3.886647833E9</v>
      </c>
      <c r="Y16" s="16"/>
      <c r="Z16" s="16"/>
      <c r="AA16" s="16"/>
      <c r="AB16" s="16"/>
      <c r="AC16" s="16"/>
      <c r="AD16" s="16"/>
      <c r="AE16" s="16"/>
      <c r="AF16" s="16"/>
      <c r="AK16" s="33"/>
      <c r="AL16" s="33"/>
    </row>
    <row r="17">
      <c r="A17" s="78" t="s">
        <v>40</v>
      </c>
      <c r="B17" s="78">
        <v>0.0</v>
      </c>
      <c r="C17" s="18">
        <f t="shared" si="1"/>
        <v>0</v>
      </c>
      <c r="D17" s="20">
        <f t="shared" si="2"/>
        <v>55000000000</v>
      </c>
      <c r="E17" s="32" t="s">
        <v>40</v>
      </c>
      <c r="F17" s="32" t="s">
        <v>35</v>
      </c>
      <c r="G17" s="33">
        <v>42730.01</v>
      </c>
      <c r="H17" s="18">
        <v>403.0102</v>
      </c>
      <c r="I17" s="18">
        <v>7.3271199487E10</v>
      </c>
      <c r="J17" s="18"/>
      <c r="K17" s="18"/>
      <c r="L17" s="32" t="s">
        <v>34</v>
      </c>
      <c r="M17" s="32" t="s">
        <v>63</v>
      </c>
      <c r="N17" s="32" t="s">
        <v>66</v>
      </c>
      <c r="O17" s="33">
        <v>24288.99</v>
      </c>
      <c r="P17" s="18">
        <v>424.516</v>
      </c>
      <c r="Q17" s="33">
        <v>6.872612954E9</v>
      </c>
      <c r="R17" s="18"/>
      <c r="S17" s="32" t="s">
        <v>31</v>
      </c>
      <c r="T17" s="32" t="s">
        <v>37</v>
      </c>
      <c r="U17" s="32" t="s">
        <v>35</v>
      </c>
      <c r="V17" s="33">
        <v>70439.32</v>
      </c>
      <c r="W17" s="18">
        <v>658.2451</v>
      </c>
      <c r="X17" s="79">
        <v>1.97282E11</v>
      </c>
      <c r="Y17" s="16"/>
      <c r="Z17" s="16"/>
      <c r="AA17" s="16"/>
      <c r="AB17" s="16"/>
      <c r="AC17" s="16"/>
      <c r="AD17" s="16"/>
      <c r="AE17" s="16"/>
      <c r="AF17" s="16"/>
      <c r="AK17" s="33"/>
      <c r="AL17" s="33"/>
    </row>
    <row r="18">
      <c r="A18" s="78" t="s">
        <v>37</v>
      </c>
      <c r="B18" s="78">
        <v>0.0</v>
      </c>
      <c r="C18" s="18">
        <f t="shared" si="1"/>
        <v>0</v>
      </c>
      <c r="D18" s="20">
        <f t="shared" si="2"/>
        <v>55000000000</v>
      </c>
      <c r="E18" s="32" t="s">
        <v>37</v>
      </c>
      <c r="F18" s="32" t="s">
        <v>35</v>
      </c>
      <c r="G18" s="33">
        <v>171260.44</v>
      </c>
      <c r="H18" s="18">
        <v>658.2451</v>
      </c>
      <c r="I18" s="79">
        <v>4.79655E11</v>
      </c>
      <c r="J18" s="18"/>
      <c r="K18" s="18"/>
      <c r="L18" s="32" t="s">
        <v>34</v>
      </c>
      <c r="M18" s="32" t="s">
        <v>63</v>
      </c>
      <c r="N18" s="32" t="s">
        <v>72</v>
      </c>
      <c r="O18" s="33">
        <v>12204.63</v>
      </c>
      <c r="P18" s="18">
        <v>1497.2162</v>
      </c>
      <c r="Q18" s="33">
        <v>1.2179445953E10</v>
      </c>
      <c r="R18" s="18"/>
      <c r="S18" s="32" t="s">
        <v>31</v>
      </c>
      <c r="T18" s="32" t="s">
        <v>62</v>
      </c>
      <c r="U18" s="32" t="s">
        <v>33</v>
      </c>
      <c r="V18" s="33">
        <v>5062.28</v>
      </c>
      <c r="W18" s="18">
        <v>541.8429</v>
      </c>
      <c r="X18" s="18">
        <v>1.1670886339E10</v>
      </c>
      <c r="Y18" s="16"/>
      <c r="Z18" s="16"/>
      <c r="AA18" s="16"/>
      <c r="AB18" s="16"/>
      <c r="AC18" s="16"/>
      <c r="AD18" s="16"/>
      <c r="AE18" s="16"/>
      <c r="AF18" s="16"/>
      <c r="AK18" s="33"/>
      <c r="AL18" s="33"/>
    </row>
    <row r="19">
      <c r="A19" s="78" t="s">
        <v>62</v>
      </c>
      <c r="B19" s="78">
        <v>0.0</v>
      </c>
      <c r="C19" s="18">
        <f t="shared" si="1"/>
        <v>0</v>
      </c>
      <c r="D19" s="20">
        <f t="shared" si="2"/>
        <v>55000000000</v>
      </c>
      <c r="E19" s="32" t="s">
        <v>37</v>
      </c>
      <c r="F19" s="32" t="s">
        <v>63</v>
      </c>
      <c r="G19" s="33">
        <v>190604.6</v>
      </c>
      <c r="H19" s="18">
        <v>478.0437</v>
      </c>
      <c r="I19" s="79">
        <v>4.52818E11</v>
      </c>
      <c r="J19" s="18"/>
      <c r="K19" s="18"/>
      <c r="L19" s="32" t="s">
        <v>36</v>
      </c>
      <c r="M19" s="32" t="s">
        <v>33</v>
      </c>
      <c r="N19" s="32" t="s">
        <v>35</v>
      </c>
      <c r="O19" s="33">
        <v>18777.63</v>
      </c>
      <c r="P19" s="18">
        <v>475.5078</v>
      </c>
      <c r="Q19" s="33">
        <v>7.598233554E9</v>
      </c>
      <c r="S19" s="32" t="s">
        <v>31</v>
      </c>
      <c r="T19" s="32" t="s">
        <v>64</v>
      </c>
      <c r="U19" s="32" t="s">
        <v>63</v>
      </c>
      <c r="V19" s="33">
        <v>17666.92</v>
      </c>
      <c r="W19" s="18">
        <v>197.4577</v>
      </c>
      <c r="X19" s="18">
        <v>1.7336329288E10</v>
      </c>
      <c r="Y19" s="16"/>
      <c r="Z19" s="16"/>
      <c r="AA19" s="16"/>
      <c r="AB19" s="16"/>
      <c r="AC19" s="16"/>
      <c r="AD19" s="16"/>
      <c r="AE19" s="16"/>
      <c r="AF19" s="16"/>
      <c r="AK19" s="33"/>
      <c r="AL19" s="33"/>
    </row>
    <row r="20">
      <c r="A20" s="78" t="s">
        <v>64</v>
      </c>
      <c r="B20" s="78">
        <v>0.0</v>
      </c>
      <c r="C20" s="18">
        <f t="shared" si="1"/>
        <v>0</v>
      </c>
      <c r="D20" s="20">
        <f t="shared" si="2"/>
        <v>55000000000</v>
      </c>
      <c r="E20" s="32" t="s">
        <v>62</v>
      </c>
      <c r="F20" s="32" t="s">
        <v>33</v>
      </c>
      <c r="G20" s="33">
        <v>52154.96</v>
      </c>
      <c r="H20" s="18">
        <v>541.8429</v>
      </c>
      <c r="I20" s="79">
        <v>1.20241E11</v>
      </c>
      <c r="J20" s="18"/>
      <c r="K20" s="18"/>
      <c r="L20" s="32" t="s">
        <v>36</v>
      </c>
      <c r="M20" s="32" t="s">
        <v>33</v>
      </c>
      <c r="N20" s="32" t="s">
        <v>64</v>
      </c>
      <c r="O20" s="33">
        <v>96781.92</v>
      </c>
      <c r="P20" s="18">
        <v>894.5228</v>
      </c>
      <c r="Q20" s="33">
        <v>7.3671561616E10</v>
      </c>
      <c r="R20" s="16"/>
      <c r="S20" s="32" t="s">
        <v>31</v>
      </c>
      <c r="T20" s="32" t="s">
        <v>63</v>
      </c>
      <c r="U20" s="32" t="s">
        <v>63</v>
      </c>
      <c r="V20" s="33">
        <v>26383.0</v>
      </c>
      <c r="W20" s="18">
        <v>0.0</v>
      </c>
      <c r="X20" s="18">
        <v>0.0</v>
      </c>
      <c r="Y20" s="16"/>
      <c r="Z20" s="16"/>
      <c r="AA20" s="16"/>
      <c r="AB20" s="16"/>
      <c r="AC20" s="16"/>
      <c r="AD20" s="16"/>
      <c r="AE20" s="16"/>
      <c r="AF20" s="16"/>
      <c r="AK20" s="33"/>
      <c r="AL20" s="33"/>
    </row>
    <row r="21">
      <c r="A21" s="78" t="s">
        <v>63</v>
      </c>
      <c r="B21" s="78">
        <v>1.0</v>
      </c>
      <c r="C21" s="18">
        <f t="shared" si="1"/>
        <v>500000000000</v>
      </c>
      <c r="D21" s="20">
        <f t="shared" si="2"/>
        <v>55000000000</v>
      </c>
      <c r="E21" s="36" t="s">
        <v>64</v>
      </c>
      <c r="F21" s="36" t="s">
        <v>63</v>
      </c>
      <c r="G21" s="37">
        <v>995865.48</v>
      </c>
      <c r="H21" s="18">
        <v>197.4577</v>
      </c>
      <c r="I21" s="79">
        <v>9.7723E11</v>
      </c>
      <c r="L21" s="32" t="s">
        <v>36</v>
      </c>
      <c r="M21" s="32" t="s">
        <v>64</v>
      </c>
      <c r="N21" s="32" t="s">
        <v>63</v>
      </c>
      <c r="O21" s="33">
        <v>96781.92</v>
      </c>
      <c r="P21" s="18">
        <v>197.4577</v>
      </c>
      <c r="Q21" s="33">
        <v>1.8994179339E10</v>
      </c>
      <c r="R21" s="18"/>
      <c r="S21" s="32" t="s">
        <v>31</v>
      </c>
      <c r="T21" s="32" t="s">
        <v>65</v>
      </c>
      <c r="U21" s="32" t="s">
        <v>66</v>
      </c>
      <c r="V21" s="33">
        <v>1764.88</v>
      </c>
      <c r="W21" s="18">
        <v>79.8162</v>
      </c>
      <c r="X21" s="18">
        <v>4.6945592E8</v>
      </c>
      <c r="Y21" s="16"/>
      <c r="Z21" s="16"/>
      <c r="AA21" s="16"/>
      <c r="AB21" s="16"/>
      <c r="AC21" s="16"/>
      <c r="AD21" s="16"/>
      <c r="AE21" s="16"/>
      <c r="AF21" s="16"/>
      <c r="AK21" s="33"/>
      <c r="AL21" s="33"/>
    </row>
    <row r="22">
      <c r="A22" s="78" t="s">
        <v>65</v>
      </c>
      <c r="B22" s="78">
        <v>0.0</v>
      </c>
      <c r="C22" s="18">
        <f t="shared" si="1"/>
        <v>0</v>
      </c>
      <c r="D22" s="20">
        <f t="shared" si="2"/>
        <v>55000000000</v>
      </c>
      <c r="E22" s="36" t="s">
        <v>63</v>
      </c>
      <c r="F22" s="32" t="s">
        <v>63</v>
      </c>
      <c r="G22" s="37">
        <v>1029824.12</v>
      </c>
      <c r="H22" s="18">
        <v>0.0</v>
      </c>
      <c r="I22" s="18">
        <v>0.0</v>
      </c>
      <c r="L22" s="32" t="s">
        <v>36</v>
      </c>
      <c r="M22" s="32" t="s">
        <v>63</v>
      </c>
      <c r="N22" s="32" t="s">
        <v>66</v>
      </c>
      <c r="O22" s="33">
        <v>48637.72</v>
      </c>
      <c r="P22" s="18">
        <v>424.516</v>
      </c>
      <c r="Q22" s="33">
        <v>1.3762129447E10</v>
      </c>
      <c r="R22" s="31"/>
      <c r="S22" s="32" t="s">
        <v>31</v>
      </c>
      <c r="T22" s="32" t="s">
        <v>66</v>
      </c>
      <c r="U22" s="32" t="s">
        <v>66</v>
      </c>
      <c r="V22" s="33">
        <v>17456.68</v>
      </c>
      <c r="W22" s="18">
        <v>0.0</v>
      </c>
      <c r="X22" s="18">
        <v>0.0</v>
      </c>
      <c r="Y22" s="16"/>
      <c r="Z22" s="16"/>
      <c r="AA22" s="16"/>
      <c r="AB22" s="16"/>
      <c r="AC22" s="16"/>
      <c r="AD22" s="16"/>
      <c r="AE22" s="16"/>
      <c r="AF22" s="16"/>
      <c r="AK22" s="33"/>
      <c r="AL22" s="33"/>
    </row>
    <row r="23">
      <c r="A23" s="78" t="s">
        <v>66</v>
      </c>
      <c r="B23" s="78">
        <v>1.0</v>
      </c>
      <c r="C23" s="18">
        <f t="shared" si="1"/>
        <v>500000000000</v>
      </c>
      <c r="D23" s="20">
        <f t="shared" si="2"/>
        <v>55000000000</v>
      </c>
      <c r="E23" s="36" t="s">
        <v>65</v>
      </c>
      <c r="F23" s="32" t="s">
        <v>66</v>
      </c>
      <c r="G23" s="37">
        <v>62587.04</v>
      </c>
      <c r="H23" s="18">
        <v>79.8162</v>
      </c>
      <c r="I23" s="18">
        <v>1.6648076042E10</v>
      </c>
      <c r="L23" s="38" t="s">
        <v>36</v>
      </c>
      <c r="M23" s="32" t="s">
        <v>63</v>
      </c>
      <c r="N23" s="32" t="s">
        <v>72</v>
      </c>
      <c r="O23" s="32">
        <v>7862.68</v>
      </c>
      <c r="P23" s="32">
        <v>1497.2162</v>
      </c>
      <c r="Q23" s="33">
        <v>7.846455493E9</v>
      </c>
      <c r="R23" s="33"/>
      <c r="S23" s="36" t="s">
        <v>31</v>
      </c>
      <c r="T23" s="32" t="s">
        <v>67</v>
      </c>
      <c r="U23" s="32" t="s">
        <v>66</v>
      </c>
      <c r="V23" s="33">
        <v>1290.08</v>
      </c>
      <c r="W23" s="18">
        <v>294.9322</v>
      </c>
      <c r="X23" s="18">
        <v>1.26802321E9</v>
      </c>
      <c r="Y23" s="16"/>
      <c r="Z23" s="16"/>
      <c r="AA23" s="16"/>
      <c r="AB23" s="16"/>
      <c r="AC23" s="16"/>
      <c r="AD23" s="16"/>
      <c r="AE23" s="16"/>
      <c r="AF23" s="16"/>
      <c r="AK23" s="33"/>
      <c r="AL23" s="33"/>
    </row>
    <row r="24">
      <c r="A24" s="78" t="s">
        <v>67</v>
      </c>
      <c r="B24" s="78">
        <v>0.0</v>
      </c>
      <c r="C24" s="18">
        <f t="shared" si="1"/>
        <v>0</v>
      </c>
      <c r="D24" s="20">
        <f t="shared" si="2"/>
        <v>55000000000</v>
      </c>
      <c r="E24" s="36" t="s">
        <v>66</v>
      </c>
      <c r="F24" s="32" t="s">
        <v>66</v>
      </c>
      <c r="G24" s="37">
        <v>1162580.2</v>
      </c>
      <c r="H24" s="18">
        <v>0.0</v>
      </c>
      <c r="I24" s="18">
        <v>0.0</v>
      </c>
      <c r="L24" s="38" t="s">
        <v>32</v>
      </c>
      <c r="M24" s="32" t="s">
        <v>33</v>
      </c>
      <c r="N24" s="32" t="s">
        <v>35</v>
      </c>
      <c r="O24" s="32">
        <v>33614.57</v>
      </c>
      <c r="P24" s="32">
        <v>475.5078</v>
      </c>
      <c r="Q24" s="33">
        <v>1.3601895111E10</v>
      </c>
      <c r="R24" s="33"/>
      <c r="S24" s="36" t="s">
        <v>31</v>
      </c>
      <c r="T24" s="32" t="s">
        <v>68</v>
      </c>
      <c r="U24" s="32" t="s">
        <v>63</v>
      </c>
      <c r="V24" s="33">
        <v>5868.64</v>
      </c>
      <c r="W24" s="18">
        <v>573.6388</v>
      </c>
      <c r="X24" s="18">
        <v>1.1219265055E10</v>
      </c>
      <c r="Y24" s="16"/>
      <c r="Z24" s="16"/>
      <c r="AA24" s="16"/>
      <c r="AB24" s="16"/>
      <c r="AC24" s="16"/>
      <c r="AD24" s="16"/>
      <c r="AE24" s="16"/>
      <c r="AF24" s="16"/>
      <c r="AK24" s="33"/>
      <c r="AL24" s="33"/>
    </row>
    <row r="25">
      <c r="A25" s="78" t="s">
        <v>68</v>
      </c>
      <c r="B25" s="78">
        <v>0.0</v>
      </c>
      <c r="C25" s="18">
        <f t="shared" si="1"/>
        <v>0</v>
      </c>
      <c r="D25" s="20">
        <f t="shared" si="2"/>
        <v>55000000000</v>
      </c>
      <c r="E25" s="28" t="s">
        <v>67</v>
      </c>
      <c r="F25" s="38" t="s">
        <v>66</v>
      </c>
      <c r="G25" s="20">
        <v>134893.6</v>
      </c>
      <c r="H25" s="38">
        <v>294.9322</v>
      </c>
      <c r="I25" s="80">
        <v>1.32587E11</v>
      </c>
      <c r="L25" s="38" t="s">
        <v>32</v>
      </c>
      <c r="M25" s="32" t="s">
        <v>33</v>
      </c>
      <c r="N25" s="32" t="s">
        <v>64</v>
      </c>
      <c r="O25" s="32">
        <v>93108.8</v>
      </c>
      <c r="P25" s="32">
        <v>894.5228</v>
      </c>
      <c r="Q25" s="33">
        <v>7.0875538491E10</v>
      </c>
      <c r="R25" s="33"/>
      <c r="S25" s="36" t="s">
        <v>31</v>
      </c>
      <c r="T25" s="32" t="s">
        <v>69</v>
      </c>
      <c r="U25" s="32" t="s">
        <v>66</v>
      </c>
      <c r="V25" s="33">
        <v>510.68</v>
      </c>
      <c r="W25" s="18">
        <v>706.8772</v>
      </c>
      <c r="X25" s="18">
        <v>1.203043226E9</v>
      </c>
      <c r="Y25" s="16"/>
      <c r="Z25" s="16"/>
      <c r="AA25" s="16"/>
      <c r="AB25" s="16"/>
      <c r="AC25" s="16"/>
      <c r="AD25" s="16"/>
      <c r="AE25" s="16"/>
      <c r="AF25" s="16"/>
      <c r="AK25" s="33"/>
      <c r="AL25" s="33"/>
    </row>
    <row r="26">
      <c r="A26" s="78" t="s">
        <v>69</v>
      </c>
      <c r="B26" s="78">
        <v>0.0</v>
      </c>
      <c r="C26" s="18">
        <f t="shared" si="1"/>
        <v>0</v>
      </c>
      <c r="D26" s="20">
        <f t="shared" si="2"/>
        <v>55000000000</v>
      </c>
      <c r="E26" s="28" t="s">
        <v>68</v>
      </c>
      <c r="F26" s="38" t="s">
        <v>63</v>
      </c>
      <c r="G26" s="20">
        <v>490447.52</v>
      </c>
      <c r="H26" s="38">
        <v>573.6388</v>
      </c>
      <c r="I26" s="80">
        <v>9.37604E11</v>
      </c>
      <c r="L26" s="38" t="s">
        <v>32</v>
      </c>
      <c r="M26" s="32" t="s">
        <v>64</v>
      </c>
      <c r="N26" s="32" t="s">
        <v>63</v>
      </c>
      <c r="O26" s="32">
        <v>93108.8</v>
      </c>
      <c r="P26" s="32">
        <v>197.4577</v>
      </c>
      <c r="Q26" s="33">
        <v>1.8273301927E10</v>
      </c>
      <c r="R26" s="33"/>
      <c r="S26" s="36" t="s">
        <v>31</v>
      </c>
      <c r="T26" s="32" t="s">
        <v>70</v>
      </c>
      <c r="U26" s="32" t="s">
        <v>72</v>
      </c>
      <c r="V26" s="33">
        <v>5034.04</v>
      </c>
      <c r="W26" s="18">
        <v>255.0633</v>
      </c>
      <c r="X26" s="18">
        <v>4.279105658E9</v>
      </c>
      <c r="Y26" s="16"/>
      <c r="Z26" s="16"/>
      <c r="AA26" s="16"/>
      <c r="AB26" s="16"/>
      <c r="AC26" s="16"/>
      <c r="AD26" s="16"/>
      <c r="AE26" s="16"/>
      <c r="AF26" s="16"/>
      <c r="AK26" s="33"/>
      <c r="AL26" s="33"/>
    </row>
    <row r="27">
      <c r="A27" s="78" t="s">
        <v>70</v>
      </c>
      <c r="B27" s="78">
        <v>0.0</v>
      </c>
      <c r="C27" s="18">
        <f t="shared" si="1"/>
        <v>0</v>
      </c>
      <c r="D27" s="20">
        <f t="shared" si="2"/>
        <v>55000000000</v>
      </c>
      <c r="E27" s="28" t="s">
        <v>68</v>
      </c>
      <c r="F27" s="38" t="s">
        <v>66</v>
      </c>
      <c r="G27" s="20">
        <v>319277.12</v>
      </c>
      <c r="H27" s="38">
        <v>561.9698</v>
      </c>
      <c r="I27" s="80">
        <v>5.97956E11</v>
      </c>
      <c r="L27" s="38" t="s">
        <v>32</v>
      </c>
      <c r="M27" s="32" t="s">
        <v>63</v>
      </c>
      <c r="N27" s="32" t="s">
        <v>66</v>
      </c>
      <c r="O27" s="32">
        <v>25622.8</v>
      </c>
      <c r="P27" s="32">
        <v>424.516</v>
      </c>
      <c r="Q27" s="33">
        <v>7.250016867E9</v>
      </c>
      <c r="R27" s="33"/>
      <c r="S27" s="36" t="s">
        <v>31</v>
      </c>
      <c r="T27" s="32" t="s">
        <v>71</v>
      </c>
      <c r="U27" s="32" t="s">
        <v>63</v>
      </c>
      <c r="V27" s="33">
        <v>4459.28</v>
      </c>
      <c r="W27" s="18">
        <v>1250.3899</v>
      </c>
      <c r="X27" s="18">
        <v>1.8582262819E10</v>
      </c>
      <c r="Y27" s="16"/>
      <c r="Z27" s="16"/>
      <c r="AA27" s="16"/>
      <c r="AB27" s="16"/>
      <c r="AC27" s="16"/>
      <c r="AD27" s="16"/>
      <c r="AE27" s="16"/>
      <c r="AF27" s="16"/>
      <c r="AK27" s="33"/>
      <c r="AL27" s="33"/>
    </row>
    <row r="28">
      <c r="A28" s="78" t="s">
        <v>71</v>
      </c>
      <c r="B28" s="78">
        <v>0.0</v>
      </c>
      <c r="C28" s="18">
        <f t="shared" si="1"/>
        <v>0</v>
      </c>
      <c r="D28" s="20">
        <f t="shared" si="2"/>
        <v>55000000000</v>
      </c>
      <c r="E28" s="28" t="s">
        <v>69</v>
      </c>
      <c r="F28" s="38" t="s">
        <v>66</v>
      </c>
      <c r="G28" s="20">
        <v>38947.84</v>
      </c>
      <c r="H28" s="38">
        <v>706.8772</v>
      </c>
      <c r="I28" s="38">
        <v>9.1752046469E10</v>
      </c>
      <c r="L28" s="38" t="s">
        <v>32</v>
      </c>
      <c r="M28" s="32" t="s">
        <v>63</v>
      </c>
      <c r="N28" s="32" t="s">
        <v>72</v>
      </c>
      <c r="O28" s="32">
        <v>15266.8</v>
      </c>
      <c r="P28" s="32">
        <v>1497.2162</v>
      </c>
      <c r="Q28" s="33">
        <v>1.5235297217E10</v>
      </c>
      <c r="R28" s="33"/>
      <c r="S28" s="36" t="s">
        <v>31</v>
      </c>
      <c r="T28" s="32" t="s">
        <v>72</v>
      </c>
      <c r="U28" s="32" t="s">
        <v>72</v>
      </c>
      <c r="V28" s="33">
        <v>4310.68</v>
      </c>
      <c r="W28" s="18">
        <v>0.0</v>
      </c>
      <c r="X28" s="18">
        <v>0.0</v>
      </c>
      <c r="Y28" s="16"/>
      <c r="Z28" s="16"/>
      <c r="AA28" s="16"/>
      <c r="AB28" s="16"/>
      <c r="AC28" s="16"/>
      <c r="AD28" s="16"/>
      <c r="AE28" s="16"/>
      <c r="AF28" s="16"/>
      <c r="AK28" s="33"/>
      <c r="AL28" s="33"/>
    </row>
    <row r="29">
      <c r="A29" s="78" t="s">
        <v>72</v>
      </c>
      <c r="B29" s="78">
        <v>1.0</v>
      </c>
      <c r="C29" s="18">
        <f t="shared" si="1"/>
        <v>500000000000</v>
      </c>
      <c r="D29" s="20">
        <f t="shared" si="2"/>
        <v>55000000000</v>
      </c>
      <c r="E29" s="28" t="s">
        <v>69</v>
      </c>
      <c r="F29" s="38" t="s">
        <v>72</v>
      </c>
      <c r="G29" s="20">
        <v>4743.76</v>
      </c>
      <c r="H29" s="38">
        <v>751.3306</v>
      </c>
      <c r="I29" s="38">
        <v>1.1877968737E10</v>
      </c>
      <c r="L29" s="38" t="s">
        <v>38</v>
      </c>
      <c r="M29" s="32" t="s">
        <v>33</v>
      </c>
      <c r="N29" s="32" t="s">
        <v>35</v>
      </c>
      <c r="O29" s="32">
        <v>28444.6</v>
      </c>
      <c r="P29" s="32">
        <v>475.5078</v>
      </c>
      <c r="Q29" s="33">
        <v>1.1509903761E10</v>
      </c>
      <c r="R29" s="33"/>
      <c r="S29" s="36" t="s">
        <v>31</v>
      </c>
      <c r="T29" s="32" t="s">
        <v>73</v>
      </c>
      <c r="U29" s="32" t="s">
        <v>72</v>
      </c>
      <c r="V29" s="33">
        <v>2744.08</v>
      </c>
      <c r="W29" s="18">
        <v>505.2914</v>
      </c>
      <c r="X29" s="18">
        <v>4.620905726E9</v>
      </c>
      <c r="Y29" s="16"/>
      <c r="Z29" s="16"/>
      <c r="AA29" s="16"/>
      <c r="AB29" s="16"/>
      <c r="AC29" s="16"/>
      <c r="AD29" s="16"/>
      <c r="AE29" s="16"/>
      <c r="AF29" s="16"/>
      <c r="AK29" s="33"/>
      <c r="AL29" s="33"/>
    </row>
    <row r="30">
      <c r="A30" s="78" t="s">
        <v>73</v>
      </c>
      <c r="B30" s="78">
        <v>0.0</v>
      </c>
      <c r="C30" s="18">
        <f t="shared" si="1"/>
        <v>0</v>
      </c>
      <c r="D30" s="20">
        <f t="shared" si="2"/>
        <v>55000000000</v>
      </c>
      <c r="E30" s="28" t="s">
        <v>70</v>
      </c>
      <c r="F30" s="38" t="s">
        <v>72</v>
      </c>
      <c r="G30" s="20">
        <v>149835.36</v>
      </c>
      <c r="H30" s="38">
        <v>255.0633</v>
      </c>
      <c r="I30" s="80">
        <v>1.27365E11</v>
      </c>
      <c r="L30" s="38" t="s">
        <v>38</v>
      </c>
      <c r="M30" s="32" t="s">
        <v>33</v>
      </c>
      <c r="N30" s="32" t="s">
        <v>64</v>
      </c>
      <c r="O30" s="32">
        <v>47896.56</v>
      </c>
      <c r="P30" s="32">
        <v>894.5228</v>
      </c>
      <c r="Q30" s="33">
        <v>3.6459437581E10</v>
      </c>
      <c r="R30" s="33"/>
      <c r="S30" s="36" t="s">
        <v>31</v>
      </c>
      <c r="T30" s="32" t="s">
        <v>74</v>
      </c>
      <c r="U30" s="32" t="s">
        <v>72</v>
      </c>
      <c r="V30" s="33">
        <v>320.8</v>
      </c>
      <c r="W30" s="18">
        <v>467.0651</v>
      </c>
      <c r="X30" s="18">
        <v>4.993443918E8</v>
      </c>
      <c r="Y30" s="16"/>
      <c r="Z30" s="16"/>
      <c r="AA30" s="16"/>
      <c r="AB30" s="16"/>
      <c r="AC30" s="16"/>
      <c r="AD30" s="16"/>
      <c r="AE30" s="16"/>
      <c r="AF30" s="16"/>
      <c r="AK30" s="33"/>
      <c r="AL30" s="33"/>
    </row>
    <row r="31">
      <c r="A31" s="78" t="s">
        <v>74</v>
      </c>
      <c r="B31" s="78">
        <v>0.0</v>
      </c>
      <c r="C31" s="18">
        <f t="shared" si="1"/>
        <v>0</v>
      </c>
      <c r="D31" s="20">
        <f t="shared" si="2"/>
        <v>55000000000</v>
      </c>
      <c r="E31" s="28" t="s">
        <v>71</v>
      </c>
      <c r="F31" s="38" t="s">
        <v>63</v>
      </c>
      <c r="G31" s="20">
        <v>226389.56</v>
      </c>
      <c r="H31" s="38">
        <v>1250.3899</v>
      </c>
      <c r="I31" s="80">
        <v>9.43388E11</v>
      </c>
      <c r="L31" s="38" t="s">
        <v>38</v>
      </c>
      <c r="M31" s="32" t="s">
        <v>64</v>
      </c>
      <c r="N31" s="32" t="s">
        <v>63</v>
      </c>
      <c r="O31" s="32">
        <v>47896.56</v>
      </c>
      <c r="P31" s="32">
        <v>197.4577</v>
      </c>
      <c r="Q31" s="33">
        <v>9.400059953E9</v>
      </c>
      <c r="R31" s="33"/>
      <c r="S31" s="36" t="s">
        <v>31</v>
      </c>
      <c r="T31" s="32" t="s">
        <v>75</v>
      </c>
      <c r="U31" s="32" t="s">
        <v>72</v>
      </c>
      <c r="V31" s="33">
        <v>1858.96</v>
      </c>
      <c r="W31" s="18">
        <v>1526.6262</v>
      </c>
      <c r="X31" s="18">
        <v>9.457822577E9</v>
      </c>
      <c r="Y31" s="16"/>
      <c r="Z31" s="16"/>
      <c r="AA31" s="16"/>
      <c r="AB31" s="16"/>
      <c r="AC31" s="16"/>
      <c r="AD31" s="16"/>
      <c r="AE31" s="16"/>
      <c r="AF31" s="16"/>
      <c r="AK31" s="33"/>
      <c r="AL31" s="33"/>
    </row>
    <row r="32">
      <c r="A32" s="78" t="s">
        <v>75</v>
      </c>
      <c r="B32" s="78">
        <v>0.0</v>
      </c>
      <c r="C32" s="18">
        <f t="shared" si="1"/>
        <v>0</v>
      </c>
      <c r="D32" s="20">
        <f t="shared" si="2"/>
        <v>55000000000</v>
      </c>
      <c r="E32" s="28" t="s">
        <v>71</v>
      </c>
      <c r="F32" s="38" t="s">
        <v>66</v>
      </c>
      <c r="G32" s="20">
        <v>81896.0</v>
      </c>
      <c r="H32" s="38">
        <v>1278.2377</v>
      </c>
      <c r="I32" s="80">
        <v>3.48869E11</v>
      </c>
      <c r="L32" s="18" t="s">
        <v>38</v>
      </c>
      <c r="M32" s="32" t="s">
        <v>63</v>
      </c>
      <c r="N32" s="32" t="s">
        <v>66</v>
      </c>
      <c r="O32" s="32">
        <v>9874.32</v>
      </c>
      <c r="P32" s="32">
        <v>424.516</v>
      </c>
      <c r="Q32" s="33">
        <v>2.79395642E9</v>
      </c>
      <c r="R32" s="33"/>
      <c r="S32" s="36" t="s">
        <v>34</v>
      </c>
      <c r="T32" s="32" t="s">
        <v>31</v>
      </c>
      <c r="U32" s="32" t="s">
        <v>33</v>
      </c>
      <c r="V32" s="33">
        <v>1517.87</v>
      </c>
      <c r="W32" s="18">
        <v>1362.6505</v>
      </c>
      <c r="X32" s="18">
        <v>8.800418025E9</v>
      </c>
      <c r="Y32" s="16"/>
      <c r="Z32" s="16"/>
      <c r="AA32" s="16"/>
      <c r="AB32" s="16"/>
      <c r="AC32" s="16"/>
      <c r="AD32" s="16"/>
      <c r="AE32" s="16"/>
      <c r="AF32" s="16"/>
      <c r="AK32" s="33"/>
      <c r="AL32" s="33"/>
    </row>
    <row r="33">
      <c r="A33" s="36"/>
      <c r="B33" s="36"/>
      <c r="C33" s="37"/>
      <c r="D33" s="37"/>
      <c r="E33" s="28" t="s">
        <v>71</v>
      </c>
      <c r="F33" s="38" t="s">
        <v>72</v>
      </c>
      <c r="G33" s="20">
        <v>44084.08</v>
      </c>
      <c r="H33" s="20">
        <v>1293.3731</v>
      </c>
      <c r="I33" s="20">
        <v>1.90018E11</v>
      </c>
      <c r="J33" s="19"/>
      <c r="K33" s="19"/>
      <c r="L33" s="18" t="s">
        <v>38</v>
      </c>
      <c r="M33" s="32" t="s">
        <v>63</v>
      </c>
      <c r="N33" s="32" t="s">
        <v>72</v>
      </c>
      <c r="O33" s="32">
        <v>8031.8</v>
      </c>
      <c r="P33" s="32">
        <v>1497.2162</v>
      </c>
      <c r="Q33" s="32">
        <v>8.015226517E9</v>
      </c>
      <c r="R33" s="33"/>
      <c r="S33" s="36" t="s">
        <v>34</v>
      </c>
      <c r="T33" s="32" t="s">
        <v>36</v>
      </c>
      <c r="U33" s="32" t="s">
        <v>33</v>
      </c>
      <c r="V33" s="33">
        <v>1940.46</v>
      </c>
      <c r="W33" s="18">
        <v>397.4792</v>
      </c>
      <c r="X33" s="18">
        <v>3.281733455E9</v>
      </c>
      <c r="Y33" s="16"/>
      <c r="Z33" s="16"/>
      <c r="AA33" s="16"/>
      <c r="AB33" s="16"/>
      <c r="AC33" s="16"/>
      <c r="AD33" s="16"/>
      <c r="AE33" s="16"/>
      <c r="AF33" s="16"/>
      <c r="AK33" s="33"/>
      <c r="AL33" s="33"/>
    </row>
    <row r="34">
      <c r="A34" s="36"/>
      <c r="B34" s="36"/>
      <c r="C34" s="37"/>
      <c r="D34" s="37"/>
      <c r="E34" s="28" t="s">
        <v>72</v>
      </c>
      <c r="F34" s="38" t="s">
        <v>72</v>
      </c>
      <c r="G34" s="20">
        <v>190537.16</v>
      </c>
      <c r="H34" s="20">
        <v>0.0</v>
      </c>
      <c r="I34" s="20">
        <v>0.0</v>
      </c>
      <c r="J34" s="19"/>
      <c r="K34" s="19"/>
      <c r="L34" s="18" t="s">
        <v>33</v>
      </c>
      <c r="M34" s="32" t="s">
        <v>33</v>
      </c>
      <c r="N34" s="32" t="s">
        <v>35</v>
      </c>
      <c r="O34" s="32">
        <v>44722.79</v>
      </c>
      <c r="P34" s="32">
        <v>475.5078</v>
      </c>
      <c r="Q34" s="32">
        <v>1.8096756812E10</v>
      </c>
      <c r="R34" s="33"/>
      <c r="S34" s="36" t="s">
        <v>34</v>
      </c>
      <c r="T34" s="32" t="s">
        <v>32</v>
      </c>
      <c r="U34" s="32" t="s">
        <v>33</v>
      </c>
      <c r="V34" s="33">
        <v>4244.09</v>
      </c>
      <c r="W34" s="18">
        <v>525.4495</v>
      </c>
      <c r="X34" s="18">
        <v>9.488549783E9</v>
      </c>
      <c r="Y34" s="16"/>
      <c r="Z34" s="16"/>
      <c r="AA34" s="16"/>
      <c r="AB34" s="16"/>
      <c r="AC34" s="16"/>
      <c r="AD34" s="16"/>
      <c r="AE34" s="16"/>
      <c r="AF34" s="16"/>
      <c r="AK34" s="33"/>
      <c r="AL34" s="33"/>
    </row>
    <row r="35">
      <c r="A35" s="36"/>
      <c r="B35" s="36"/>
      <c r="C35" s="37"/>
      <c r="D35" s="37"/>
      <c r="E35" s="28" t="s">
        <v>73</v>
      </c>
      <c r="F35" s="38" t="s">
        <v>72</v>
      </c>
      <c r="G35" s="20">
        <v>221085.64</v>
      </c>
      <c r="H35" s="20">
        <v>505.2914</v>
      </c>
      <c r="I35" s="20">
        <v>3.72298E11</v>
      </c>
      <c r="J35" s="19"/>
      <c r="K35" s="19"/>
      <c r="L35" s="18" t="s">
        <v>33</v>
      </c>
      <c r="M35" s="32" t="s">
        <v>33</v>
      </c>
      <c r="N35" s="32" t="s">
        <v>64</v>
      </c>
      <c r="O35" s="32">
        <v>227959.72</v>
      </c>
      <c r="P35" s="32">
        <v>894.5228</v>
      </c>
      <c r="Q35" s="81">
        <v>1.73526E11</v>
      </c>
      <c r="R35" s="33"/>
      <c r="S35" s="36" t="s">
        <v>34</v>
      </c>
      <c r="T35" s="32" t="s">
        <v>38</v>
      </c>
      <c r="U35" s="32" t="s">
        <v>33</v>
      </c>
      <c r="V35" s="33">
        <v>547.44</v>
      </c>
      <c r="W35" s="18">
        <v>176.4669</v>
      </c>
      <c r="X35" s="18">
        <v>4.110399908E8</v>
      </c>
      <c r="Y35" s="16"/>
      <c r="Z35" s="16"/>
      <c r="AA35" s="16"/>
      <c r="AB35" s="16"/>
      <c r="AC35" s="16"/>
      <c r="AD35" s="16"/>
      <c r="AE35" s="16"/>
      <c r="AF35" s="16"/>
      <c r="AK35" s="33"/>
      <c r="AL35" s="33"/>
    </row>
    <row r="36">
      <c r="A36" s="20"/>
      <c r="B36" s="20"/>
      <c r="C36" s="20"/>
      <c r="D36" s="20"/>
      <c r="E36" s="28" t="s">
        <v>74</v>
      </c>
      <c r="F36" s="20" t="s">
        <v>72</v>
      </c>
      <c r="G36" s="20">
        <v>38461.84</v>
      </c>
      <c r="H36" s="20">
        <v>467.0651</v>
      </c>
      <c r="I36" s="20">
        <v>5.9868154933E10</v>
      </c>
      <c r="J36" s="19"/>
      <c r="K36" s="19"/>
      <c r="L36" s="18" t="s">
        <v>33</v>
      </c>
      <c r="M36" s="32" t="s">
        <v>64</v>
      </c>
      <c r="N36" s="32" t="s">
        <v>63</v>
      </c>
      <c r="O36" s="32">
        <v>227959.72</v>
      </c>
      <c r="P36" s="32">
        <v>197.4577</v>
      </c>
      <c r="Q36" s="32">
        <v>4.4738808693E10</v>
      </c>
      <c r="R36" s="33"/>
      <c r="S36" s="36" t="s">
        <v>34</v>
      </c>
      <c r="T36" s="32" t="s">
        <v>33</v>
      </c>
      <c r="U36" s="32" t="s">
        <v>33</v>
      </c>
      <c r="V36" s="33">
        <v>6251.74</v>
      </c>
      <c r="W36" s="18">
        <v>0.0</v>
      </c>
      <c r="X36" s="18">
        <v>0.0</v>
      </c>
      <c r="Y36" s="16"/>
      <c r="Z36" s="16"/>
      <c r="AA36" s="16"/>
      <c r="AB36" s="16"/>
      <c r="AC36" s="16"/>
      <c r="AD36" s="16"/>
      <c r="AE36" s="16"/>
      <c r="AF36" s="16"/>
      <c r="AK36" s="33"/>
      <c r="AL36" s="33"/>
    </row>
    <row r="37">
      <c r="A37" s="20"/>
      <c r="B37" s="20"/>
      <c r="C37" s="20"/>
      <c r="D37" s="20"/>
      <c r="E37" s="28" t="s">
        <v>75</v>
      </c>
      <c r="F37" s="20" t="s">
        <v>72</v>
      </c>
      <c r="G37" s="20">
        <v>151429.12</v>
      </c>
      <c r="H37" s="20">
        <v>1526.6262</v>
      </c>
      <c r="I37" s="20">
        <v>7.70425E11</v>
      </c>
      <c r="J37" s="19"/>
      <c r="K37" s="19"/>
      <c r="L37" s="18" t="s">
        <v>33</v>
      </c>
      <c r="M37" s="32" t="s">
        <v>63</v>
      </c>
      <c r="N37" s="32" t="s">
        <v>66</v>
      </c>
      <c r="O37" s="32">
        <v>31482.84</v>
      </c>
      <c r="P37" s="32">
        <v>424.516</v>
      </c>
      <c r="Q37" s="32">
        <v>8.908125616E9</v>
      </c>
      <c r="R37" s="33"/>
      <c r="S37" s="36" t="s">
        <v>34</v>
      </c>
      <c r="T37" s="32" t="s">
        <v>39</v>
      </c>
      <c r="U37" s="32" t="s">
        <v>35</v>
      </c>
      <c r="V37" s="33">
        <v>2635.73</v>
      </c>
      <c r="W37" s="18">
        <v>186.18</v>
      </c>
      <c r="X37" s="18">
        <v>2.087940718E9</v>
      </c>
      <c r="Y37" s="16"/>
      <c r="Z37" s="16"/>
      <c r="AA37" s="16"/>
      <c r="AB37" s="16"/>
      <c r="AC37" s="16"/>
      <c r="AD37" s="16"/>
      <c r="AE37" s="16"/>
      <c r="AF37" s="16"/>
      <c r="AK37" s="33"/>
      <c r="AL37" s="33"/>
    </row>
    <row r="38">
      <c r="A38" s="20"/>
      <c r="B38" s="20"/>
      <c r="C38" s="20"/>
      <c r="D38" s="20"/>
      <c r="E38" s="28"/>
      <c r="F38" s="19"/>
      <c r="G38" s="19"/>
      <c r="H38" s="19"/>
      <c r="I38" s="19"/>
      <c r="J38" s="19"/>
      <c r="K38" s="19"/>
      <c r="L38" s="18" t="s">
        <v>33</v>
      </c>
      <c r="M38" s="32" t="s">
        <v>63</v>
      </c>
      <c r="N38" s="32" t="s">
        <v>72</v>
      </c>
      <c r="O38" s="32">
        <v>14448.88</v>
      </c>
      <c r="P38" s="32">
        <v>1497.2162</v>
      </c>
      <c r="Q38" s="32">
        <v>1.4419064981E10</v>
      </c>
      <c r="R38" s="33"/>
      <c r="S38" s="36" t="s">
        <v>34</v>
      </c>
      <c r="T38" s="32" t="s">
        <v>35</v>
      </c>
      <c r="U38" s="32" t="s">
        <v>35</v>
      </c>
      <c r="V38" s="33">
        <v>6039.82</v>
      </c>
      <c r="W38" s="18">
        <v>0.0</v>
      </c>
      <c r="X38" s="18">
        <v>0.0</v>
      </c>
      <c r="Y38" s="16"/>
      <c r="Z38" s="16"/>
      <c r="AA38" s="16"/>
      <c r="AB38" s="16"/>
      <c r="AC38" s="16"/>
      <c r="AD38" s="16"/>
      <c r="AE38" s="16"/>
      <c r="AF38" s="16"/>
      <c r="AK38" s="33"/>
      <c r="AL38" s="33"/>
    </row>
    <row r="39">
      <c r="A39" s="20"/>
      <c r="B39" s="20"/>
      <c r="C39" s="20"/>
      <c r="D39" s="20"/>
      <c r="E39" s="28"/>
      <c r="F39" s="19"/>
      <c r="G39" s="19"/>
      <c r="H39" s="19"/>
      <c r="I39" s="19"/>
      <c r="J39" s="19"/>
      <c r="K39" s="19"/>
      <c r="L39" s="18" t="s">
        <v>39</v>
      </c>
      <c r="M39" s="32" t="s">
        <v>35</v>
      </c>
      <c r="N39" s="32" t="s">
        <v>33</v>
      </c>
      <c r="O39" s="32">
        <v>56505.61</v>
      </c>
      <c r="P39" s="32">
        <v>475.5078</v>
      </c>
      <c r="Q39" s="32">
        <v>2.2864590574E10</v>
      </c>
      <c r="R39" s="33"/>
      <c r="S39" s="36" t="s">
        <v>34</v>
      </c>
      <c r="T39" s="32" t="s">
        <v>40</v>
      </c>
      <c r="U39" s="32" t="s">
        <v>35</v>
      </c>
      <c r="V39" s="33">
        <v>3678.83</v>
      </c>
      <c r="W39" s="18">
        <v>403.0102</v>
      </c>
      <c r="X39" s="18">
        <v>6.308266411E9</v>
      </c>
      <c r="Y39" s="16"/>
      <c r="Z39" s="16"/>
      <c r="AA39" s="16"/>
      <c r="AB39" s="16"/>
      <c r="AC39" s="16"/>
      <c r="AD39" s="16"/>
      <c r="AE39" s="16"/>
      <c r="AF39" s="16"/>
      <c r="AK39" s="33"/>
      <c r="AL39" s="33"/>
    </row>
    <row r="40">
      <c r="A40" s="30" t="s">
        <v>110</v>
      </c>
      <c r="B40" s="30" t="s">
        <v>111</v>
      </c>
      <c r="C40" s="30" t="s">
        <v>93</v>
      </c>
      <c r="D40" s="31" t="s">
        <v>29</v>
      </c>
      <c r="E40" s="28"/>
      <c r="F40" s="19"/>
      <c r="G40" s="19"/>
      <c r="H40" s="19"/>
      <c r="I40" s="19"/>
      <c r="J40" s="19"/>
      <c r="K40" s="19"/>
      <c r="L40" s="18" t="s">
        <v>39</v>
      </c>
      <c r="M40" s="32" t="s">
        <v>35</v>
      </c>
      <c r="N40" s="32" t="s">
        <v>64</v>
      </c>
      <c r="O40" s="32">
        <v>231079.88</v>
      </c>
      <c r="P40" s="32">
        <v>781.4544</v>
      </c>
      <c r="Q40" s="81">
        <v>1.53667E11</v>
      </c>
      <c r="R40" s="33"/>
      <c r="S40" s="36" t="s">
        <v>34</v>
      </c>
      <c r="T40" s="32" t="s">
        <v>37</v>
      </c>
      <c r="U40" s="32" t="s">
        <v>35</v>
      </c>
      <c r="V40" s="33">
        <v>4136.76</v>
      </c>
      <c r="W40" s="18">
        <v>658.2451</v>
      </c>
      <c r="X40" s="18">
        <v>1.1585965336E10</v>
      </c>
      <c r="Y40" s="16"/>
      <c r="Z40" s="16"/>
      <c r="AA40" s="16"/>
      <c r="AB40" s="16"/>
      <c r="AC40" s="16"/>
      <c r="AD40" s="16"/>
      <c r="AE40" s="16"/>
      <c r="AF40" s="16"/>
      <c r="AK40" s="33"/>
      <c r="AL40" s="33"/>
    </row>
    <row r="41">
      <c r="A41" s="32" t="s">
        <v>31</v>
      </c>
      <c r="B41" s="32" t="s">
        <v>34</v>
      </c>
      <c r="C41" s="33">
        <v>0.0</v>
      </c>
      <c r="D41" s="33">
        <f t="shared" ref="D41:D316" si="3">C41*$B$4</f>
        <v>0</v>
      </c>
      <c r="E41" s="28"/>
      <c r="F41" s="19"/>
      <c r="G41" s="19"/>
      <c r="H41" s="19"/>
      <c r="I41" s="19"/>
      <c r="J41" s="19"/>
      <c r="K41" s="19"/>
      <c r="L41" s="18" t="s">
        <v>39</v>
      </c>
      <c r="M41" s="32" t="s">
        <v>64</v>
      </c>
      <c r="N41" s="32" t="s">
        <v>63</v>
      </c>
      <c r="O41" s="32">
        <v>231079.88</v>
      </c>
      <c r="P41" s="32">
        <v>197.4577</v>
      </c>
      <c r="Q41" s="32">
        <v>4.5351163548E10</v>
      </c>
      <c r="R41" s="33"/>
      <c r="S41" s="36" t="s">
        <v>34</v>
      </c>
      <c r="T41" s="32" t="s">
        <v>62</v>
      </c>
      <c r="U41" s="32" t="s">
        <v>33</v>
      </c>
      <c r="V41" s="33">
        <v>3089.04</v>
      </c>
      <c r="W41" s="18">
        <v>541.8429</v>
      </c>
      <c r="X41" s="18">
        <v>7.121659556E9</v>
      </c>
      <c r="Y41" s="16"/>
      <c r="Z41" s="16"/>
      <c r="AA41" s="16"/>
      <c r="AB41" s="16"/>
      <c r="AC41" s="16"/>
      <c r="AD41" s="16"/>
      <c r="AE41" s="16"/>
      <c r="AF41" s="16"/>
      <c r="AK41" s="33"/>
      <c r="AL41" s="33"/>
    </row>
    <row r="42">
      <c r="A42" s="32" t="s">
        <v>31</v>
      </c>
      <c r="B42" s="32" t="s">
        <v>36</v>
      </c>
      <c r="C42" s="33">
        <v>0.0</v>
      </c>
      <c r="D42" s="33">
        <f t="shared" si="3"/>
        <v>0</v>
      </c>
      <c r="E42" s="28"/>
      <c r="F42" s="19"/>
      <c r="G42" s="19"/>
      <c r="H42" s="19"/>
      <c r="I42" s="19"/>
      <c r="J42" s="19"/>
      <c r="K42" s="19"/>
      <c r="L42" s="18" t="s">
        <v>39</v>
      </c>
      <c r="M42" s="32" t="s">
        <v>63</v>
      </c>
      <c r="N42" s="32" t="s">
        <v>66</v>
      </c>
      <c r="O42" s="32">
        <v>85023.0</v>
      </c>
      <c r="P42" s="32">
        <v>424.516</v>
      </c>
      <c r="Q42" s="32">
        <v>2.4057409187E10</v>
      </c>
      <c r="R42" s="33"/>
      <c r="S42" s="36" t="s">
        <v>34</v>
      </c>
      <c r="T42" s="32" t="s">
        <v>64</v>
      </c>
      <c r="U42" s="32" t="s">
        <v>63</v>
      </c>
      <c r="V42" s="33">
        <v>11953.54</v>
      </c>
      <c r="W42" s="18">
        <v>197.4577</v>
      </c>
      <c r="X42" s="18">
        <v>1.1729860417E10</v>
      </c>
      <c r="Y42" s="16"/>
      <c r="Z42" s="16"/>
      <c r="AA42" s="16"/>
      <c r="AB42" s="16"/>
      <c r="AC42" s="16"/>
      <c r="AD42" s="16"/>
      <c r="AE42" s="16"/>
      <c r="AF42" s="16"/>
      <c r="AK42" s="33"/>
      <c r="AL42" s="33"/>
    </row>
    <row r="43">
      <c r="A43" s="32" t="s">
        <v>31</v>
      </c>
      <c r="B43" s="32" t="s">
        <v>32</v>
      </c>
      <c r="C43" s="33">
        <v>0.0</v>
      </c>
      <c r="D43" s="33">
        <f t="shared" si="3"/>
        <v>0</v>
      </c>
      <c r="E43" s="28"/>
      <c r="F43" s="19"/>
      <c r="G43" s="19"/>
      <c r="H43" s="19"/>
      <c r="I43" s="19"/>
      <c r="J43" s="19"/>
      <c r="K43" s="19"/>
      <c r="L43" s="18" t="s">
        <v>39</v>
      </c>
      <c r="M43" s="32" t="s">
        <v>63</v>
      </c>
      <c r="N43" s="32" t="s">
        <v>72</v>
      </c>
      <c r="O43" s="32">
        <v>32512.96</v>
      </c>
      <c r="P43" s="32">
        <v>1497.2162</v>
      </c>
      <c r="Q43" s="32">
        <v>3.2445870058E10</v>
      </c>
      <c r="R43" s="33"/>
      <c r="S43" s="36" t="s">
        <v>34</v>
      </c>
      <c r="T43" s="32" t="s">
        <v>63</v>
      </c>
      <c r="U43" s="32" t="s">
        <v>63</v>
      </c>
      <c r="V43" s="33">
        <v>14690.17</v>
      </c>
      <c r="W43" s="18">
        <v>0.0</v>
      </c>
      <c r="X43" s="18">
        <v>0.0</v>
      </c>
      <c r="Y43" s="16"/>
      <c r="Z43" s="16"/>
      <c r="AA43" s="16"/>
      <c r="AB43" s="16"/>
      <c r="AC43" s="16"/>
      <c r="AD43" s="16"/>
      <c r="AE43" s="16"/>
      <c r="AF43" s="16"/>
      <c r="AK43" s="33"/>
      <c r="AL43" s="33"/>
    </row>
    <row r="44">
      <c r="A44" s="32" t="s">
        <v>31</v>
      </c>
      <c r="B44" s="32" t="s">
        <v>38</v>
      </c>
      <c r="C44" s="33">
        <v>0.0</v>
      </c>
      <c r="D44" s="33">
        <f t="shared" si="3"/>
        <v>0</v>
      </c>
      <c r="E44" s="16"/>
      <c r="F44" s="16"/>
      <c r="G44" s="16"/>
      <c r="H44" s="16"/>
      <c r="I44" s="16"/>
      <c r="J44" s="16"/>
      <c r="K44" s="16"/>
      <c r="L44" s="18" t="s">
        <v>35</v>
      </c>
      <c r="M44" s="32" t="s">
        <v>35</v>
      </c>
      <c r="N44" s="32" t="s">
        <v>33</v>
      </c>
      <c r="O44" s="32">
        <v>353267.82</v>
      </c>
      <c r="P44" s="32">
        <v>475.5078</v>
      </c>
      <c r="Q44" s="81">
        <v>1.42947E11</v>
      </c>
      <c r="R44" s="33"/>
      <c r="S44" s="36" t="s">
        <v>34</v>
      </c>
      <c r="T44" s="32" t="s">
        <v>65</v>
      </c>
      <c r="U44" s="32" t="s">
        <v>66</v>
      </c>
      <c r="V44" s="33">
        <v>1300.47</v>
      </c>
      <c r="W44" s="18">
        <v>79.8162</v>
      </c>
      <c r="X44" s="18">
        <v>3.459234284E8</v>
      </c>
      <c r="Y44" s="16"/>
      <c r="Z44" s="16"/>
      <c r="AA44" s="16"/>
      <c r="AB44" s="16"/>
      <c r="AC44" s="16"/>
      <c r="AD44" s="16"/>
      <c r="AE44" s="16"/>
      <c r="AF44" s="16"/>
      <c r="AK44" s="33"/>
      <c r="AL44" s="33"/>
    </row>
    <row r="45">
      <c r="A45" s="32" t="s">
        <v>31</v>
      </c>
      <c r="B45" s="32" t="s">
        <v>33</v>
      </c>
      <c r="C45" s="33">
        <v>0.0</v>
      </c>
      <c r="D45" s="33">
        <f t="shared" si="3"/>
        <v>0</v>
      </c>
      <c r="E45" s="16"/>
      <c r="F45" s="16"/>
      <c r="G45" s="16"/>
      <c r="H45" s="16"/>
      <c r="I45" s="16"/>
      <c r="J45" s="16"/>
      <c r="K45" s="16"/>
      <c r="L45" s="18" t="s">
        <v>35</v>
      </c>
      <c r="M45" s="32" t="s">
        <v>35</v>
      </c>
      <c r="N45" s="32" t="s">
        <v>64</v>
      </c>
      <c r="O45" s="32">
        <v>871610.2</v>
      </c>
      <c r="P45" s="32">
        <v>781.4544</v>
      </c>
      <c r="Q45" s="81">
        <v>5.79616E11</v>
      </c>
      <c r="R45" s="33"/>
      <c r="S45" s="36" t="s">
        <v>34</v>
      </c>
      <c r="T45" s="32" t="s">
        <v>66</v>
      </c>
      <c r="U45" s="32" t="s">
        <v>66</v>
      </c>
      <c r="V45" s="33">
        <v>15587.76</v>
      </c>
      <c r="W45" s="18">
        <v>0.0</v>
      </c>
      <c r="X45" s="18">
        <v>0.0</v>
      </c>
      <c r="Y45" s="16"/>
      <c r="Z45" s="16"/>
      <c r="AA45" s="16"/>
      <c r="AB45" s="16"/>
      <c r="AC45" s="16"/>
      <c r="AD45" s="16"/>
      <c r="AE45" s="16"/>
      <c r="AF45" s="16"/>
      <c r="AK45" s="33"/>
      <c r="AL45" s="33"/>
    </row>
    <row r="46">
      <c r="A46" s="32" t="s">
        <v>31</v>
      </c>
      <c r="B46" s="32" t="s">
        <v>39</v>
      </c>
      <c r="C46" s="33">
        <v>0.0</v>
      </c>
      <c r="D46" s="33">
        <f t="shared" si="3"/>
        <v>0</v>
      </c>
      <c r="E46" s="16"/>
      <c r="F46" s="16"/>
      <c r="G46" s="16"/>
      <c r="H46" s="16"/>
      <c r="I46" s="16"/>
      <c r="J46" s="16"/>
      <c r="K46" s="16"/>
      <c r="L46" s="18" t="s">
        <v>35</v>
      </c>
      <c r="M46" s="32" t="s">
        <v>64</v>
      </c>
      <c r="N46" s="32" t="s">
        <v>63</v>
      </c>
      <c r="O46" s="32">
        <v>871610.2</v>
      </c>
      <c r="P46" s="32">
        <v>197.4577</v>
      </c>
      <c r="Q46" s="81">
        <v>1.7106E11</v>
      </c>
      <c r="R46" s="33"/>
      <c r="S46" s="36" t="s">
        <v>34</v>
      </c>
      <c r="T46" s="32" t="s">
        <v>67</v>
      </c>
      <c r="U46" s="32" t="s">
        <v>66</v>
      </c>
      <c r="V46" s="33">
        <v>3045.25</v>
      </c>
      <c r="W46" s="18">
        <v>294.9322</v>
      </c>
      <c r="X46" s="18">
        <v>2.993184672E9</v>
      </c>
      <c r="Y46" s="16"/>
      <c r="Z46" s="16"/>
      <c r="AA46" s="16"/>
      <c r="AB46" s="16"/>
      <c r="AC46" s="16"/>
      <c r="AD46" s="16"/>
      <c r="AE46" s="16"/>
      <c r="AF46" s="16"/>
      <c r="AK46" s="33"/>
      <c r="AL46" s="33"/>
    </row>
    <row r="47">
      <c r="A47" s="32" t="s">
        <v>31</v>
      </c>
      <c r="B47" s="32" t="s">
        <v>35</v>
      </c>
      <c r="C47" s="33">
        <v>0.0</v>
      </c>
      <c r="D47" s="33">
        <f t="shared" si="3"/>
        <v>0</v>
      </c>
      <c r="E47" s="16"/>
      <c r="F47" s="16"/>
      <c r="G47" s="16"/>
      <c r="H47" s="16"/>
      <c r="I47" s="16"/>
      <c r="J47" s="16"/>
      <c r="K47" s="16"/>
      <c r="L47" s="18" t="s">
        <v>35</v>
      </c>
      <c r="M47" s="32" t="s">
        <v>63</v>
      </c>
      <c r="N47" s="32" t="s">
        <v>66</v>
      </c>
      <c r="O47" s="32">
        <v>173501.72</v>
      </c>
      <c r="P47" s="32">
        <v>424.516</v>
      </c>
      <c r="Q47" s="32">
        <v>4.9092620499E10</v>
      </c>
      <c r="R47" s="33"/>
      <c r="S47" s="36" t="s">
        <v>34</v>
      </c>
      <c r="T47" s="32" t="s">
        <v>68</v>
      </c>
      <c r="U47" s="32" t="s">
        <v>63</v>
      </c>
      <c r="V47" s="33">
        <v>12342.59</v>
      </c>
      <c r="W47" s="18">
        <v>573.6388</v>
      </c>
      <c r="X47" s="18">
        <v>2.3595720417E10</v>
      </c>
      <c r="Y47" s="16"/>
      <c r="Z47" s="16"/>
      <c r="AA47" s="16"/>
      <c r="AB47" s="16"/>
      <c r="AC47" s="16"/>
      <c r="AD47" s="16"/>
      <c r="AE47" s="16"/>
      <c r="AF47" s="16"/>
      <c r="AK47" s="33"/>
      <c r="AL47" s="33"/>
    </row>
    <row r="48">
      <c r="A48" s="32" t="s">
        <v>31</v>
      </c>
      <c r="B48" s="32" t="s">
        <v>40</v>
      </c>
      <c r="C48" s="33">
        <v>0.0</v>
      </c>
      <c r="D48" s="33">
        <f t="shared" si="3"/>
        <v>0</v>
      </c>
      <c r="E48" s="16"/>
      <c r="F48" s="16"/>
      <c r="G48" s="16"/>
      <c r="H48" s="16"/>
      <c r="I48" s="16"/>
      <c r="J48" s="16"/>
      <c r="K48" s="16"/>
      <c r="L48" s="18" t="s">
        <v>35</v>
      </c>
      <c r="M48" s="32" t="s">
        <v>63</v>
      </c>
      <c r="N48" s="32" t="s">
        <v>72</v>
      </c>
      <c r="O48" s="32">
        <v>114359.04</v>
      </c>
      <c r="P48" s="32">
        <v>1497.2162</v>
      </c>
      <c r="Q48" s="81">
        <v>1.14123E11</v>
      </c>
      <c r="R48" s="33"/>
      <c r="S48" s="36" t="s">
        <v>34</v>
      </c>
      <c r="T48" s="32" t="s">
        <v>69</v>
      </c>
      <c r="U48" s="32" t="s">
        <v>66</v>
      </c>
      <c r="V48" s="33">
        <v>4355.51</v>
      </c>
      <c r="W48" s="18">
        <v>706.8772</v>
      </c>
      <c r="X48" s="18">
        <v>1.0260567875E10</v>
      </c>
      <c r="Y48" s="16"/>
      <c r="Z48" s="16"/>
      <c r="AA48" s="16"/>
      <c r="AB48" s="16"/>
      <c r="AC48" s="16"/>
      <c r="AD48" s="16"/>
      <c r="AE48" s="16"/>
      <c r="AF48" s="16"/>
      <c r="AK48" s="33"/>
      <c r="AL48" s="33"/>
    </row>
    <row r="49">
      <c r="A49" s="32" t="s">
        <v>31</v>
      </c>
      <c r="B49" s="32" t="s">
        <v>37</v>
      </c>
      <c r="C49" s="33">
        <v>0.0</v>
      </c>
      <c r="D49" s="33">
        <f t="shared" si="3"/>
        <v>0</v>
      </c>
      <c r="E49" s="16"/>
      <c r="F49" s="16"/>
      <c r="G49" s="16"/>
      <c r="H49" s="16"/>
      <c r="I49" s="16"/>
      <c r="J49" s="16"/>
      <c r="K49" s="16"/>
      <c r="L49" s="18" t="s">
        <v>40</v>
      </c>
      <c r="M49" s="32" t="s">
        <v>35</v>
      </c>
      <c r="N49" s="32" t="s">
        <v>33</v>
      </c>
      <c r="O49" s="32">
        <v>9521.72</v>
      </c>
      <c r="P49" s="32">
        <v>475.5078</v>
      </c>
      <c r="Q49" s="32">
        <v>3.852895834E9</v>
      </c>
      <c r="R49" s="33"/>
      <c r="S49" s="36" t="s">
        <v>34</v>
      </c>
      <c r="T49" s="32" t="s">
        <v>70</v>
      </c>
      <c r="U49" s="32" t="s">
        <v>72</v>
      </c>
      <c r="V49" s="33">
        <v>2628.72</v>
      </c>
      <c r="W49" s="18">
        <v>255.0633</v>
      </c>
      <c r="X49" s="18">
        <v>2.234501638E9</v>
      </c>
      <c r="Y49" s="16"/>
      <c r="Z49" s="16"/>
      <c r="AA49" s="16"/>
      <c r="AB49" s="16"/>
      <c r="AC49" s="16"/>
      <c r="AD49" s="16"/>
      <c r="AE49" s="16"/>
      <c r="AF49" s="16"/>
      <c r="AK49" s="33"/>
      <c r="AL49" s="33"/>
    </row>
    <row r="50">
      <c r="A50" s="32" t="s">
        <v>31</v>
      </c>
      <c r="B50" s="32" t="s">
        <v>62</v>
      </c>
      <c r="C50" s="33">
        <v>0.0</v>
      </c>
      <c r="D50" s="33">
        <f t="shared" si="3"/>
        <v>0</v>
      </c>
      <c r="E50" s="16"/>
      <c r="F50" s="16"/>
      <c r="G50" s="16"/>
      <c r="H50" s="16"/>
      <c r="I50" s="16"/>
      <c r="J50" s="16"/>
      <c r="K50" s="16"/>
      <c r="L50" s="18" t="s">
        <v>40</v>
      </c>
      <c r="M50" s="32" t="s">
        <v>35</v>
      </c>
      <c r="N50" s="32" t="s">
        <v>64</v>
      </c>
      <c r="O50" s="32">
        <v>26471.68</v>
      </c>
      <c r="P50" s="32">
        <v>781.4544</v>
      </c>
      <c r="Q50" s="32">
        <v>1.7603515917E10</v>
      </c>
      <c r="R50" s="33"/>
      <c r="S50" s="36" t="s">
        <v>34</v>
      </c>
      <c r="T50" s="32" t="s">
        <v>71</v>
      </c>
      <c r="U50" s="32" t="s">
        <v>63</v>
      </c>
      <c r="V50" s="33">
        <v>4160.92</v>
      </c>
      <c r="W50" s="18">
        <v>1250.3899</v>
      </c>
      <c r="X50" s="18">
        <v>1.7338967055E10</v>
      </c>
      <c r="Y50" s="16"/>
      <c r="Z50" s="16"/>
      <c r="AA50" s="16"/>
      <c r="AB50" s="16"/>
      <c r="AC50" s="16"/>
      <c r="AD50" s="16"/>
      <c r="AE50" s="16"/>
      <c r="AF50" s="16"/>
      <c r="AK50" s="33"/>
      <c r="AL50" s="33"/>
    </row>
    <row r="51">
      <c r="A51" s="32" t="s">
        <v>31</v>
      </c>
      <c r="B51" s="32" t="s">
        <v>64</v>
      </c>
      <c r="C51" s="33">
        <v>0.0</v>
      </c>
      <c r="D51" s="33">
        <f t="shared" si="3"/>
        <v>0</v>
      </c>
      <c r="E51" s="16"/>
      <c r="F51" s="16"/>
      <c r="G51" s="16"/>
      <c r="H51" s="16"/>
      <c r="I51" s="16"/>
      <c r="J51" s="16"/>
      <c r="K51" s="16"/>
      <c r="L51" s="18" t="s">
        <v>40</v>
      </c>
      <c r="M51" s="32" t="s">
        <v>64</v>
      </c>
      <c r="N51" s="32" t="s">
        <v>63</v>
      </c>
      <c r="O51" s="32">
        <v>26471.68</v>
      </c>
      <c r="P51" s="32">
        <v>197.4577</v>
      </c>
      <c r="Q51" s="32">
        <v>5.195266196E9</v>
      </c>
      <c r="R51" s="33"/>
      <c r="S51" s="36" t="s">
        <v>34</v>
      </c>
      <c r="T51" s="32" t="s">
        <v>72</v>
      </c>
      <c r="U51" s="32" t="s">
        <v>72</v>
      </c>
      <c r="V51" s="33">
        <v>2389.24</v>
      </c>
      <c r="W51" s="18">
        <v>0.0</v>
      </c>
      <c r="X51" s="18">
        <v>0.0</v>
      </c>
      <c r="Y51" s="16"/>
      <c r="Z51" s="16"/>
      <c r="AA51" s="16"/>
      <c r="AB51" s="16"/>
      <c r="AC51" s="16"/>
      <c r="AD51" s="16"/>
      <c r="AE51" s="16"/>
      <c r="AF51" s="16"/>
      <c r="AK51" s="33"/>
      <c r="AL51" s="33"/>
    </row>
    <row r="52">
      <c r="A52" s="32" t="s">
        <v>31</v>
      </c>
      <c r="B52" s="32" t="s">
        <v>63</v>
      </c>
      <c r="C52" s="33">
        <v>0.0</v>
      </c>
      <c r="D52" s="33">
        <f t="shared" si="3"/>
        <v>0</v>
      </c>
      <c r="E52" s="16"/>
      <c r="F52" s="16"/>
      <c r="G52" s="16"/>
      <c r="H52" s="16"/>
      <c r="I52" s="16"/>
      <c r="J52" s="16"/>
      <c r="K52" s="16"/>
      <c r="L52" s="18" t="s">
        <v>40</v>
      </c>
      <c r="M52" s="32" t="s">
        <v>63</v>
      </c>
      <c r="N52" s="32" t="s">
        <v>66</v>
      </c>
      <c r="O52" s="32">
        <v>6725.09</v>
      </c>
      <c r="P52" s="32">
        <v>424.516</v>
      </c>
      <c r="Q52" s="32">
        <v>1.902876186E9</v>
      </c>
      <c r="R52" s="33"/>
      <c r="S52" s="36" t="s">
        <v>34</v>
      </c>
      <c r="T52" s="32" t="s">
        <v>73</v>
      </c>
      <c r="U52" s="32" t="s">
        <v>72</v>
      </c>
      <c r="V52" s="33">
        <v>4073.07</v>
      </c>
      <c r="W52" s="18">
        <v>505.2914</v>
      </c>
      <c r="X52" s="18">
        <v>6.85886435E9</v>
      </c>
      <c r="Y52" s="16"/>
      <c r="Z52" s="16"/>
      <c r="AA52" s="16"/>
      <c r="AB52" s="16"/>
      <c r="AC52" s="16"/>
      <c r="AD52" s="16"/>
      <c r="AE52" s="16"/>
      <c r="AF52" s="16"/>
      <c r="AK52" s="33"/>
      <c r="AL52" s="33"/>
    </row>
    <row r="53">
      <c r="A53" s="32" t="s">
        <v>31</v>
      </c>
      <c r="B53" s="32" t="s">
        <v>65</v>
      </c>
      <c r="C53" s="33">
        <v>0.0</v>
      </c>
      <c r="D53" s="33">
        <f t="shared" si="3"/>
        <v>0</v>
      </c>
      <c r="E53" s="16"/>
      <c r="F53" s="16"/>
      <c r="G53" s="16"/>
      <c r="H53" s="16"/>
      <c r="I53" s="16"/>
      <c r="J53" s="16"/>
      <c r="K53" s="16"/>
      <c r="L53" s="18" t="s">
        <v>40</v>
      </c>
      <c r="M53" s="32" t="s">
        <v>63</v>
      </c>
      <c r="N53" s="32" t="s">
        <v>72</v>
      </c>
      <c r="O53" s="32">
        <v>3585.01</v>
      </c>
      <c r="P53" s="32">
        <v>1497.2162</v>
      </c>
      <c r="Q53" s="32">
        <v>3.577612393E9</v>
      </c>
      <c r="R53" s="33"/>
      <c r="S53" s="36" t="s">
        <v>34</v>
      </c>
      <c r="T53" s="32" t="s">
        <v>74</v>
      </c>
      <c r="U53" s="32" t="s">
        <v>72</v>
      </c>
      <c r="V53" s="33">
        <v>411.36</v>
      </c>
      <c r="W53" s="18">
        <v>467.0651</v>
      </c>
      <c r="X53" s="18">
        <v>6.403064495E8</v>
      </c>
      <c r="Y53" s="16"/>
      <c r="Z53" s="16"/>
      <c r="AA53" s="16"/>
      <c r="AB53" s="16"/>
      <c r="AC53" s="16"/>
      <c r="AD53" s="16"/>
      <c r="AE53" s="16"/>
      <c r="AF53" s="16"/>
      <c r="AK53" s="33"/>
      <c r="AL53" s="33"/>
    </row>
    <row r="54">
      <c r="A54" s="32" t="s">
        <v>31</v>
      </c>
      <c r="B54" s="32" t="s">
        <v>66</v>
      </c>
      <c r="C54" s="33">
        <v>0.0</v>
      </c>
      <c r="D54" s="33">
        <f t="shared" si="3"/>
        <v>0</v>
      </c>
      <c r="E54" s="16"/>
      <c r="F54" s="16"/>
      <c r="G54" s="16"/>
      <c r="H54" s="16"/>
      <c r="I54" s="16"/>
      <c r="J54" s="16"/>
      <c r="K54" s="16"/>
      <c r="L54" s="18" t="s">
        <v>37</v>
      </c>
      <c r="M54" s="32" t="s">
        <v>35</v>
      </c>
      <c r="N54" s="32" t="s">
        <v>33</v>
      </c>
      <c r="O54" s="32">
        <v>110329.9</v>
      </c>
      <c r="P54" s="32">
        <v>475.5078</v>
      </c>
      <c r="Q54" s="32">
        <v>4.4644204206E10</v>
      </c>
      <c r="R54" s="33"/>
      <c r="S54" s="36" t="s">
        <v>34</v>
      </c>
      <c r="T54" s="32" t="s">
        <v>75</v>
      </c>
      <c r="U54" s="32" t="s">
        <v>72</v>
      </c>
      <c r="V54" s="33">
        <v>2702.24</v>
      </c>
      <c r="W54" s="18">
        <v>1526.6262</v>
      </c>
      <c r="X54" s="18">
        <v>1.3748174507E10</v>
      </c>
      <c r="Y54" s="16"/>
      <c r="Z54" s="16"/>
      <c r="AA54" s="16"/>
      <c r="AB54" s="16"/>
      <c r="AC54" s="16"/>
      <c r="AD54" s="16"/>
      <c r="AE54" s="16"/>
      <c r="AF54" s="16"/>
      <c r="AK54" s="33"/>
      <c r="AL54" s="33"/>
    </row>
    <row r="55">
      <c r="A55" s="32" t="s">
        <v>31</v>
      </c>
      <c r="B55" s="32" t="s">
        <v>67</v>
      </c>
      <c r="C55" s="33">
        <v>0.0</v>
      </c>
      <c r="D55" s="33">
        <f t="shared" si="3"/>
        <v>0</v>
      </c>
      <c r="E55" s="16"/>
      <c r="F55" s="16"/>
      <c r="G55" s="16"/>
      <c r="H55" s="16"/>
      <c r="I55" s="16"/>
      <c r="J55" s="16"/>
      <c r="K55" s="16"/>
      <c r="L55" s="18" t="s">
        <v>37</v>
      </c>
      <c r="M55" s="32" t="s">
        <v>63</v>
      </c>
      <c r="N55" s="32" t="s">
        <v>66</v>
      </c>
      <c r="O55" s="32">
        <v>44690.48</v>
      </c>
      <c r="P55" s="32">
        <v>424.516</v>
      </c>
      <c r="Q55" s="32">
        <v>1.2645250863E10</v>
      </c>
      <c r="R55" s="33"/>
      <c r="S55" s="36" t="s">
        <v>36</v>
      </c>
      <c r="T55" s="32" t="s">
        <v>31</v>
      </c>
      <c r="U55" s="32" t="s">
        <v>33</v>
      </c>
      <c r="V55" s="33">
        <v>881.92</v>
      </c>
      <c r="W55" s="18">
        <v>1362.6505</v>
      </c>
      <c r="X55" s="18">
        <v>5.113260467E9</v>
      </c>
      <c r="Y55" s="16"/>
      <c r="Z55" s="16"/>
      <c r="AA55" s="16"/>
      <c r="AB55" s="16"/>
      <c r="AC55" s="16"/>
      <c r="AD55" s="16"/>
      <c r="AE55" s="16"/>
      <c r="AF55" s="16"/>
      <c r="AK55" s="33"/>
      <c r="AL55" s="33"/>
    </row>
    <row r="56">
      <c r="A56" s="32" t="s">
        <v>31</v>
      </c>
      <c r="B56" s="32" t="s">
        <v>68</v>
      </c>
      <c r="C56" s="33">
        <v>0.0</v>
      </c>
      <c r="D56" s="33">
        <f t="shared" si="3"/>
        <v>0</v>
      </c>
      <c r="E56" s="16"/>
      <c r="F56" s="16"/>
      <c r="G56" s="16"/>
      <c r="H56" s="16"/>
      <c r="I56" s="16"/>
      <c r="J56" s="16"/>
      <c r="K56" s="16"/>
      <c r="L56" s="18" t="s">
        <v>37</v>
      </c>
      <c r="M56" s="32" t="s">
        <v>63</v>
      </c>
      <c r="N56" s="32" t="s">
        <v>72</v>
      </c>
      <c r="O56" s="32">
        <v>32343.44</v>
      </c>
      <c r="P56" s="32">
        <v>1497.2162</v>
      </c>
      <c r="Q56" s="32">
        <v>3.2276699859E10</v>
      </c>
      <c r="R56" s="33"/>
      <c r="S56" s="36" t="s">
        <v>36</v>
      </c>
      <c r="T56" s="32" t="s">
        <v>34</v>
      </c>
      <c r="U56" s="32" t="s">
        <v>33</v>
      </c>
      <c r="V56" s="33">
        <v>768.89</v>
      </c>
      <c r="W56" s="18">
        <v>966.6815</v>
      </c>
      <c r="X56" s="18">
        <v>3.162509622E9</v>
      </c>
      <c r="Y56" s="16"/>
      <c r="Z56" s="16"/>
      <c r="AA56" s="16"/>
      <c r="AB56" s="16"/>
      <c r="AC56" s="16"/>
      <c r="AD56" s="16"/>
      <c r="AE56" s="16"/>
      <c r="AF56" s="16"/>
      <c r="AK56" s="33"/>
      <c r="AL56" s="33"/>
    </row>
    <row r="57">
      <c r="A57" s="32" t="s">
        <v>31</v>
      </c>
      <c r="B57" s="32" t="s">
        <v>69</v>
      </c>
      <c r="C57" s="33">
        <v>0.0</v>
      </c>
      <c r="D57" s="33">
        <f t="shared" si="3"/>
        <v>0</v>
      </c>
      <c r="E57" s="16"/>
      <c r="F57" s="16"/>
      <c r="G57" s="16"/>
      <c r="H57" s="16"/>
      <c r="I57" s="16"/>
      <c r="J57" s="16"/>
      <c r="K57" s="16"/>
      <c r="L57" s="18" t="s">
        <v>62</v>
      </c>
      <c r="M57" s="32" t="s">
        <v>33</v>
      </c>
      <c r="N57" s="32" t="s">
        <v>35</v>
      </c>
      <c r="O57" s="32">
        <v>2166.84</v>
      </c>
      <c r="P57" s="32">
        <v>475.5078</v>
      </c>
      <c r="Q57" s="32">
        <v>8.76796294E8</v>
      </c>
      <c r="R57" s="33"/>
      <c r="S57" s="36" t="s">
        <v>36</v>
      </c>
      <c r="T57" s="32" t="s">
        <v>32</v>
      </c>
      <c r="U57" s="32" t="s">
        <v>33</v>
      </c>
      <c r="V57" s="33">
        <v>2095.4</v>
      </c>
      <c r="W57" s="18">
        <v>525.4495</v>
      </c>
      <c r="X57" s="18">
        <v>4.684704428E9</v>
      </c>
      <c r="Y57" s="16"/>
      <c r="Z57" s="16"/>
      <c r="AA57" s="16"/>
      <c r="AB57" s="16"/>
      <c r="AC57" s="16"/>
      <c r="AD57" s="16"/>
      <c r="AE57" s="16"/>
      <c r="AF57" s="16"/>
      <c r="AK57" s="33"/>
      <c r="AL57" s="33"/>
    </row>
    <row r="58">
      <c r="A58" s="32" t="s">
        <v>31</v>
      </c>
      <c r="B58" s="32" t="s">
        <v>70</v>
      </c>
      <c r="C58" s="33">
        <v>0.0</v>
      </c>
      <c r="D58" s="33">
        <f t="shared" si="3"/>
        <v>0</v>
      </c>
      <c r="E58" s="16"/>
      <c r="F58" s="16"/>
      <c r="G58" s="16"/>
      <c r="H58" s="16"/>
      <c r="I58" s="16"/>
      <c r="J58" s="16"/>
      <c r="K58" s="16"/>
      <c r="L58" s="18" t="s">
        <v>62</v>
      </c>
      <c r="M58" s="32" t="s">
        <v>33</v>
      </c>
      <c r="N58" s="32" t="s">
        <v>64</v>
      </c>
      <c r="O58" s="32">
        <v>35815.52</v>
      </c>
      <c r="P58" s="32">
        <v>894.5228</v>
      </c>
      <c r="Q58" s="32">
        <v>2.726320462E10</v>
      </c>
      <c r="R58" s="33"/>
      <c r="S58" s="36" t="s">
        <v>36</v>
      </c>
      <c r="T58" s="32" t="s">
        <v>38</v>
      </c>
      <c r="U58" s="32" t="s">
        <v>33</v>
      </c>
      <c r="V58" s="33">
        <v>575.8</v>
      </c>
      <c r="W58" s="18">
        <v>176.4669</v>
      </c>
      <c r="X58" s="18">
        <v>4.323338205E8</v>
      </c>
      <c r="Y58" s="16"/>
      <c r="Z58" s="16"/>
      <c r="AA58" s="16"/>
      <c r="AB58" s="16"/>
      <c r="AC58" s="16"/>
      <c r="AD58" s="16"/>
      <c r="AE58" s="16"/>
      <c r="AF58" s="16"/>
      <c r="AK58" s="33"/>
      <c r="AL58" s="33"/>
    </row>
    <row r="59">
      <c r="A59" s="32" t="s">
        <v>31</v>
      </c>
      <c r="B59" s="32" t="s">
        <v>71</v>
      </c>
      <c r="C59" s="33">
        <v>0.0</v>
      </c>
      <c r="D59" s="33">
        <f t="shared" si="3"/>
        <v>0</v>
      </c>
      <c r="E59" s="16"/>
      <c r="F59" s="16"/>
      <c r="G59" s="16"/>
      <c r="H59" s="16"/>
      <c r="I59" s="16"/>
      <c r="J59" s="16"/>
      <c r="K59" s="16"/>
      <c r="L59" s="18" t="s">
        <v>62</v>
      </c>
      <c r="M59" s="32" t="s">
        <v>64</v>
      </c>
      <c r="N59" s="32" t="s">
        <v>63</v>
      </c>
      <c r="O59" s="32">
        <v>35815.52</v>
      </c>
      <c r="P59" s="32">
        <v>197.4577</v>
      </c>
      <c r="Q59" s="32">
        <v>7.029065036E9</v>
      </c>
      <c r="R59" s="33"/>
      <c r="S59" s="36" t="s">
        <v>36</v>
      </c>
      <c r="T59" s="32" t="s">
        <v>33</v>
      </c>
      <c r="U59" s="32" t="s">
        <v>33</v>
      </c>
      <c r="V59" s="33">
        <v>4265.72</v>
      </c>
      <c r="W59" s="18">
        <v>0.0</v>
      </c>
      <c r="X59" s="18">
        <v>0.0</v>
      </c>
      <c r="Y59" s="16"/>
      <c r="Z59" s="16"/>
      <c r="AA59" s="16"/>
      <c r="AB59" s="16"/>
      <c r="AC59" s="16"/>
      <c r="AD59" s="16"/>
      <c r="AE59" s="16"/>
      <c r="AF59" s="16"/>
      <c r="AK59" s="33"/>
      <c r="AL59" s="33"/>
    </row>
    <row r="60">
      <c r="A60" s="32" t="s">
        <v>31</v>
      </c>
      <c r="B60" s="32" t="s">
        <v>72</v>
      </c>
      <c r="C60" s="33">
        <v>0.0</v>
      </c>
      <c r="D60" s="33">
        <f t="shared" si="3"/>
        <v>0</v>
      </c>
      <c r="E60" s="16"/>
      <c r="F60" s="16"/>
      <c r="G60" s="16"/>
      <c r="H60" s="16"/>
      <c r="I60" s="16"/>
      <c r="J60" s="16"/>
      <c r="K60" s="16"/>
      <c r="L60" s="18" t="s">
        <v>62</v>
      </c>
      <c r="M60" s="32" t="s">
        <v>63</v>
      </c>
      <c r="N60" s="32" t="s">
        <v>66</v>
      </c>
      <c r="O60" s="32">
        <v>3291.32</v>
      </c>
      <c r="P60" s="32">
        <v>424.516</v>
      </c>
      <c r="Q60" s="32">
        <v>9.312848524E8</v>
      </c>
      <c r="R60" s="33"/>
      <c r="S60" s="36" t="s">
        <v>36</v>
      </c>
      <c r="T60" s="32" t="s">
        <v>39</v>
      </c>
      <c r="U60" s="32" t="s">
        <v>35</v>
      </c>
      <c r="V60" s="33">
        <v>10479.28</v>
      </c>
      <c r="W60" s="18">
        <v>186.18</v>
      </c>
      <c r="X60" s="18">
        <v>8.301349308E9</v>
      </c>
      <c r="Y60" s="16"/>
      <c r="Z60" s="16"/>
      <c r="AA60" s="16"/>
      <c r="AB60" s="16"/>
      <c r="AC60" s="16"/>
      <c r="AD60" s="16"/>
      <c r="AE60" s="16"/>
      <c r="AF60" s="16"/>
      <c r="AK60" s="33"/>
      <c r="AL60" s="33"/>
    </row>
    <row r="61">
      <c r="A61" s="32" t="s">
        <v>31</v>
      </c>
      <c r="B61" s="32" t="s">
        <v>73</v>
      </c>
      <c r="C61" s="33">
        <v>0.0</v>
      </c>
      <c r="D61" s="33">
        <f t="shared" si="3"/>
        <v>0</v>
      </c>
      <c r="E61" s="16"/>
      <c r="F61" s="16"/>
      <c r="G61" s="16"/>
      <c r="H61" s="16"/>
      <c r="I61" s="16"/>
      <c r="J61" s="16"/>
      <c r="K61" s="16"/>
      <c r="L61" s="18" t="s">
        <v>62</v>
      </c>
      <c r="M61" s="32" t="s">
        <v>63</v>
      </c>
      <c r="N61" s="32" t="s">
        <v>72</v>
      </c>
      <c r="O61" s="32">
        <v>691.16</v>
      </c>
      <c r="P61" s="32">
        <v>1497.2162</v>
      </c>
      <c r="Q61" s="32">
        <v>6.89733803E8</v>
      </c>
      <c r="R61" s="33"/>
      <c r="S61" s="36" t="s">
        <v>36</v>
      </c>
      <c r="T61" s="32" t="s">
        <v>35</v>
      </c>
      <c r="U61" s="32" t="s">
        <v>35</v>
      </c>
      <c r="V61" s="33">
        <v>5041.36</v>
      </c>
      <c r="W61" s="18">
        <v>0.0</v>
      </c>
      <c r="X61" s="18">
        <v>0.0</v>
      </c>
      <c r="Y61" s="16"/>
      <c r="Z61" s="16"/>
      <c r="AA61" s="16"/>
      <c r="AB61" s="16"/>
      <c r="AC61" s="16"/>
      <c r="AD61" s="16"/>
      <c r="AE61" s="16"/>
      <c r="AF61" s="16"/>
      <c r="AK61" s="33"/>
      <c r="AL61" s="33"/>
    </row>
    <row r="62">
      <c r="A62" s="32" t="s">
        <v>31</v>
      </c>
      <c r="B62" s="32" t="s">
        <v>74</v>
      </c>
      <c r="C62" s="33">
        <v>0.0</v>
      </c>
      <c r="D62" s="33">
        <f t="shared" si="3"/>
        <v>0</v>
      </c>
      <c r="E62" s="16"/>
      <c r="F62" s="16"/>
      <c r="G62" s="16"/>
      <c r="H62" s="16"/>
      <c r="I62" s="16"/>
      <c r="J62" s="16"/>
      <c r="K62" s="16"/>
      <c r="L62" s="18" t="s">
        <v>64</v>
      </c>
      <c r="M62" s="32" t="s">
        <v>64</v>
      </c>
      <c r="N62" s="32" t="s">
        <v>33</v>
      </c>
      <c r="O62" s="32">
        <v>183633.68</v>
      </c>
      <c r="P62" s="32">
        <v>894.5228</v>
      </c>
      <c r="Q62" s="81">
        <v>1.39784E11</v>
      </c>
      <c r="R62" s="33"/>
      <c r="S62" s="36" t="s">
        <v>36</v>
      </c>
      <c r="T62" s="32" t="s">
        <v>40</v>
      </c>
      <c r="U62" s="32" t="s">
        <v>35</v>
      </c>
      <c r="V62" s="33">
        <v>841.95</v>
      </c>
      <c r="W62" s="18">
        <v>403.0102</v>
      </c>
      <c r="X62" s="18">
        <v>1.443732084E9</v>
      </c>
      <c r="Y62" s="16"/>
      <c r="Z62" s="16"/>
      <c r="AA62" s="16"/>
      <c r="AB62" s="16"/>
      <c r="AC62" s="16"/>
      <c r="AD62" s="16"/>
      <c r="AE62" s="16"/>
      <c r="AF62" s="16"/>
      <c r="AK62" s="33"/>
      <c r="AL62" s="33"/>
    </row>
    <row r="63">
      <c r="A63" s="32" t="s">
        <v>31</v>
      </c>
      <c r="B63" s="32" t="s">
        <v>75</v>
      </c>
      <c r="C63" s="33">
        <v>0.0</v>
      </c>
      <c r="D63" s="33">
        <f t="shared" si="3"/>
        <v>0</v>
      </c>
      <c r="E63" s="16"/>
      <c r="F63" s="16"/>
      <c r="G63" s="16"/>
      <c r="H63" s="16"/>
      <c r="I63" s="16"/>
      <c r="J63" s="16"/>
      <c r="K63" s="16"/>
      <c r="L63" s="18" t="s">
        <v>64</v>
      </c>
      <c r="M63" s="32" t="s">
        <v>64</v>
      </c>
      <c r="N63" s="32" t="s">
        <v>35</v>
      </c>
      <c r="O63" s="32">
        <v>55733.92</v>
      </c>
      <c r="P63" s="32">
        <v>781.4544</v>
      </c>
      <c r="Q63" s="32">
        <v>3.7062738287E10</v>
      </c>
      <c r="R63" s="33"/>
      <c r="S63" s="36" t="s">
        <v>36</v>
      </c>
      <c r="T63" s="32" t="s">
        <v>37</v>
      </c>
      <c r="U63" s="32" t="s">
        <v>35</v>
      </c>
      <c r="V63" s="33">
        <v>2415.04</v>
      </c>
      <c r="W63" s="18">
        <v>658.2451</v>
      </c>
      <c r="X63" s="18">
        <v>6.763885197E9</v>
      </c>
      <c r="Y63" s="16"/>
      <c r="Z63" s="16"/>
      <c r="AA63" s="16"/>
      <c r="AB63" s="16"/>
      <c r="AC63" s="16"/>
      <c r="AD63" s="16"/>
      <c r="AE63" s="16"/>
      <c r="AF63" s="16"/>
      <c r="AK63" s="33"/>
      <c r="AL63" s="33"/>
    </row>
    <row r="64">
      <c r="A64" s="32" t="s">
        <v>34</v>
      </c>
      <c r="B64" s="32" t="s">
        <v>36</v>
      </c>
      <c r="C64" s="33">
        <v>0.0</v>
      </c>
      <c r="D64" s="33">
        <f t="shared" si="3"/>
        <v>0</v>
      </c>
      <c r="E64" s="16"/>
      <c r="F64" s="16"/>
      <c r="G64" s="16"/>
      <c r="H64" s="16"/>
      <c r="I64" s="16"/>
      <c r="J64" s="16"/>
      <c r="K64" s="16"/>
      <c r="L64" s="18" t="s">
        <v>64</v>
      </c>
      <c r="M64" s="32" t="s">
        <v>63</v>
      </c>
      <c r="N64" s="32" t="s">
        <v>64</v>
      </c>
      <c r="O64" s="32">
        <v>239367.6</v>
      </c>
      <c r="P64" s="32">
        <v>197.4577</v>
      </c>
      <c r="Q64" s="32">
        <v>4.69776909E10</v>
      </c>
      <c r="R64" s="33"/>
      <c r="S64" s="36" t="s">
        <v>36</v>
      </c>
      <c r="T64" s="32" t="s">
        <v>62</v>
      </c>
      <c r="U64" s="32" t="s">
        <v>33</v>
      </c>
      <c r="V64" s="33">
        <v>3394.92</v>
      </c>
      <c r="W64" s="18">
        <v>541.8429</v>
      </c>
      <c r="X64" s="18">
        <v>7.826853799E9</v>
      </c>
      <c r="Y64" s="16"/>
      <c r="Z64" s="16"/>
      <c r="AA64" s="16"/>
      <c r="AB64" s="16"/>
      <c r="AC64" s="16"/>
      <c r="AD64" s="16"/>
      <c r="AE64" s="16"/>
      <c r="AF64" s="16"/>
      <c r="AK64" s="33"/>
      <c r="AL64" s="33"/>
    </row>
    <row r="65">
      <c r="A65" s="32" t="s">
        <v>34</v>
      </c>
      <c r="B65" s="32" t="s">
        <v>32</v>
      </c>
      <c r="C65" s="33">
        <v>0.0</v>
      </c>
      <c r="D65" s="33">
        <f t="shared" si="3"/>
        <v>0</v>
      </c>
      <c r="E65" s="16"/>
      <c r="F65" s="16"/>
      <c r="G65" s="16"/>
      <c r="H65" s="16"/>
      <c r="I65" s="16"/>
      <c r="J65" s="16"/>
      <c r="K65" s="16"/>
      <c r="L65" s="18" t="s">
        <v>64</v>
      </c>
      <c r="M65" s="32" t="s">
        <v>63</v>
      </c>
      <c r="N65" s="32" t="s">
        <v>66</v>
      </c>
      <c r="O65" s="32">
        <v>369329.08</v>
      </c>
      <c r="P65" s="32">
        <v>424.516</v>
      </c>
      <c r="Q65" s="81">
        <v>1.04502E11</v>
      </c>
      <c r="R65" s="33"/>
      <c r="S65" s="36" t="s">
        <v>36</v>
      </c>
      <c r="T65" s="32" t="s">
        <v>64</v>
      </c>
      <c r="U65" s="32" t="s">
        <v>63</v>
      </c>
      <c r="V65" s="33">
        <v>16119.0</v>
      </c>
      <c r="W65" s="18">
        <v>197.4577</v>
      </c>
      <c r="X65" s="18">
        <v>1.5817374607E10</v>
      </c>
      <c r="Y65" s="16"/>
      <c r="Z65" s="16"/>
      <c r="AA65" s="16"/>
      <c r="AB65" s="16"/>
      <c r="AC65" s="16"/>
      <c r="AD65" s="16"/>
      <c r="AE65" s="16"/>
      <c r="AF65" s="16"/>
      <c r="AK65" s="33"/>
      <c r="AL65" s="33"/>
    </row>
    <row r="66">
      <c r="A66" s="32" t="s">
        <v>34</v>
      </c>
      <c r="B66" s="32" t="s">
        <v>38</v>
      </c>
      <c r="C66" s="33">
        <v>0.0</v>
      </c>
      <c r="D66" s="33">
        <f t="shared" si="3"/>
        <v>0</v>
      </c>
      <c r="E66" s="16"/>
      <c r="F66" s="16"/>
      <c r="G66" s="16"/>
      <c r="H66" s="16"/>
      <c r="I66" s="16"/>
      <c r="J66" s="16"/>
      <c r="K66" s="16"/>
      <c r="L66" s="18" t="s">
        <v>64</v>
      </c>
      <c r="M66" s="32" t="s">
        <v>63</v>
      </c>
      <c r="N66" s="32" t="s">
        <v>72</v>
      </c>
      <c r="O66" s="32">
        <v>43765.44</v>
      </c>
      <c r="P66" s="32">
        <v>1497.2162</v>
      </c>
      <c r="Q66" s="32">
        <v>4.3675130756E10</v>
      </c>
      <c r="R66" s="33"/>
      <c r="S66" s="36" t="s">
        <v>36</v>
      </c>
      <c r="T66" s="32" t="s">
        <v>63</v>
      </c>
      <c r="U66" s="32" t="s">
        <v>63</v>
      </c>
      <c r="V66" s="33">
        <v>15440.16</v>
      </c>
      <c r="W66" s="18">
        <v>0.0</v>
      </c>
      <c r="X66" s="18">
        <v>0.0</v>
      </c>
      <c r="Y66" s="16"/>
      <c r="Z66" s="16"/>
      <c r="AA66" s="16"/>
      <c r="AB66" s="16"/>
      <c r="AC66" s="16"/>
      <c r="AD66" s="16"/>
      <c r="AE66" s="16"/>
      <c r="AF66" s="16"/>
      <c r="AK66" s="33"/>
      <c r="AL66" s="33"/>
    </row>
    <row r="67">
      <c r="A67" s="32" t="s">
        <v>34</v>
      </c>
      <c r="B67" s="32" t="s">
        <v>33</v>
      </c>
      <c r="C67" s="33">
        <v>0.0</v>
      </c>
      <c r="D67" s="33">
        <f t="shared" si="3"/>
        <v>0</v>
      </c>
      <c r="E67" s="16"/>
      <c r="F67" s="16"/>
      <c r="G67" s="16"/>
      <c r="H67" s="16"/>
      <c r="I67" s="16"/>
      <c r="J67" s="16"/>
      <c r="K67" s="16"/>
      <c r="L67" s="18" t="s">
        <v>63</v>
      </c>
      <c r="M67" s="32" t="s">
        <v>64</v>
      </c>
      <c r="N67" s="32" t="s">
        <v>33</v>
      </c>
      <c r="O67" s="32">
        <v>408086.43</v>
      </c>
      <c r="P67" s="32">
        <v>894.5228</v>
      </c>
      <c r="Q67" s="81">
        <v>3.1064E11</v>
      </c>
      <c r="R67" s="33"/>
      <c r="S67" s="36" t="s">
        <v>36</v>
      </c>
      <c r="T67" s="32" t="s">
        <v>65</v>
      </c>
      <c r="U67" s="32" t="s">
        <v>66</v>
      </c>
      <c r="V67" s="33">
        <v>1876.88</v>
      </c>
      <c r="W67" s="18">
        <v>79.8162</v>
      </c>
      <c r="X67" s="18">
        <v>4.99247783E8</v>
      </c>
      <c r="Y67" s="16"/>
      <c r="Z67" s="16"/>
      <c r="AA67" s="16"/>
      <c r="AB67" s="16"/>
      <c r="AC67" s="16"/>
      <c r="AD67" s="16"/>
      <c r="AE67" s="16"/>
      <c r="AF67" s="16"/>
      <c r="AK67" s="33"/>
      <c r="AL67" s="33"/>
    </row>
    <row r="68">
      <c r="A68" s="32" t="s">
        <v>34</v>
      </c>
      <c r="B68" s="32" t="s">
        <v>39</v>
      </c>
      <c r="C68" s="33">
        <v>0.0</v>
      </c>
      <c r="D68" s="33">
        <f t="shared" si="3"/>
        <v>0</v>
      </c>
      <c r="E68" s="16"/>
      <c r="F68" s="16"/>
      <c r="G68" s="16"/>
      <c r="H68" s="16"/>
      <c r="I68" s="16"/>
      <c r="J68" s="16"/>
      <c r="K68" s="16"/>
      <c r="L68" s="18" t="s">
        <v>63</v>
      </c>
      <c r="M68" s="32" t="s">
        <v>64</v>
      </c>
      <c r="N68" s="32" t="s">
        <v>35</v>
      </c>
      <c r="O68" s="32">
        <v>99839.13</v>
      </c>
      <c r="P68" s="32">
        <v>781.4544</v>
      </c>
      <c r="Q68" s="32">
        <v>6.639245088E10</v>
      </c>
      <c r="R68" s="33"/>
      <c r="S68" s="36" t="s">
        <v>36</v>
      </c>
      <c r="T68" s="32" t="s">
        <v>66</v>
      </c>
      <c r="U68" s="32" t="s">
        <v>66</v>
      </c>
      <c r="V68" s="33">
        <v>45357.84</v>
      </c>
      <c r="W68" s="18">
        <v>0.0</v>
      </c>
      <c r="X68" s="18">
        <v>0.0</v>
      </c>
      <c r="Y68" s="16"/>
      <c r="Z68" s="16"/>
      <c r="AA68" s="16"/>
      <c r="AB68" s="16"/>
      <c r="AC68" s="16"/>
      <c r="AD68" s="16"/>
      <c r="AE68" s="16"/>
      <c r="AF68" s="16"/>
      <c r="AK68" s="33"/>
      <c r="AL68" s="33"/>
    </row>
    <row r="69">
      <c r="A69" s="32" t="s">
        <v>34</v>
      </c>
      <c r="B69" s="32" t="s">
        <v>35</v>
      </c>
      <c r="C69" s="33">
        <v>0.0</v>
      </c>
      <c r="D69" s="33">
        <f t="shared" si="3"/>
        <v>0</v>
      </c>
      <c r="E69" s="16"/>
      <c r="F69" s="16"/>
      <c r="G69" s="16"/>
      <c r="H69" s="16"/>
      <c r="I69" s="16"/>
      <c r="J69" s="16"/>
      <c r="K69" s="16"/>
      <c r="L69" s="18" t="s">
        <v>63</v>
      </c>
      <c r="M69" s="32" t="s">
        <v>63</v>
      </c>
      <c r="N69" s="32" t="s">
        <v>64</v>
      </c>
      <c r="O69" s="32">
        <v>507925.56</v>
      </c>
      <c r="P69" s="32">
        <v>197.4577</v>
      </c>
      <c r="Q69" s="32">
        <v>9.9684209382E10</v>
      </c>
      <c r="R69" s="33"/>
      <c r="S69" s="36" t="s">
        <v>36</v>
      </c>
      <c r="T69" s="32" t="s">
        <v>67</v>
      </c>
      <c r="U69" s="32" t="s">
        <v>66</v>
      </c>
      <c r="V69" s="33">
        <v>1106.2</v>
      </c>
      <c r="W69" s="18">
        <v>294.9322</v>
      </c>
      <c r="X69" s="18">
        <v>1.087287048E9</v>
      </c>
      <c r="Y69" s="16"/>
      <c r="Z69" s="16"/>
      <c r="AA69" s="16"/>
      <c r="AB69" s="16"/>
      <c r="AC69" s="16"/>
      <c r="AD69" s="16"/>
      <c r="AE69" s="16"/>
      <c r="AF69" s="16"/>
      <c r="AK69" s="33"/>
      <c r="AL69" s="33"/>
    </row>
    <row r="70">
      <c r="A70" s="32" t="s">
        <v>34</v>
      </c>
      <c r="B70" s="32" t="s">
        <v>40</v>
      </c>
      <c r="C70" s="33">
        <v>0.0</v>
      </c>
      <c r="D70" s="33">
        <f t="shared" si="3"/>
        <v>0</v>
      </c>
      <c r="E70" s="16"/>
      <c r="F70" s="16"/>
      <c r="G70" s="16"/>
      <c r="H70" s="16"/>
      <c r="I70" s="16"/>
      <c r="J70" s="16"/>
      <c r="K70" s="16"/>
      <c r="L70" s="18" t="s">
        <v>63</v>
      </c>
      <c r="M70" s="32" t="s">
        <v>63</v>
      </c>
      <c r="N70" s="32" t="s">
        <v>66</v>
      </c>
      <c r="O70" s="32">
        <v>163337.88</v>
      </c>
      <c r="P70" s="32">
        <v>424.516</v>
      </c>
      <c r="Q70" s="32">
        <v>4.621674388E10</v>
      </c>
      <c r="R70" s="33"/>
      <c r="S70" s="36" t="s">
        <v>36</v>
      </c>
      <c r="T70" s="32" t="s">
        <v>68</v>
      </c>
      <c r="U70" s="32" t="s">
        <v>63</v>
      </c>
      <c r="V70" s="33">
        <v>5173.2</v>
      </c>
      <c r="W70" s="18">
        <v>573.6388</v>
      </c>
      <c r="X70" s="18">
        <v>9.889770369E9</v>
      </c>
      <c r="Y70" s="16"/>
      <c r="Z70" s="16"/>
      <c r="AA70" s="16"/>
      <c r="AB70" s="16"/>
      <c r="AC70" s="16"/>
      <c r="AD70" s="16"/>
      <c r="AE70" s="16"/>
      <c r="AF70" s="16"/>
      <c r="AK70" s="33"/>
      <c r="AL70" s="33"/>
    </row>
    <row r="71">
      <c r="A71" s="32" t="s">
        <v>34</v>
      </c>
      <c r="B71" s="32" t="s">
        <v>37</v>
      </c>
      <c r="C71" s="33">
        <v>0.0</v>
      </c>
      <c r="D71" s="33">
        <f t="shared" si="3"/>
        <v>0</v>
      </c>
      <c r="E71" s="16"/>
      <c r="F71" s="16"/>
      <c r="G71" s="16"/>
      <c r="H71" s="16"/>
      <c r="I71" s="16"/>
      <c r="J71" s="16"/>
      <c r="K71" s="16"/>
      <c r="L71" s="18" t="s">
        <v>63</v>
      </c>
      <c r="M71" s="32" t="s">
        <v>63</v>
      </c>
      <c r="N71" s="32" t="s">
        <v>72</v>
      </c>
      <c r="O71" s="32">
        <v>49171.12</v>
      </c>
      <c r="P71" s="32">
        <v>1497.2162</v>
      </c>
      <c r="Q71" s="32">
        <v>4.9069656227E10</v>
      </c>
      <c r="R71" s="33"/>
      <c r="S71" s="36" t="s">
        <v>36</v>
      </c>
      <c r="T71" s="32" t="s">
        <v>69</v>
      </c>
      <c r="U71" s="32" t="s">
        <v>66</v>
      </c>
      <c r="V71" s="33">
        <v>296.8</v>
      </c>
      <c r="W71" s="18">
        <v>706.8772</v>
      </c>
      <c r="X71" s="18">
        <v>6.991917239E8</v>
      </c>
      <c r="Y71" s="16"/>
      <c r="Z71" s="16"/>
      <c r="AA71" s="16"/>
      <c r="AB71" s="16"/>
      <c r="AC71" s="16"/>
      <c r="AD71" s="16"/>
      <c r="AE71" s="16"/>
      <c r="AF71" s="16"/>
      <c r="AK71" s="33"/>
      <c r="AL71" s="33"/>
    </row>
    <row r="72">
      <c r="A72" s="32" t="s">
        <v>34</v>
      </c>
      <c r="B72" s="32" t="s">
        <v>62</v>
      </c>
      <c r="C72" s="33">
        <v>0.0</v>
      </c>
      <c r="D72" s="33">
        <f t="shared" si="3"/>
        <v>0</v>
      </c>
      <c r="E72" s="16"/>
      <c r="F72" s="16"/>
      <c r="G72" s="16"/>
      <c r="H72" s="16"/>
      <c r="I72" s="16"/>
      <c r="J72" s="16"/>
      <c r="K72" s="16"/>
      <c r="L72" s="18" t="s">
        <v>65</v>
      </c>
      <c r="M72" s="32" t="s">
        <v>64</v>
      </c>
      <c r="N72" s="32" t="s">
        <v>33</v>
      </c>
      <c r="O72" s="32">
        <v>9459.61</v>
      </c>
      <c r="P72" s="32">
        <v>894.5228</v>
      </c>
      <c r="Q72" s="32">
        <v>7.200768914E9</v>
      </c>
      <c r="R72" s="33"/>
      <c r="S72" s="36" t="s">
        <v>36</v>
      </c>
      <c r="T72" s="32" t="s">
        <v>70</v>
      </c>
      <c r="U72" s="32" t="s">
        <v>72</v>
      </c>
      <c r="V72" s="33">
        <v>1650.76</v>
      </c>
      <c r="W72" s="18">
        <v>255.0633</v>
      </c>
      <c r="X72" s="18">
        <v>1.40320229E9</v>
      </c>
      <c r="Y72" s="16"/>
      <c r="Z72" s="16"/>
      <c r="AA72" s="16"/>
      <c r="AB72" s="16"/>
      <c r="AC72" s="16"/>
      <c r="AD72" s="16"/>
      <c r="AE72" s="16"/>
      <c r="AF72" s="16"/>
      <c r="AK72" s="33"/>
      <c r="AL72" s="33"/>
    </row>
    <row r="73">
      <c r="A73" s="32" t="s">
        <v>34</v>
      </c>
      <c r="B73" s="32" t="s">
        <v>64</v>
      </c>
      <c r="C73" s="33">
        <v>0.0</v>
      </c>
      <c r="D73" s="33">
        <f t="shared" si="3"/>
        <v>0</v>
      </c>
      <c r="E73" s="16"/>
      <c r="F73" s="16"/>
      <c r="G73" s="16"/>
      <c r="H73" s="16"/>
      <c r="I73" s="16"/>
      <c r="J73" s="16"/>
      <c r="K73" s="16"/>
      <c r="L73" s="18" t="s">
        <v>65</v>
      </c>
      <c r="M73" s="32" t="s">
        <v>64</v>
      </c>
      <c r="N73" s="32" t="s">
        <v>35</v>
      </c>
      <c r="O73" s="32">
        <v>1866.95</v>
      </c>
      <c r="P73" s="32">
        <v>781.4544</v>
      </c>
      <c r="Q73" s="32">
        <v>1.241511081E9</v>
      </c>
      <c r="R73" s="33"/>
      <c r="S73" s="36" t="s">
        <v>36</v>
      </c>
      <c r="T73" s="32" t="s">
        <v>71</v>
      </c>
      <c r="U73" s="32" t="s">
        <v>63</v>
      </c>
      <c r="V73" s="33">
        <v>3549.16</v>
      </c>
      <c r="W73" s="18">
        <v>1250.3899</v>
      </c>
      <c r="X73" s="18">
        <v>1.4789702353E10</v>
      </c>
      <c r="Y73" s="16"/>
      <c r="Z73" s="16"/>
      <c r="AA73" s="16"/>
      <c r="AB73" s="16"/>
      <c r="AC73" s="16"/>
      <c r="AD73" s="16"/>
      <c r="AE73" s="16"/>
      <c r="AF73" s="16"/>
      <c r="AK73" s="33"/>
      <c r="AL73" s="33"/>
    </row>
    <row r="74">
      <c r="A74" s="32" t="s">
        <v>34</v>
      </c>
      <c r="B74" s="32" t="s">
        <v>63</v>
      </c>
      <c r="C74" s="33">
        <v>0.0</v>
      </c>
      <c r="D74" s="33">
        <f t="shared" si="3"/>
        <v>0</v>
      </c>
      <c r="E74" s="16"/>
      <c r="F74" s="16"/>
      <c r="G74" s="16"/>
      <c r="H74" s="16"/>
      <c r="I74" s="16"/>
      <c r="J74" s="16"/>
      <c r="K74" s="16"/>
      <c r="L74" s="18" t="s">
        <v>65</v>
      </c>
      <c r="M74" s="32" t="s">
        <v>63</v>
      </c>
      <c r="N74" s="32" t="s">
        <v>64</v>
      </c>
      <c r="O74" s="32">
        <v>11326.56</v>
      </c>
      <c r="P74" s="32">
        <v>197.4577</v>
      </c>
      <c r="Q74" s="32">
        <v>2.222922545E9</v>
      </c>
      <c r="R74" s="33"/>
      <c r="S74" s="36" t="s">
        <v>36</v>
      </c>
      <c r="T74" s="32" t="s">
        <v>72</v>
      </c>
      <c r="U74" s="32" t="s">
        <v>72</v>
      </c>
      <c r="V74" s="33">
        <v>1649.88</v>
      </c>
      <c r="W74" s="18">
        <v>0.0</v>
      </c>
      <c r="X74" s="18">
        <v>0.0</v>
      </c>
      <c r="Y74" s="16"/>
      <c r="Z74" s="16"/>
      <c r="AA74" s="16"/>
      <c r="AB74" s="16"/>
      <c r="AC74" s="16"/>
      <c r="AD74" s="16"/>
      <c r="AE74" s="16"/>
      <c r="AF74" s="16"/>
      <c r="AK74" s="33"/>
      <c r="AL74" s="33"/>
    </row>
    <row r="75">
      <c r="A75" s="32" t="s">
        <v>34</v>
      </c>
      <c r="B75" s="32" t="s">
        <v>65</v>
      </c>
      <c r="C75" s="33">
        <v>0.0</v>
      </c>
      <c r="D75" s="33">
        <f t="shared" si="3"/>
        <v>0</v>
      </c>
      <c r="E75" s="16"/>
      <c r="F75" s="16"/>
      <c r="G75" s="16"/>
      <c r="H75" s="16"/>
      <c r="I75" s="16"/>
      <c r="J75" s="16"/>
      <c r="K75" s="16"/>
      <c r="L75" s="18" t="s">
        <v>65</v>
      </c>
      <c r="M75" s="32" t="s">
        <v>66</v>
      </c>
      <c r="N75" s="32" t="s">
        <v>63</v>
      </c>
      <c r="O75" s="32">
        <v>43123.44</v>
      </c>
      <c r="P75" s="32">
        <v>424.516</v>
      </c>
      <c r="Q75" s="32">
        <v>1.2201854106E10</v>
      </c>
      <c r="R75" s="33"/>
      <c r="S75" s="36" t="s">
        <v>36</v>
      </c>
      <c r="T75" s="32" t="s">
        <v>73</v>
      </c>
      <c r="U75" s="32" t="s">
        <v>72</v>
      </c>
      <c r="V75" s="33">
        <v>3174.8</v>
      </c>
      <c r="W75" s="18">
        <v>505.2914</v>
      </c>
      <c r="X75" s="18">
        <v>5.346218587E9</v>
      </c>
      <c r="Y75" s="16"/>
      <c r="Z75" s="16"/>
      <c r="AA75" s="16"/>
      <c r="AB75" s="16"/>
      <c r="AC75" s="16"/>
      <c r="AD75" s="16"/>
      <c r="AE75" s="16"/>
      <c r="AF75" s="16"/>
      <c r="AK75" s="33"/>
      <c r="AL75" s="33"/>
    </row>
    <row r="76">
      <c r="A76" s="32" t="s">
        <v>34</v>
      </c>
      <c r="B76" s="32" t="s">
        <v>66</v>
      </c>
      <c r="C76" s="33">
        <v>0.0</v>
      </c>
      <c r="D76" s="33">
        <f t="shared" si="3"/>
        <v>0</v>
      </c>
      <c r="E76" s="16"/>
      <c r="F76" s="16"/>
      <c r="G76" s="16"/>
      <c r="H76" s="16"/>
      <c r="I76" s="16"/>
      <c r="J76" s="16"/>
      <c r="K76" s="16"/>
      <c r="L76" s="18" t="s">
        <v>65</v>
      </c>
      <c r="M76" s="32" t="s">
        <v>66</v>
      </c>
      <c r="N76" s="32" t="s">
        <v>72</v>
      </c>
      <c r="O76" s="32">
        <v>1742.36</v>
      </c>
      <c r="P76" s="32">
        <v>1142.0988</v>
      </c>
      <c r="Q76" s="32">
        <v>1.32635556E9</v>
      </c>
      <c r="R76" s="33"/>
      <c r="S76" s="36" t="s">
        <v>36</v>
      </c>
      <c r="T76" s="32" t="s">
        <v>74</v>
      </c>
      <c r="U76" s="32" t="s">
        <v>72</v>
      </c>
      <c r="V76" s="33">
        <v>148.64</v>
      </c>
      <c r="W76" s="18">
        <v>467.0651</v>
      </c>
      <c r="X76" s="18">
        <v>2.313670524E8</v>
      </c>
      <c r="Y76" s="16"/>
      <c r="Z76" s="16"/>
      <c r="AA76" s="16"/>
      <c r="AB76" s="16"/>
      <c r="AC76" s="16"/>
      <c r="AD76" s="16"/>
      <c r="AE76" s="16"/>
      <c r="AF76" s="16"/>
      <c r="AK76" s="33"/>
      <c r="AL76" s="33"/>
    </row>
    <row r="77">
      <c r="A77" s="32" t="s">
        <v>34</v>
      </c>
      <c r="B77" s="32" t="s">
        <v>67</v>
      </c>
      <c r="C77" s="33">
        <v>0.0</v>
      </c>
      <c r="D77" s="33">
        <f t="shared" si="3"/>
        <v>0</v>
      </c>
      <c r="E77" s="16"/>
      <c r="F77" s="16"/>
      <c r="G77" s="16"/>
      <c r="H77" s="16"/>
      <c r="I77" s="16"/>
      <c r="J77" s="16"/>
      <c r="K77" s="16"/>
      <c r="L77" s="18" t="s">
        <v>66</v>
      </c>
      <c r="M77" s="32" t="s">
        <v>64</v>
      </c>
      <c r="N77" s="32" t="s">
        <v>33</v>
      </c>
      <c r="O77" s="32">
        <v>214913.39</v>
      </c>
      <c r="P77" s="32">
        <v>894.5228</v>
      </c>
      <c r="Q77" s="81">
        <v>1.63595E11</v>
      </c>
      <c r="R77" s="33"/>
      <c r="S77" s="36" t="s">
        <v>36</v>
      </c>
      <c r="T77" s="32" t="s">
        <v>75</v>
      </c>
      <c r="U77" s="32" t="s">
        <v>72</v>
      </c>
      <c r="V77" s="33">
        <v>1238.6</v>
      </c>
      <c r="W77" s="18">
        <v>1526.6262</v>
      </c>
      <c r="X77" s="18">
        <v>6.301619747E9</v>
      </c>
      <c r="Y77" s="16"/>
      <c r="Z77" s="16"/>
      <c r="AA77" s="16"/>
      <c r="AB77" s="16"/>
      <c r="AC77" s="16"/>
      <c r="AD77" s="16"/>
      <c r="AE77" s="16"/>
      <c r="AF77" s="16"/>
      <c r="AK77" s="33"/>
      <c r="AL77" s="33"/>
    </row>
    <row r="78">
      <c r="A78" s="32" t="s">
        <v>34</v>
      </c>
      <c r="B78" s="32" t="s">
        <v>68</v>
      </c>
      <c r="C78" s="33">
        <v>0.0</v>
      </c>
      <c r="D78" s="33">
        <f t="shared" si="3"/>
        <v>0</v>
      </c>
      <c r="E78" s="16"/>
      <c r="F78" s="16"/>
      <c r="G78" s="16"/>
      <c r="H78" s="16"/>
      <c r="I78" s="16"/>
      <c r="J78" s="16"/>
      <c r="K78" s="16"/>
      <c r="L78" s="18" t="s">
        <v>66</v>
      </c>
      <c r="M78" s="32" t="s">
        <v>64</v>
      </c>
      <c r="N78" s="32" t="s">
        <v>35</v>
      </c>
      <c r="O78" s="32">
        <v>103136.37</v>
      </c>
      <c r="P78" s="32">
        <v>781.4544</v>
      </c>
      <c r="Q78" s="32">
        <v>6.8585096637E10</v>
      </c>
      <c r="R78" s="33"/>
      <c r="S78" s="36" t="s">
        <v>32</v>
      </c>
      <c r="T78" s="32" t="s">
        <v>31</v>
      </c>
      <c r="U78" s="32" t="s">
        <v>33</v>
      </c>
      <c r="V78" s="33">
        <v>2877.88</v>
      </c>
      <c r="W78" s="18">
        <v>1362.6505</v>
      </c>
      <c r="X78" s="18">
        <v>1.6685583762E10</v>
      </c>
      <c r="Y78" s="16"/>
      <c r="Z78" s="16"/>
      <c r="AA78" s="16"/>
      <c r="AB78" s="16"/>
      <c r="AC78" s="16"/>
      <c r="AD78" s="16"/>
      <c r="AE78" s="16"/>
      <c r="AF78" s="16"/>
      <c r="AK78" s="33"/>
      <c r="AL78" s="33"/>
    </row>
    <row r="79">
      <c r="A79" s="32" t="s">
        <v>34</v>
      </c>
      <c r="B79" s="32" t="s">
        <v>69</v>
      </c>
      <c r="C79" s="33">
        <v>0.0</v>
      </c>
      <c r="D79" s="33">
        <f t="shared" si="3"/>
        <v>0</v>
      </c>
      <c r="E79" s="16"/>
      <c r="F79" s="16"/>
      <c r="G79" s="16"/>
      <c r="H79" s="16"/>
      <c r="I79" s="16"/>
      <c r="J79" s="16"/>
      <c r="K79" s="16"/>
      <c r="L79" s="18" t="s">
        <v>66</v>
      </c>
      <c r="M79" s="32" t="s">
        <v>63</v>
      </c>
      <c r="N79" s="32" t="s">
        <v>64</v>
      </c>
      <c r="O79" s="32">
        <v>318049.76</v>
      </c>
      <c r="P79" s="32">
        <v>197.4577</v>
      </c>
      <c r="Q79" s="32">
        <v>6.2419656278E10</v>
      </c>
      <c r="R79" s="33"/>
      <c r="S79" s="36" t="s">
        <v>32</v>
      </c>
      <c r="T79" s="32" t="s">
        <v>34</v>
      </c>
      <c r="U79" s="32" t="s">
        <v>33</v>
      </c>
      <c r="V79" s="33">
        <v>2837.35</v>
      </c>
      <c r="W79" s="18">
        <v>966.6815</v>
      </c>
      <c r="X79" s="18">
        <v>1.1670260605E10</v>
      </c>
      <c r="Y79" s="16"/>
      <c r="Z79" s="16"/>
      <c r="AA79" s="16"/>
      <c r="AB79" s="16"/>
      <c r="AC79" s="16"/>
      <c r="AD79" s="16"/>
      <c r="AE79" s="16"/>
      <c r="AF79" s="16"/>
      <c r="AK79" s="33"/>
      <c r="AL79" s="33"/>
    </row>
    <row r="80">
      <c r="A80" s="32" t="s">
        <v>34</v>
      </c>
      <c r="B80" s="32" t="s">
        <v>70</v>
      </c>
      <c r="C80" s="33">
        <v>0.0</v>
      </c>
      <c r="D80" s="33">
        <f t="shared" si="3"/>
        <v>0</v>
      </c>
      <c r="E80" s="16"/>
      <c r="F80" s="16"/>
      <c r="G80" s="16"/>
      <c r="H80" s="16"/>
      <c r="I80" s="16"/>
      <c r="J80" s="16"/>
      <c r="K80" s="16"/>
      <c r="L80" s="18" t="s">
        <v>66</v>
      </c>
      <c r="M80" s="32" t="s">
        <v>66</v>
      </c>
      <c r="N80" s="32" t="s">
        <v>63</v>
      </c>
      <c r="O80" s="32">
        <v>919370.28</v>
      </c>
      <c r="P80" s="32">
        <v>424.516</v>
      </c>
      <c r="Q80" s="81">
        <v>2.60137E11</v>
      </c>
      <c r="R80" s="33"/>
      <c r="S80" s="36" t="s">
        <v>32</v>
      </c>
      <c r="T80" s="32" t="s">
        <v>36</v>
      </c>
      <c r="U80" s="32" t="s">
        <v>33</v>
      </c>
      <c r="V80" s="33">
        <v>2340.64</v>
      </c>
      <c r="W80" s="18">
        <v>397.4792</v>
      </c>
      <c r="X80" s="18">
        <v>3.958523543E9</v>
      </c>
      <c r="Y80" s="16"/>
      <c r="Z80" s="16"/>
      <c r="AA80" s="16"/>
      <c r="AB80" s="16"/>
      <c r="AC80" s="16"/>
      <c r="AD80" s="16"/>
      <c r="AE80" s="16"/>
      <c r="AF80" s="16"/>
      <c r="AK80" s="33"/>
      <c r="AL80" s="33"/>
    </row>
    <row r="81">
      <c r="A81" s="32" t="s">
        <v>34</v>
      </c>
      <c r="B81" s="32" t="s">
        <v>71</v>
      </c>
      <c r="C81" s="33">
        <v>0.0</v>
      </c>
      <c r="D81" s="33">
        <f t="shared" si="3"/>
        <v>0</v>
      </c>
      <c r="E81" s="16"/>
      <c r="F81" s="16"/>
      <c r="G81" s="16"/>
      <c r="H81" s="16"/>
      <c r="I81" s="16"/>
      <c r="J81" s="16"/>
      <c r="K81" s="16"/>
      <c r="L81" s="18" t="s">
        <v>66</v>
      </c>
      <c r="M81" s="32" t="s">
        <v>66</v>
      </c>
      <c r="N81" s="32" t="s">
        <v>72</v>
      </c>
      <c r="O81" s="32">
        <v>117475.96</v>
      </c>
      <c r="P81" s="32">
        <v>1142.0988</v>
      </c>
      <c r="Q81" s="32">
        <v>8.9427496461E10</v>
      </c>
      <c r="R81" s="33"/>
      <c r="S81" s="36" t="s">
        <v>32</v>
      </c>
      <c r="T81" s="32" t="s">
        <v>38</v>
      </c>
      <c r="U81" s="32" t="s">
        <v>33</v>
      </c>
      <c r="V81" s="33">
        <v>1346.84</v>
      </c>
      <c r="W81" s="18">
        <v>176.4669</v>
      </c>
      <c r="X81" s="18">
        <v>1.011261693E9</v>
      </c>
      <c r="Y81" s="16"/>
      <c r="Z81" s="16"/>
      <c r="AA81" s="16"/>
      <c r="AB81" s="16"/>
      <c r="AC81" s="16"/>
      <c r="AD81" s="16"/>
      <c r="AE81" s="16"/>
      <c r="AF81" s="16"/>
      <c r="AK81" s="33"/>
      <c r="AL81" s="33"/>
    </row>
    <row r="82">
      <c r="A82" s="32" t="s">
        <v>34</v>
      </c>
      <c r="B82" s="32" t="s">
        <v>72</v>
      </c>
      <c r="C82" s="33">
        <v>0.0</v>
      </c>
      <c r="D82" s="33">
        <f t="shared" si="3"/>
        <v>0</v>
      </c>
      <c r="E82" s="16"/>
      <c r="F82" s="16"/>
      <c r="G82" s="16"/>
      <c r="H82" s="16"/>
      <c r="I82" s="16"/>
      <c r="J82" s="16"/>
      <c r="K82" s="16"/>
      <c r="L82" s="18" t="s">
        <v>67</v>
      </c>
      <c r="M82" s="32" t="s">
        <v>64</v>
      </c>
      <c r="N82" s="32" t="s">
        <v>33</v>
      </c>
      <c r="O82" s="32">
        <v>20448.45</v>
      </c>
      <c r="P82" s="32">
        <v>894.5228</v>
      </c>
      <c r="Q82" s="32">
        <v>1.5565606098E10</v>
      </c>
      <c r="R82" s="33"/>
      <c r="S82" s="36" t="s">
        <v>32</v>
      </c>
      <c r="T82" s="32" t="s">
        <v>33</v>
      </c>
      <c r="U82" s="32" t="s">
        <v>33</v>
      </c>
      <c r="V82" s="33">
        <v>7897.68</v>
      </c>
      <c r="W82" s="18">
        <v>0.0</v>
      </c>
      <c r="X82" s="18">
        <v>0.0</v>
      </c>
      <c r="Y82" s="16"/>
      <c r="Z82" s="16"/>
      <c r="AA82" s="16"/>
      <c r="AB82" s="16"/>
      <c r="AC82" s="16"/>
      <c r="AD82" s="16"/>
      <c r="AE82" s="16"/>
      <c r="AF82" s="16"/>
      <c r="AK82" s="33"/>
      <c r="AL82" s="33"/>
    </row>
    <row r="83">
      <c r="A83" s="32" t="s">
        <v>34</v>
      </c>
      <c r="B83" s="32" t="s">
        <v>73</v>
      </c>
      <c r="C83" s="33">
        <v>0.0</v>
      </c>
      <c r="D83" s="33">
        <f t="shared" si="3"/>
        <v>0</v>
      </c>
      <c r="E83" s="16"/>
      <c r="F83" s="16"/>
      <c r="G83" s="16"/>
      <c r="H83" s="16"/>
      <c r="I83" s="16"/>
      <c r="J83" s="16"/>
      <c r="K83" s="16"/>
      <c r="L83" s="18" t="s">
        <v>67</v>
      </c>
      <c r="M83" s="32" t="s">
        <v>64</v>
      </c>
      <c r="N83" s="32" t="s">
        <v>35</v>
      </c>
      <c r="O83" s="32">
        <v>12369.83</v>
      </c>
      <c r="P83" s="32">
        <v>781.4544</v>
      </c>
      <c r="Q83" s="32">
        <v>8.225866258E9</v>
      </c>
      <c r="R83" s="33"/>
      <c r="S83" s="36" t="s">
        <v>32</v>
      </c>
      <c r="T83" s="32" t="s">
        <v>39</v>
      </c>
      <c r="U83" s="32" t="s">
        <v>35</v>
      </c>
      <c r="V83" s="33">
        <v>3023.8</v>
      </c>
      <c r="W83" s="18">
        <v>186.18</v>
      </c>
      <c r="X83" s="18">
        <v>2.395357318E9</v>
      </c>
      <c r="Y83" s="16"/>
      <c r="Z83" s="16"/>
      <c r="AA83" s="16"/>
      <c r="AB83" s="16"/>
      <c r="AC83" s="16"/>
      <c r="AD83" s="16"/>
      <c r="AE83" s="16"/>
      <c r="AF83" s="16"/>
      <c r="AK83" s="33"/>
      <c r="AL83" s="33"/>
    </row>
    <row r="84">
      <c r="A84" s="32" t="s">
        <v>34</v>
      </c>
      <c r="B84" s="32" t="s">
        <v>74</v>
      </c>
      <c r="C84" s="33">
        <v>0.0</v>
      </c>
      <c r="D84" s="33">
        <f t="shared" si="3"/>
        <v>0</v>
      </c>
      <c r="E84" s="16"/>
      <c r="F84" s="16"/>
      <c r="G84" s="16"/>
      <c r="H84" s="16"/>
      <c r="I84" s="16"/>
      <c r="J84" s="16"/>
      <c r="K84" s="16"/>
      <c r="L84" s="18" t="s">
        <v>67</v>
      </c>
      <c r="M84" s="32" t="s">
        <v>63</v>
      </c>
      <c r="N84" s="32" t="s">
        <v>64</v>
      </c>
      <c r="O84" s="32">
        <v>32818.28</v>
      </c>
      <c r="P84" s="32">
        <v>197.4577</v>
      </c>
      <c r="Q84" s="32">
        <v>6.440834155E9</v>
      </c>
      <c r="R84" s="33"/>
      <c r="S84" s="36" t="s">
        <v>32</v>
      </c>
      <c r="T84" s="32" t="s">
        <v>35</v>
      </c>
      <c r="U84" s="32" t="s">
        <v>35</v>
      </c>
      <c r="V84" s="33">
        <v>15699.2</v>
      </c>
      <c r="W84" s="18">
        <v>0.0</v>
      </c>
      <c r="X84" s="18">
        <v>0.0</v>
      </c>
      <c r="Y84" s="16"/>
      <c r="Z84" s="16"/>
      <c r="AA84" s="16"/>
      <c r="AB84" s="16"/>
      <c r="AC84" s="16"/>
      <c r="AD84" s="16"/>
      <c r="AE84" s="16"/>
      <c r="AF84" s="16"/>
      <c r="AK84" s="33"/>
      <c r="AL84" s="33"/>
    </row>
    <row r="85">
      <c r="A85" s="32" t="s">
        <v>34</v>
      </c>
      <c r="B85" s="32" t="s">
        <v>75</v>
      </c>
      <c r="C85" s="33">
        <v>0.0</v>
      </c>
      <c r="D85" s="33">
        <f t="shared" si="3"/>
        <v>0</v>
      </c>
      <c r="E85" s="16"/>
      <c r="F85" s="16"/>
      <c r="G85" s="16"/>
      <c r="H85" s="16"/>
      <c r="I85" s="16"/>
      <c r="J85" s="16"/>
      <c r="K85" s="16"/>
      <c r="L85" s="18" t="s">
        <v>67</v>
      </c>
      <c r="M85" s="32" t="s">
        <v>66</v>
      </c>
      <c r="N85" s="32" t="s">
        <v>63</v>
      </c>
      <c r="O85" s="32">
        <v>67868.56</v>
      </c>
      <c r="P85" s="32">
        <v>424.516</v>
      </c>
      <c r="Q85" s="32">
        <v>1.9203529855E10</v>
      </c>
      <c r="R85" s="33"/>
      <c r="S85" s="36" t="s">
        <v>32</v>
      </c>
      <c r="T85" s="32" t="s">
        <v>40</v>
      </c>
      <c r="U85" s="32" t="s">
        <v>35</v>
      </c>
      <c r="V85" s="33">
        <v>2504.17</v>
      </c>
      <c r="W85" s="18">
        <v>403.0102</v>
      </c>
      <c r="X85" s="18">
        <v>4.294020517E9</v>
      </c>
      <c r="Y85" s="16"/>
      <c r="Z85" s="16"/>
      <c r="AA85" s="16"/>
      <c r="AB85" s="16"/>
      <c r="AC85" s="16"/>
      <c r="AD85" s="16"/>
      <c r="AE85" s="16"/>
      <c r="AF85" s="16"/>
      <c r="AK85" s="33"/>
      <c r="AL85" s="33"/>
    </row>
    <row r="86">
      <c r="A86" s="32" t="s">
        <v>36</v>
      </c>
      <c r="B86" s="32" t="s">
        <v>32</v>
      </c>
      <c r="C86" s="33">
        <v>0.0</v>
      </c>
      <c r="D86" s="33">
        <f t="shared" si="3"/>
        <v>0</v>
      </c>
      <c r="E86" s="16"/>
      <c r="F86" s="16"/>
      <c r="G86" s="16"/>
      <c r="H86" s="16"/>
      <c r="I86" s="16"/>
      <c r="J86" s="16"/>
      <c r="K86" s="16"/>
      <c r="L86" s="18" t="s">
        <v>67</v>
      </c>
      <c r="M86" s="32" t="s">
        <v>66</v>
      </c>
      <c r="N86" s="32" t="s">
        <v>72</v>
      </c>
      <c r="O86" s="32">
        <v>15940.92</v>
      </c>
      <c r="P86" s="32">
        <v>1142.0988</v>
      </c>
      <c r="Q86" s="32">
        <v>1.2134879059E10</v>
      </c>
      <c r="R86" s="33"/>
      <c r="S86" s="36" t="s">
        <v>32</v>
      </c>
      <c r="T86" s="32" t="s">
        <v>37</v>
      </c>
      <c r="U86" s="32" t="s">
        <v>35</v>
      </c>
      <c r="V86" s="33">
        <v>12387.4</v>
      </c>
      <c r="W86" s="18">
        <v>658.2451</v>
      </c>
      <c r="X86" s="18">
        <v>3.469381521E10</v>
      </c>
      <c r="Y86" s="16"/>
      <c r="Z86" s="16"/>
      <c r="AA86" s="16"/>
      <c r="AB86" s="16"/>
      <c r="AC86" s="16"/>
      <c r="AD86" s="16"/>
      <c r="AE86" s="16"/>
      <c r="AF86" s="16"/>
      <c r="AK86" s="33"/>
      <c r="AL86" s="33"/>
    </row>
    <row r="87">
      <c r="A87" s="32" t="s">
        <v>36</v>
      </c>
      <c r="B87" s="32" t="s">
        <v>38</v>
      </c>
      <c r="C87" s="33">
        <v>0.0</v>
      </c>
      <c r="D87" s="33">
        <f t="shared" si="3"/>
        <v>0</v>
      </c>
      <c r="E87" s="16"/>
      <c r="F87" s="16"/>
      <c r="G87" s="16"/>
      <c r="H87" s="16"/>
      <c r="I87" s="16"/>
      <c r="J87" s="16"/>
      <c r="K87" s="16"/>
      <c r="L87" s="18" t="s">
        <v>68</v>
      </c>
      <c r="M87" s="32" t="s">
        <v>64</v>
      </c>
      <c r="N87" s="32" t="s">
        <v>33</v>
      </c>
      <c r="O87" s="32">
        <v>133460.64</v>
      </c>
      <c r="P87" s="32">
        <v>894.5228</v>
      </c>
      <c r="Q87" s="81">
        <v>1.01592E11</v>
      </c>
      <c r="R87" s="33"/>
      <c r="S87" s="36" t="s">
        <v>32</v>
      </c>
      <c r="T87" s="32" t="s">
        <v>62</v>
      </c>
      <c r="U87" s="32" t="s">
        <v>33</v>
      </c>
      <c r="V87" s="33">
        <v>5085.68</v>
      </c>
      <c r="W87" s="18">
        <v>541.8429</v>
      </c>
      <c r="X87" s="18">
        <v>1.1724834114E10</v>
      </c>
      <c r="Y87" s="16"/>
      <c r="Z87" s="16"/>
      <c r="AA87" s="16"/>
      <c r="AB87" s="16"/>
      <c r="AC87" s="16"/>
      <c r="AD87" s="16"/>
      <c r="AE87" s="16"/>
      <c r="AF87" s="16"/>
      <c r="AK87" s="33"/>
      <c r="AL87" s="33"/>
    </row>
    <row r="88">
      <c r="A88" s="32" t="s">
        <v>36</v>
      </c>
      <c r="B88" s="32" t="s">
        <v>33</v>
      </c>
      <c r="C88" s="33">
        <v>0.0</v>
      </c>
      <c r="D88" s="33">
        <f t="shared" si="3"/>
        <v>0</v>
      </c>
      <c r="E88" s="16"/>
      <c r="F88" s="16"/>
      <c r="G88" s="16"/>
      <c r="H88" s="16"/>
      <c r="I88" s="16"/>
      <c r="J88" s="16"/>
      <c r="K88" s="16"/>
      <c r="L88" s="18" t="s">
        <v>68</v>
      </c>
      <c r="M88" s="32" t="s">
        <v>64</v>
      </c>
      <c r="N88" s="32" t="s">
        <v>35</v>
      </c>
      <c r="O88" s="32">
        <v>83463.2</v>
      </c>
      <c r="P88" s="32">
        <v>781.4544</v>
      </c>
      <c r="Q88" s="32">
        <v>5.5502551017E10</v>
      </c>
      <c r="R88" s="33"/>
      <c r="S88" s="36" t="s">
        <v>32</v>
      </c>
      <c r="T88" s="32" t="s">
        <v>64</v>
      </c>
      <c r="U88" s="32" t="s">
        <v>63</v>
      </c>
      <c r="V88" s="33">
        <v>16577.48</v>
      </c>
      <c r="W88" s="18">
        <v>197.4577</v>
      </c>
      <c r="X88" s="18">
        <v>1.626727534E10</v>
      </c>
      <c r="Y88" s="16"/>
      <c r="Z88" s="16"/>
      <c r="AA88" s="16"/>
      <c r="AB88" s="16"/>
      <c r="AC88" s="16"/>
      <c r="AD88" s="16"/>
      <c r="AE88" s="16"/>
      <c r="AF88" s="16"/>
      <c r="AK88" s="33"/>
      <c r="AL88" s="33"/>
    </row>
    <row r="89">
      <c r="A89" s="32" t="s">
        <v>36</v>
      </c>
      <c r="B89" s="32" t="s">
        <v>39</v>
      </c>
      <c r="C89" s="33">
        <v>0.0</v>
      </c>
      <c r="D89" s="33">
        <f t="shared" si="3"/>
        <v>0</v>
      </c>
      <c r="E89" s="16"/>
      <c r="F89" s="16"/>
      <c r="G89" s="16"/>
      <c r="H89" s="16"/>
      <c r="I89" s="16"/>
      <c r="J89" s="16"/>
      <c r="K89" s="16"/>
      <c r="L89" s="18" t="s">
        <v>68</v>
      </c>
      <c r="M89" s="32" t="s">
        <v>63</v>
      </c>
      <c r="N89" s="32" t="s">
        <v>64</v>
      </c>
      <c r="O89" s="32">
        <v>216923.84</v>
      </c>
      <c r="P89" s="32">
        <v>197.4577</v>
      </c>
      <c r="Q89" s="32">
        <v>4.2572934283E10</v>
      </c>
      <c r="R89" s="33"/>
      <c r="S89" s="36" t="s">
        <v>32</v>
      </c>
      <c r="T89" s="32" t="s">
        <v>63</v>
      </c>
      <c r="U89" s="32" t="s">
        <v>63</v>
      </c>
      <c r="V89" s="33">
        <v>22812.24</v>
      </c>
      <c r="W89" s="18">
        <v>0.0</v>
      </c>
      <c r="X89" s="18">
        <v>0.0</v>
      </c>
      <c r="Y89" s="16"/>
      <c r="Z89" s="16"/>
      <c r="AA89" s="16"/>
      <c r="AB89" s="16"/>
      <c r="AC89" s="16"/>
      <c r="AD89" s="16"/>
      <c r="AE89" s="16"/>
      <c r="AF89" s="16"/>
      <c r="AK89" s="33"/>
      <c r="AL89" s="33"/>
    </row>
    <row r="90">
      <c r="A90" s="32" t="s">
        <v>36</v>
      </c>
      <c r="B90" s="32" t="s">
        <v>35</v>
      </c>
      <c r="C90" s="33">
        <v>0.0</v>
      </c>
      <c r="D90" s="33">
        <f t="shared" si="3"/>
        <v>0</v>
      </c>
      <c r="E90" s="16"/>
      <c r="F90" s="16"/>
      <c r="G90" s="16"/>
      <c r="H90" s="16"/>
      <c r="I90" s="16"/>
      <c r="J90" s="16"/>
      <c r="K90" s="16"/>
      <c r="L90" s="18" t="s">
        <v>68</v>
      </c>
      <c r="M90" s="32" t="s">
        <v>66</v>
      </c>
      <c r="N90" s="32" t="s">
        <v>72</v>
      </c>
      <c r="O90" s="32">
        <v>119487.32</v>
      </c>
      <c r="P90" s="32">
        <v>1142.0988</v>
      </c>
      <c r="Q90" s="32">
        <v>9.0958625803E10</v>
      </c>
      <c r="R90" s="33"/>
      <c r="S90" s="36" t="s">
        <v>32</v>
      </c>
      <c r="T90" s="32" t="s">
        <v>65</v>
      </c>
      <c r="U90" s="32" t="s">
        <v>66</v>
      </c>
      <c r="V90" s="33">
        <v>1779.36</v>
      </c>
      <c r="W90" s="18">
        <v>79.8162</v>
      </c>
      <c r="X90" s="18">
        <v>4.733075823E8</v>
      </c>
      <c r="Y90" s="16"/>
      <c r="Z90" s="16"/>
      <c r="AA90" s="16"/>
      <c r="AB90" s="16"/>
      <c r="AC90" s="16"/>
      <c r="AD90" s="16"/>
      <c r="AE90" s="16"/>
      <c r="AF90" s="16"/>
      <c r="AK90" s="33"/>
      <c r="AL90" s="33"/>
    </row>
    <row r="91">
      <c r="A91" s="32" t="s">
        <v>36</v>
      </c>
      <c r="B91" s="32" t="s">
        <v>40</v>
      </c>
      <c r="C91" s="33">
        <v>0.0</v>
      </c>
      <c r="D91" s="33">
        <f t="shared" si="3"/>
        <v>0</v>
      </c>
      <c r="E91" s="16"/>
      <c r="F91" s="16"/>
      <c r="G91" s="16"/>
      <c r="H91" s="16"/>
      <c r="I91" s="16"/>
      <c r="J91" s="16"/>
      <c r="K91" s="16"/>
      <c r="L91" s="18" t="s">
        <v>69</v>
      </c>
      <c r="M91" s="32" t="s">
        <v>64</v>
      </c>
      <c r="N91" s="32" t="s">
        <v>33</v>
      </c>
      <c r="O91" s="32">
        <v>9025.68</v>
      </c>
      <c r="P91" s="32">
        <v>894.5228</v>
      </c>
      <c r="Q91" s="32">
        <v>6.870456179E9</v>
      </c>
      <c r="R91" s="33"/>
      <c r="S91" s="36" t="s">
        <v>32</v>
      </c>
      <c r="T91" s="32" t="s">
        <v>66</v>
      </c>
      <c r="U91" s="32" t="s">
        <v>66</v>
      </c>
      <c r="V91" s="33">
        <v>20270.8</v>
      </c>
      <c r="W91" s="18">
        <v>0.0</v>
      </c>
      <c r="X91" s="18">
        <v>0.0</v>
      </c>
      <c r="Y91" s="16"/>
      <c r="Z91" s="16"/>
      <c r="AA91" s="16"/>
      <c r="AB91" s="16"/>
      <c r="AC91" s="16"/>
      <c r="AD91" s="16"/>
      <c r="AE91" s="16"/>
      <c r="AF91" s="16"/>
      <c r="AK91" s="33"/>
      <c r="AL91" s="33"/>
    </row>
    <row r="92">
      <c r="A92" s="32" t="s">
        <v>36</v>
      </c>
      <c r="B92" s="32" t="s">
        <v>37</v>
      </c>
      <c r="C92" s="33">
        <v>0.0</v>
      </c>
      <c r="D92" s="33">
        <f t="shared" si="3"/>
        <v>0</v>
      </c>
      <c r="E92" s="16"/>
      <c r="F92" s="16"/>
      <c r="G92" s="16"/>
      <c r="H92" s="16"/>
      <c r="I92" s="16"/>
      <c r="J92" s="16"/>
      <c r="K92" s="16"/>
      <c r="L92" s="18" t="s">
        <v>69</v>
      </c>
      <c r="M92" s="32" t="s">
        <v>64</v>
      </c>
      <c r="N92" s="32" t="s">
        <v>35</v>
      </c>
      <c r="O92" s="32">
        <v>4723.64</v>
      </c>
      <c r="P92" s="32">
        <v>781.4544</v>
      </c>
      <c r="Q92" s="32">
        <v>3.141193605E9</v>
      </c>
      <c r="R92" s="33"/>
      <c r="S92" s="36" t="s">
        <v>32</v>
      </c>
      <c r="T92" s="32" t="s">
        <v>67</v>
      </c>
      <c r="U92" s="32" t="s">
        <v>66</v>
      </c>
      <c r="V92" s="33">
        <v>2671.56</v>
      </c>
      <c r="W92" s="18">
        <v>294.9322</v>
      </c>
      <c r="X92" s="18">
        <v>2.625883734E9</v>
      </c>
      <c r="Y92" s="16"/>
      <c r="Z92" s="16"/>
      <c r="AA92" s="16"/>
      <c r="AB92" s="16"/>
      <c r="AC92" s="16"/>
      <c r="AD92" s="16"/>
      <c r="AE92" s="16"/>
      <c r="AF92" s="16"/>
      <c r="AK92" s="33"/>
      <c r="AL92" s="33"/>
    </row>
    <row r="93">
      <c r="A93" s="32" t="s">
        <v>36</v>
      </c>
      <c r="B93" s="32" t="s">
        <v>62</v>
      </c>
      <c r="C93" s="33">
        <v>0.0</v>
      </c>
      <c r="D93" s="33">
        <f t="shared" si="3"/>
        <v>0</v>
      </c>
      <c r="E93" s="16"/>
      <c r="F93" s="16"/>
      <c r="G93" s="16"/>
      <c r="H93" s="16"/>
      <c r="I93" s="16"/>
      <c r="J93" s="16"/>
      <c r="K93" s="16"/>
      <c r="L93" s="18" t="s">
        <v>69</v>
      </c>
      <c r="M93" s="32" t="s">
        <v>63</v>
      </c>
      <c r="N93" s="32" t="s">
        <v>64</v>
      </c>
      <c r="O93" s="32">
        <v>13749.32</v>
      </c>
      <c r="P93" s="32">
        <v>197.4577</v>
      </c>
      <c r="Q93" s="32">
        <v>2.698407408E9</v>
      </c>
      <c r="R93" s="33"/>
      <c r="S93" s="36" t="s">
        <v>32</v>
      </c>
      <c r="T93" s="32" t="s">
        <v>68</v>
      </c>
      <c r="U93" s="32" t="s">
        <v>63</v>
      </c>
      <c r="V93" s="33">
        <v>8898.52</v>
      </c>
      <c r="W93" s="18">
        <v>573.6388</v>
      </c>
      <c r="X93" s="18">
        <v>1.7011582662E10</v>
      </c>
      <c r="Y93" s="16"/>
      <c r="Z93" s="16"/>
      <c r="AA93" s="16"/>
      <c r="AB93" s="16"/>
      <c r="AC93" s="16"/>
      <c r="AD93" s="16"/>
      <c r="AE93" s="16"/>
      <c r="AF93" s="16"/>
      <c r="AK93" s="33"/>
      <c r="AL93" s="33"/>
    </row>
    <row r="94">
      <c r="A94" s="32" t="s">
        <v>36</v>
      </c>
      <c r="B94" s="32" t="s">
        <v>64</v>
      </c>
      <c r="C94" s="33">
        <v>0.0</v>
      </c>
      <c r="D94" s="33">
        <f t="shared" si="3"/>
        <v>0</v>
      </c>
      <c r="E94" s="16"/>
      <c r="F94" s="16"/>
      <c r="G94" s="16"/>
      <c r="H94" s="16"/>
      <c r="I94" s="16"/>
      <c r="J94" s="16"/>
      <c r="K94" s="16"/>
      <c r="L94" s="18" t="s">
        <v>69</v>
      </c>
      <c r="M94" s="32" t="s">
        <v>66</v>
      </c>
      <c r="N94" s="32" t="s">
        <v>63</v>
      </c>
      <c r="O94" s="32">
        <v>24148.36</v>
      </c>
      <c r="P94" s="32">
        <v>424.516</v>
      </c>
      <c r="Q94" s="32">
        <v>6.832821445E9</v>
      </c>
      <c r="R94" s="33"/>
      <c r="S94" s="36" t="s">
        <v>32</v>
      </c>
      <c r="T94" s="32" t="s">
        <v>69</v>
      </c>
      <c r="U94" s="32" t="s">
        <v>66</v>
      </c>
      <c r="V94" s="33">
        <v>901.08</v>
      </c>
      <c r="W94" s="18">
        <v>706.8772</v>
      </c>
      <c r="X94" s="18">
        <v>2.122734766E9</v>
      </c>
      <c r="Y94" s="16"/>
      <c r="Z94" s="16"/>
      <c r="AA94" s="16"/>
      <c r="AB94" s="16"/>
      <c r="AC94" s="16"/>
      <c r="AD94" s="16"/>
      <c r="AE94" s="16"/>
      <c r="AF94" s="16"/>
      <c r="AK94" s="33"/>
      <c r="AL94" s="33"/>
    </row>
    <row r="95">
      <c r="A95" s="32" t="s">
        <v>36</v>
      </c>
      <c r="B95" s="32" t="s">
        <v>63</v>
      </c>
      <c r="C95" s="33">
        <v>0.0</v>
      </c>
      <c r="D95" s="33">
        <f t="shared" si="3"/>
        <v>0</v>
      </c>
      <c r="E95" s="16"/>
      <c r="F95" s="16"/>
      <c r="G95" s="16"/>
      <c r="H95" s="16"/>
      <c r="I95" s="16"/>
      <c r="J95" s="16"/>
      <c r="K95" s="16"/>
      <c r="L95" s="18" t="s">
        <v>70</v>
      </c>
      <c r="M95" s="32" t="s">
        <v>64</v>
      </c>
      <c r="N95" s="32" t="s">
        <v>33</v>
      </c>
      <c r="O95" s="32">
        <v>28914.75</v>
      </c>
      <c r="P95" s="32">
        <v>894.5228</v>
      </c>
      <c r="Q95" s="32">
        <v>2.2010255492E10</v>
      </c>
      <c r="R95" s="33"/>
      <c r="S95" s="36" t="s">
        <v>32</v>
      </c>
      <c r="T95" s="32" t="s">
        <v>70</v>
      </c>
      <c r="U95" s="32" t="s">
        <v>72</v>
      </c>
      <c r="V95" s="33">
        <v>5160.2</v>
      </c>
      <c r="W95" s="18">
        <v>255.0633</v>
      </c>
      <c r="X95" s="18">
        <v>4.38634596E9</v>
      </c>
      <c r="Y95" s="16"/>
      <c r="Z95" s="16"/>
      <c r="AA95" s="16"/>
      <c r="AB95" s="16"/>
      <c r="AC95" s="16"/>
      <c r="AD95" s="16"/>
      <c r="AE95" s="16"/>
      <c r="AF95" s="16"/>
      <c r="AK95" s="33"/>
      <c r="AL95" s="33"/>
    </row>
    <row r="96">
      <c r="A96" s="32" t="s">
        <v>36</v>
      </c>
      <c r="B96" s="32" t="s">
        <v>65</v>
      </c>
      <c r="C96" s="33">
        <v>0.0</v>
      </c>
      <c r="D96" s="33">
        <f t="shared" si="3"/>
        <v>0</v>
      </c>
      <c r="E96" s="16"/>
      <c r="F96" s="16"/>
      <c r="G96" s="16"/>
      <c r="H96" s="16"/>
      <c r="I96" s="16"/>
      <c r="J96" s="16"/>
      <c r="K96" s="16"/>
      <c r="L96" s="18" t="s">
        <v>70</v>
      </c>
      <c r="M96" s="32" t="s">
        <v>64</v>
      </c>
      <c r="N96" s="32" t="s">
        <v>35</v>
      </c>
      <c r="O96" s="32">
        <v>26304.89</v>
      </c>
      <c r="P96" s="32">
        <v>781.4544</v>
      </c>
      <c r="Q96" s="32">
        <v>1.749260152E10</v>
      </c>
      <c r="R96" s="33"/>
      <c r="S96" s="36" t="s">
        <v>32</v>
      </c>
      <c r="T96" s="32" t="s">
        <v>71</v>
      </c>
      <c r="U96" s="32" t="s">
        <v>63</v>
      </c>
      <c r="V96" s="33">
        <v>3930.96</v>
      </c>
      <c r="W96" s="18">
        <v>1250.3899</v>
      </c>
      <c r="X96" s="18">
        <v>1.6380700887E10</v>
      </c>
      <c r="Y96" s="16"/>
      <c r="Z96" s="16"/>
      <c r="AA96" s="16"/>
      <c r="AB96" s="16"/>
      <c r="AC96" s="16"/>
      <c r="AD96" s="16"/>
      <c r="AE96" s="16"/>
      <c r="AF96" s="16"/>
      <c r="AK96" s="33"/>
      <c r="AL96" s="33"/>
    </row>
    <row r="97">
      <c r="A97" s="32" t="s">
        <v>36</v>
      </c>
      <c r="B97" s="32" t="s">
        <v>66</v>
      </c>
      <c r="C97" s="33">
        <v>0.0</v>
      </c>
      <c r="D97" s="33">
        <f t="shared" si="3"/>
        <v>0</v>
      </c>
      <c r="E97" s="16"/>
      <c r="F97" s="16"/>
      <c r="G97" s="16"/>
      <c r="H97" s="16"/>
      <c r="I97" s="16"/>
      <c r="J97" s="16"/>
      <c r="K97" s="16"/>
      <c r="L97" s="18" t="s">
        <v>70</v>
      </c>
      <c r="M97" s="32" t="s">
        <v>63</v>
      </c>
      <c r="N97" s="32" t="s">
        <v>64</v>
      </c>
      <c r="O97" s="32">
        <v>55219.64</v>
      </c>
      <c r="P97" s="32">
        <v>197.4577</v>
      </c>
      <c r="Q97" s="32">
        <v>1.0837269453E10</v>
      </c>
      <c r="R97" s="33"/>
      <c r="S97" s="36" t="s">
        <v>32</v>
      </c>
      <c r="T97" s="32" t="s">
        <v>72</v>
      </c>
      <c r="U97" s="32" t="s">
        <v>72</v>
      </c>
      <c r="V97" s="33">
        <v>2846.0</v>
      </c>
      <c r="W97" s="18">
        <v>0.0</v>
      </c>
      <c r="X97" s="18">
        <v>0.0</v>
      </c>
      <c r="Y97" s="16"/>
      <c r="Z97" s="16"/>
      <c r="AA97" s="16"/>
      <c r="AB97" s="16"/>
      <c r="AC97" s="16"/>
      <c r="AD97" s="16"/>
      <c r="AE97" s="16"/>
      <c r="AF97" s="16"/>
      <c r="AK97" s="33"/>
      <c r="AL97" s="33"/>
    </row>
    <row r="98">
      <c r="A98" s="32" t="s">
        <v>36</v>
      </c>
      <c r="B98" s="32" t="s">
        <v>67</v>
      </c>
      <c r="C98" s="33">
        <v>0.0</v>
      </c>
      <c r="D98" s="33">
        <f t="shared" si="3"/>
        <v>0</v>
      </c>
      <c r="E98" s="16"/>
      <c r="F98" s="16"/>
      <c r="G98" s="16"/>
      <c r="H98" s="16"/>
      <c r="I98" s="16"/>
      <c r="J98" s="16"/>
      <c r="K98" s="16"/>
      <c r="L98" s="18" t="s">
        <v>70</v>
      </c>
      <c r="M98" s="32" t="s">
        <v>72</v>
      </c>
      <c r="N98" s="32" t="s">
        <v>63</v>
      </c>
      <c r="O98" s="32">
        <v>101495.04</v>
      </c>
      <c r="P98" s="32">
        <v>1497.2162</v>
      </c>
      <c r="Q98" s="81">
        <v>1.01286E11</v>
      </c>
      <c r="R98" s="33"/>
      <c r="S98" s="36" t="s">
        <v>32</v>
      </c>
      <c r="T98" s="32" t="s">
        <v>73</v>
      </c>
      <c r="U98" s="32" t="s">
        <v>72</v>
      </c>
      <c r="V98" s="33">
        <v>5035.44</v>
      </c>
      <c r="W98" s="18">
        <v>505.2914</v>
      </c>
      <c r="X98" s="18">
        <v>8.479451594E9</v>
      </c>
      <c r="Y98" s="16"/>
      <c r="Z98" s="16"/>
      <c r="AA98" s="16"/>
      <c r="AB98" s="16"/>
      <c r="AC98" s="16"/>
      <c r="AD98" s="16"/>
      <c r="AE98" s="16"/>
      <c r="AF98" s="16"/>
      <c r="AK98" s="33"/>
      <c r="AL98" s="33"/>
    </row>
    <row r="99">
      <c r="A99" s="32" t="s">
        <v>36</v>
      </c>
      <c r="B99" s="32" t="s">
        <v>68</v>
      </c>
      <c r="C99" s="33">
        <v>0.0</v>
      </c>
      <c r="D99" s="33">
        <f t="shared" si="3"/>
        <v>0</v>
      </c>
      <c r="E99" s="16"/>
      <c r="F99" s="16"/>
      <c r="G99" s="16"/>
      <c r="H99" s="16"/>
      <c r="I99" s="16"/>
      <c r="J99" s="16"/>
      <c r="K99" s="16"/>
      <c r="L99" s="18" t="s">
        <v>70</v>
      </c>
      <c r="M99" s="32" t="s">
        <v>72</v>
      </c>
      <c r="N99" s="32" t="s">
        <v>66</v>
      </c>
      <c r="O99" s="32">
        <v>34122.68</v>
      </c>
      <c r="P99" s="32">
        <v>1142.0988</v>
      </c>
      <c r="Q99" s="32">
        <v>2.5975577003E10</v>
      </c>
      <c r="R99" s="33"/>
      <c r="S99" s="28" t="s">
        <v>32</v>
      </c>
      <c r="T99" s="18" t="s">
        <v>74</v>
      </c>
      <c r="U99" s="18" t="s">
        <v>72</v>
      </c>
      <c r="V99" s="18">
        <v>268.8</v>
      </c>
      <c r="W99" s="18">
        <v>467.0651</v>
      </c>
      <c r="X99" s="18">
        <v>4.184032809E8</v>
      </c>
      <c r="Y99" s="16"/>
      <c r="Z99" s="16"/>
      <c r="AA99" s="16"/>
      <c r="AB99" s="16"/>
      <c r="AC99" s="16"/>
      <c r="AD99" s="16"/>
      <c r="AE99" s="16"/>
      <c r="AF99" s="16"/>
      <c r="AK99" s="33"/>
      <c r="AL99" s="33"/>
    </row>
    <row r="100">
      <c r="A100" s="32" t="s">
        <v>36</v>
      </c>
      <c r="B100" s="32" t="s">
        <v>69</v>
      </c>
      <c r="C100" s="33">
        <v>0.0</v>
      </c>
      <c r="D100" s="33">
        <f t="shared" si="3"/>
        <v>0</v>
      </c>
      <c r="E100" s="16"/>
      <c r="F100" s="16"/>
      <c r="G100" s="16"/>
      <c r="H100" s="16"/>
      <c r="I100" s="16"/>
      <c r="J100" s="16"/>
      <c r="K100" s="16"/>
      <c r="L100" s="18" t="s">
        <v>71</v>
      </c>
      <c r="M100" s="32" t="s">
        <v>64</v>
      </c>
      <c r="N100" s="32" t="s">
        <v>33</v>
      </c>
      <c r="O100" s="32">
        <v>49024.15</v>
      </c>
      <c r="P100" s="32">
        <v>894.5228</v>
      </c>
      <c r="Q100" s="32">
        <v>3.7317772652E10</v>
      </c>
      <c r="R100" s="33"/>
      <c r="S100" s="28" t="s">
        <v>32</v>
      </c>
      <c r="T100" s="18" t="s">
        <v>75</v>
      </c>
      <c r="U100" s="18" t="s">
        <v>72</v>
      </c>
      <c r="V100" s="18">
        <v>1956.36</v>
      </c>
      <c r="W100" s="18">
        <v>1526.6262</v>
      </c>
      <c r="X100" s="18">
        <v>9.953364127E9</v>
      </c>
      <c r="Y100" s="16"/>
      <c r="Z100" s="16"/>
      <c r="AA100" s="16"/>
      <c r="AB100" s="16"/>
      <c r="AC100" s="16"/>
      <c r="AD100" s="16"/>
      <c r="AE100" s="16"/>
      <c r="AF100" s="16"/>
      <c r="AK100" s="33"/>
      <c r="AL100" s="33"/>
    </row>
    <row r="101">
      <c r="A101" s="32" t="s">
        <v>36</v>
      </c>
      <c r="B101" s="32" t="s">
        <v>70</v>
      </c>
      <c r="C101" s="33">
        <v>0.0</v>
      </c>
      <c r="D101" s="33">
        <f t="shared" si="3"/>
        <v>0</v>
      </c>
      <c r="E101" s="16"/>
      <c r="F101" s="16"/>
      <c r="G101" s="16"/>
      <c r="H101" s="16"/>
      <c r="I101" s="16"/>
      <c r="J101" s="16"/>
      <c r="K101" s="16"/>
      <c r="L101" s="18" t="s">
        <v>71</v>
      </c>
      <c r="M101" s="32" t="s">
        <v>64</v>
      </c>
      <c r="N101" s="32" t="s">
        <v>35</v>
      </c>
      <c r="O101" s="32">
        <v>33708.25</v>
      </c>
      <c r="P101" s="32">
        <v>781.4544</v>
      </c>
      <c r="Q101" s="32">
        <v>2.2415793611E10</v>
      </c>
      <c r="R101" s="33"/>
      <c r="S101" s="28" t="s">
        <v>38</v>
      </c>
      <c r="T101" s="18" t="s">
        <v>31</v>
      </c>
      <c r="U101" s="18" t="s">
        <v>33</v>
      </c>
      <c r="V101" s="18">
        <v>1916.56</v>
      </c>
      <c r="W101" s="18">
        <v>1362.6505</v>
      </c>
      <c r="X101" s="18">
        <v>1.1111972152E10</v>
      </c>
      <c r="Y101" s="16"/>
      <c r="Z101" s="16"/>
      <c r="AA101" s="16"/>
      <c r="AB101" s="16"/>
      <c r="AC101" s="16"/>
      <c r="AD101" s="16"/>
      <c r="AE101" s="16"/>
      <c r="AF101" s="16"/>
      <c r="AK101" s="33"/>
      <c r="AL101" s="33"/>
    </row>
    <row r="102">
      <c r="A102" s="32" t="s">
        <v>36</v>
      </c>
      <c r="B102" s="32" t="s">
        <v>71</v>
      </c>
      <c r="C102" s="33">
        <v>0.0</v>
      </c>
      <c r="D102" s="33">
        <f t="shared" si="3"/>
        <v>0</v>
      </c>
      <c r="E102" s="16"/>
      <c r="F102" s="16"/>
      <c r="G102" s="16"/>
      <c r="H102" s="16"/>
      <c r="I102" s="16"/>
      <c r="J102" s="16"/>
      <c r="K102" s="16"/>
      <c r="L102" s="18" t="s">
        <v>71</v>
      </c>
      <c r="M102" s="32" t="s">
        <v>63</v>
      </c>
      <c r="N102" s="32" t="s">
        <v>64</v>
      </c>
      <c r="O102" s="32">
        <v>82732.4</v>
      </c>
      <c r="P102" s="32">
        <v>197.4577</v>
      </c>
      <c r="Q102" s="32">
        <v>1.6236855425E10</v>
      </c>
      <c r="R102" s="33"/>
      <c r="S102" s="28" t="s">
        <v>38</v>
      </c>
      <c r="T102" s="18" t="s">
        <v>34</v>
      </c>
      <c r="U102" s="18" t="s">
        <v>33</v>
      </c>
      <c r="V102" s="18">
        <v>453.68</v>
      </c>
      <c r="W102" s="18">
        <v>966.6815</v>
      </c>
      <c r="X102" s="18">
        <v>1.866024224E9</v>
      </c>
      <c r="Y102" s="16"/>
      <c r="Z102" s="16"/>
      <c r="AA102" s="16"/>
      <c r="AB102" s="16"/>
      <c r="AC102" s="16"/>
      <c r="AD102" s="16"/>
      <c r="AE102" s="16"/>
      <c r="AF102" s="16"/>
      <c r="AK102" s="33"/>
      <c r="AL102" s="33"/>
    </row>
    <row r="103">
      <c r="A103" s="32" t="s">
        <v>36</v>
      </c>
      <c r="B103" s="32" t="s">
        <v>72</v>
      </c>
      <c r="C103" s="33">
        <v>0.0</v>
      </c>
      <c r="D103" s="33">
        <f t="shared" si="3"/>
        <v>0</v>
      </c>
      <c r="E103" s="16"/>
      <c r="F103" s="16"/>
      <c r="G103" s="16"/>
      <c r="H103" s="16"/>
      <c r="I103" s="16"/>
      <c r="J103" s="16"/>
      <c r="K103" s="16"/>
      <c r="L103" s="18" t="s">
        <v>72</v>
      </c>
      <c r="M103" s="32" t="s">
        <v>64</v>
      </c>
      <c r="N103" s="32" t="s">
        <v>33</v>
      </c>
      <c r="O103" s="32">
        <v>31463.87</v>
      </c>
      <c r="P103" s="32">
        <v>894.5228</v>
      </c>
      <c r="Q103" s="32">
        <v>2.3950676298E10</v>
      </c>
      <c r="R103" s="33"/>
      <c r="S103" s="28" t="s">
        <v>38</v>
      </c>
      <c r="T103" s="18" t="s">
        <v>36</v>
      </c>
      <c r="U103" s="18" t="s">
        <v>33</v>
      </c>
      <c r="V103" s="18">
        <v>821.08</v>
      </c>
      <c r="W103" s="18">
        <v>397.4792</v>
      </c>
      <c r="X103" s="18">
        <v>1.388622134E9</v>
      </c>
      <c r="Y103" s="16"/>
      <c r="Z103" s="16"/>
      <c r="AA103" s="16"/>
      <c r="AB103" s="16"/>
      <c r="AC103" s="16"/>
      <c r="AD103" s="16"/>
      <c r="AE103" s="16"/>
      <c r="AF103" s="16"/>
      <c r="AK103" s="33"/>
      <c r="AL103" s="33"/>
    </row>
    <row r="104">
      <c r="A104" s="32" t="s">
        <v>36</v>
      </c>
      <c r="B104" s="32" t="s">
        <v>73</v>
      </c>
      <c r="C104" s="33">
        <v>0.0</v>
      </c>
      <c r="D104" s="33">
        <f t="shared" si="3"/>
        <v>0</v>
      </c>
      <c r="E104" s="16"/>
      <c r="F104" s="16"/>
      <c r="G104" s="16"/>
      <c r="H104" s="16"/>
      <c r="I104" s="16"/>
      <c r="J104" s="16"/>
      <c r="K104" s="16"/>
      <c r="L104" s="18" t="s">
        <v>72</v>
      </c>
      <c r="M104" s="32" t="s">
        <v>64</v>
      </c>
      <c r="N104" s="32" t="s">
        <v>35</v>
      </c>
      <c r="O104" s="32">
        <v>22790.93</v>
      </c>
      <c r="P104" s="32">
        <v>781.4544</v>
      </c>
      <c r="Q104" s="32">
        <v>1.5155838202E10</v>
      </c>
      <c r="R104" s="33"/>
      <c r="S104" s="28" t="s">
        <v>38</v>
      </c>
      <c r="T104" s="18" t="s">
        <v>32</v>
      </c>
      <c r="U104" s="18" t="s">
        <v>33</v>
      </c>
      <c r="V104" s="18">
        <v>3869.6</v>
      </c>
      <c r="W104" s="18">
        <v>525.4495</v>
      </c>
      <c r="X104" s="18">
        <v>8.651299158E9</v>
      </c>
      <c r="Y104" s="16"/>
      <c r="Z104" s="16"/>
      <c r="AA104" s="16"/>
      <c r="AB104" s="16"/>
      <c r="AC104" s="16"/>
      <c r="AD104" s="16"/>
      <c r="AE104" s="16"/>
      <c r="AF104" s="16"/>
      <c r="AK104" s="33"/>
      <c r="AL104" s="33"/>
    </row>
    <row r="105">
      <c r="A105" s="32" t="s">
        <v>36</v>
      </c>
      <c r="B105" s="32" t="s">
        <v>74</v>
      </c>
      <c r="C105" s="33">
        <v>0.0</v>
      </c>
      <c r="D105" s="33">
        <f t="shared" si="3"/>
        <v>0</v>
      </c>
      <c r="E105" s="16"/>
      <c r="F105" s="16"/>
      <c r="G105" s="16"/>
      <c r="H105" s="16"/>
      <c r="I105" s="16"/>
      <c r="J105" s="16"/>
      <c r="K105" s="16"/>
      <c r="L105" s="18" t="s">
        <v>72</v>
      </c>
      <c r="M105" s="32" t="s">
        <v>63</v>
      </c>
      <c r="N105" s="32" t="s">
        <v>64</v>
      </c>
      <c r="O105" s="32">
        <v>54254.8</v>
      </c>
      <c r="P105" s="32">
        <v>197.4577</v>
      </c>
      <c r="Q105" s="32">
        <v>1.064791235E10</v>
      </c>
      <c r="R105" s="33"/>
      <c r="S105" s="28" t="s">
        <v>38</v>
      </c>
      <c r="T105" s="18" t="s">
        <v>33</v>
      </c>
      <c r="U105" s="18" t="s">
        <v>33</v>
      </c>
      <c r="V105" s="18">
        <v>5400.56</v>
      </c>
      <c r="W105" s="18">
        <v>0.0</v>
      </c>
      <c r="X105" s="18">
        <v>0.0</v>
      </c>
      <c r="Y105" s="16"/>
      <c r="Z105" s="16"/>
      <c r="AA105" s="16"/>
      <c r="AB105" s="16"/>
      <c r="AC105" s="16"/>
      <c r="AD105" s="16"/>
      <c r="AE105" s="16"/>
      <c r="AF105" s="16"/>
      <c r="AK105" s="33"/>
      <c r="AL105" s="33"/>
    </row>
    <row r="106">
      <c r="A106" s="32" t="s">
        <v>36</v>
      </c>
      <c r="B106" s="32" t="s">
        <v>75</v>
      </c>
      <c r="C106" s="33">
        <v>0.0</v>
      </c>
      <c r="D106" s="33">
        <f t="shared" si="3"/>
        <v>0</v>
      </c>
      <c r="E106" s="16"/>
      <c r="F106" s="16"/>
      <c r="G106" s="16"/>
      <c r="H106" s="16"/>
      <c r="I106" s="16"/>
      <c r="J106" s="16"/>
      <c r="K106" s="16"/>
      <c r="L106" s="18" t="s">
        <v>72</v>
      </c>
      <c r="M106" s="32" t="s">
        <v>72</v>
      </c>
      <c r="N106" s="32" t="s">
        <v>63</v>
      </c>
      <c r="O106" s="32">
        <v>126034.76</v>
      </c>
      <c r="P106" s="32">
        <v>1497.2162</v>
      </c>
      <c r="Q106" s="81">
        <v>1.25775E11</v>
      </c>
      <c r="R106" s="33"/>
      <c r="S106" s="28" t="s">
        <v>38</v>
      </c>
      <c r="T106" s="18" t="s">
        <v>39</v>
      </c>
      <c r="U106" s="18" t="s">
        <v>35</v>
      </c>
      <c r="V106" s="18">
        <v>977.52</v>
      </c>
      <c r="W106" s="18">
        <v>186.18</v>
      </c>
      <c r="X106" s="18">
        <v>7.743599728E8</v>
      </c>
      <c r="Y106" s="16"/>
      <c r="Z106" s="16"/>
      <c r="AA106" s="16"/>
      <c r="AB106" s="16"/>
      <c r="AC106" s="16"/>
      <c r="AD106" s="16"/>
      <c r="AE106" s="16"/>
      <c r="AF106" s="16"/>
      <c r="AK106" s="33"/>
      <c r="AL106" s="33"/>
    </row>
    <row r="107">
      <c r="A107" s="32" t="s">
        <v>32</v>
      </c>
      <c r="B107" s="32" t="s">
        <v>38</v>
      </c>
      <c r="C107" s="33">
        <v>0.0</v>
      </c>
      <c r="D107" s="33">
        <f t="shared" si="3"/>
        <v>0</v>
      </c>
      <c r="E107" s="16"/>
      <c r="F107" s="16"/>
      <c r="G107" s="16"/>
      <c r="H107" s="16"/>
      <c r="I107" s="16"/>
      <c r="J107" s="16"/>
      <c r="K107" s="16"/>
      <c r="L107" s="18" t="s">
        <v>72</v>
      </c>
      <c r="M107" s="32" t="s">
        <v>72</v>
      </c>
      <c r="N107" s="32" t="s">
        <v>66</v>
      </c>
      <c r="O107" s="32">
        <v>40955.36</v>
      </c>
      <c r="P107" s="32">
        <v>1142.0988</v>
      </c>
      <c r="Q107" s="32">
        <v>3.1176891948E10</v>
      </c>
      <c r="R107" s="33"/>
      <c r="S107" s="28" t="s">
        <v>38</v>
      </c>
      <c r="T107" s="18" t="s">
        <v>35</v>
      </c>
      <c r="U107" s="18" t="s">
        <v>35</v>
      </c>
      <c r="V107" s="18">
        <v>20364.36</v>
      </c>
      <c r="W107" s="18">
        <v>0.0</v>
      </c>
      <c r="X107" s="18">
        <v>0.0</v>
      </c>
      <c r="Y107" s="16"/>
      <c r="Z107" s="16"/>
      <c r="AA107" s="16"/>
      <c r="AB107" s="16"/>
      <c r="AC107" s="16"/>
      <c r="AD107" s="16"/>
      <c r="AE107" s="16"/>
      <c r="AF107" s="16"/>
      <c r="AK107" s="33"/>
      <c r="AL107" s="33"/>
    </row>
    <row r="108">
      <c r="A108" s="32" t="s">
        <v>32</v>
      </c>
      <c r="B108" s="32" t="s">
        <v>33</v>
      </c>
      <c r="C108" s="33">
        <v>0.0</v>
      </c>
      <c r="D108" s="33">
        <f t="shared" si="3"/>
        <v>0</v>
      </c>
      <c r="E108" s="16"/>
      <c r="F108" s="16"/>
      <c r="G108" s="16"/>
      <c r="H108" s="16"/>
      <c r="I108" s="16"/>
      <c r="J108" s="16"/>
      <c r="K108" s="16"/>
      <c r="L108" s="18" t="s">
        <v>73</v>
      </c>
      <c r="M108" s="32" t="s">
        <v>64</v>
      </c>
      <c r="N108" s="32" t="s">
        <v>33</v>
      </c>
      <c r="O108" s="32">
        <v>35707.34</v>
      </c>
      <c r="P108" s="32">
        <v>894.5228</v>
      </c>
      <c r="Q108" s="32">
        <v>2.7180856703E10</v>
      </c>
      <c r="R108" s="33"/>
      <c r="S108" s="28" t="s">
        <v>38</v>
      </c>
      <c r="T108" s="18" t="s">
        <v>40</v>
      </c>
      <c r="U108" s="18" t="s">
        <v>35</v>
      </c>
      <c r="V108" s="18">
        <v>1191.2</v>
      </c>
      <c r="W108" s="18">
        <v>403.0102</v>
      </c>
      <c r="X108" s="18">
        <v>2.042607826E9</v>
      </c>
      <c r="Y108" s="16"/>
      <c r="Z108" s="16"/>
      <c r="AA108" s="16"/>
      <c r="AB108" s="16"/>
      <c r="AC108" s="16"/>
      <c r="AD108" s="16"/>
      <c r="AE108" s="16"/>
      <c r="AF108" s="16"/>
      <c r="AK108" s="33"/>
      <c r="AL108" s="33"/>
    </row>
    <row r="109">
      <c r="A109" s="32" t="s">
        <v>32</v>
      </c>
      <c r="B109" s="32" t="s">
        <v>39</v>
      </c>
      <c r="C109" s="33">
        <v>0.0</v>
      </c>
      <c r="D109" s="33">
        <f t="shared" si="3"/>
        <v>0</v>
      </c>
      <c r="E109" s="16"/>
      <c r="F109" s="16"/>
      <c r="G109" s="16"/>
      <c r="H109" s="16"/>
      <c r="I109" s="16"/>
      <c r="J109" s="16"/>
      <c r="K109" s="16"/>
      <c r="L109" s="18" t="s">
        <v>73</v>
      </c>
      <c r="M109" s="32" t="s">
        <v>64</v>
      </c>
      <c r="N109" s="32" t="s">
        <v>35</v>
      </c>
      <c r="O109" s="32">
        <v>25663.34</v>
      </c>
      <c r="P109" s="32">
        <v>781.4544</v>
      </c>
      <c r="Q109" s="32">
        <v>1.7065974437E10</v>
      </c>
      <c r="R109" s="33"/>
      <c r="S109" s="28" t="s">
        <v>38</v>
      </c>
      <c r="T109" s="18" t="s">
        <v>37</v>
      </c>
      <c r="U109" s="18" t="s">
        <v>35</v>
      </c>
      <c r="V109" s="18">
        <v>5911.52</v>
      </c>
      <c r="W109" s="18">
        <v>658.2451</v>
      </c>
      <c r="X109" s="18">
        <v>1.655659642E10</v>
      </c>
      <c r="Y109" s="16"/>
      <c r="Z109" s="16"/>
      <c r="AA109" s="16"/>
      <c r="AB109" s="16"/>
      <c r="AC109" s="16"/>
      <c r="AD109" s="16"/>
      <c r="AE109" s="16"/>
      <c r="AF109" s="16"/>
      <c r="AK109" s="33"/>
      <c r="AL109" s="33"/>
    </row>
    <row r="110">
      <c r="A110" s="32" t="s">
        <v>32</v>
      </c>
      <c r="B110" s="32" t="s">
        <v>35</v>
      </c>
      <c r="C110" s="33">
        <v>0.0</v>
      </c>
      <c r="D110" s="33">
        <f t="shared" si="3"/>
        <v>0</v>
      </c>
      <c r="E110" s="16"/>
      <c r="F110" s="16"/>
      <c r="G110" s="16"/>
      <c r="H110" s="16"/>
      <c r="I110" s="16"/>
      <c r="J110" s="16"/>
      <c r="K110" s="16"/>
      <c r="L110" s="18" t="s">
        <v>73</v>
      </c>
      <c r="M110" s="32" t="s">
        <v>63</v>
      </c>
      <c r="N110" s="32" t="s">
        <v>64</v>
      </c>
      <c r="O110" s="32">
        <v>61370.68</v>
      </c>
      <c r="P110" s="32">
        <v>197.4577</v>
      </c>
      <c r="Q110" s="32">
        <v>1.2044457292E10</v>
      </c>
      <c r="R110" s="33"/>
      <c r="S110" s="28" t="s">
        <v>38</v>
      </c>
      <c r="T110" s="18" t="s">
        <v>62</v>
      </c>
      <c r="U110" s="18" t="s">
        <v>33</v>
      </c>
      <c r="V110" s="18">
        <v>3793.64</v>
      </c>
      <c r="W110" s="18">
        <v>541.8429</v>
      </c>
      <c r="X110" s="18">
        <v>8.746086991E9</v>
      </c>
      <c r="Y110" s="16"/>
      <c r="Z110" s="16"/>
      <c r="AA110" s="16"/>
      <c r="AB110" s="16"/>
      <c r="AC110" s="16"/>
      <c r="AD110" s="16"/>
      <c r="AE110" s="16"/>
      <c r="AF110" s="16"/>
      <c r="AK110" s="33"/>
      <c r="AL110" s="33"/>
    </row>
    <row r="111">
      <c r="A111" s="32" t="s">
        <v>32</v>
      </c>
      <c r="B111" s="32" t="s">
        <v>40</v>
      </c>
      <c r="C111" s="33">
        <v>0.0</v>
      </c>
      <c r="D111" s="33">
        <f t="shared" si="3"/>
        <v>0</v>
      </c>
      <c r="E111" s="16"/>
      <c r="F111" s="16"/>
      <c r="G111" s="16"/>
      <c r="H111" s="16"/>
      <c r="I111" s="16"/>
      <c r="J111" s="16"/>
      <c r="K111" s="16"/>
      <c r="L111" s="18" t="s">
        <v>73</v>
      </c>
      <c r="M111" s="32" t="s">
        <v>72</v>
      </c>
      <c r="N111" s="32" t="s">
        <v>63</v>
      </c>
      <c r="O111" s="32">
        <v>130410.8</v>
      </c>
      <c r="P111" s="32">
        <v>1497.2162</v>
      </c>
      <c r="Q111" s="81">
        <v>1.30142E11</v>
      </c>
      <c r="R111" s="33"/>
      <c r="S111" s="28" t="s">
        <v>38</v>
      </c>
      <c r="T111" s="18" t="s">
        <v>64</v>
      </c>
      <c r="U111" s="18" t="s">
        <v>63</v>
      </c>
      <c r="V111" s="18">
        <v>9324.88</v>
      </c>
      <c r="W111" s="18">
        <v>197.4577</v>
      </c>
      <c r="X111" s="18">
        <v>9.15038899E9</v>
      </c>
      <c r="Y111" s="16"/>
      <c r="Z111" s="16"/>
      <c r="AA111" s="16"/>
      <c r="AB111" s="16"/>
      <c r="AC111" s="16"/>
      <c r="AD111" s="16"/>
      <c r="AE111" s="16"/>
      <c r="AF111" s="16"/>
      <c r="AK111" s="33"/>
      <c r="AL111" s="33"/>
    </row>
    <row r="112">
      <c r="A112" s="32" t="s">
        <v>32</v>
      </c>
      <c r="B112" s="32" t="s">
        <v>37</v>
      </c>
      <c r="C112" s="33">
        <v>0.0</v>
      </c>
      <c r="D112" s="33">
        <f t="shared" si="3"/>
        <v>0</v>
      </c>
      <c r="E112" s="16"/>
      <c r="F112" s="16"/>
      <c r="G112" s="16"/>
      <c r="H112" s="16"/>
      <c r="I112" s="16"/>
      <c r="J112" s="16"/>
      <c r="K112" s="16"/>
      <c r="L112" s="18" t="s">
        <v>73</v>
      </c>
      <c r="M112" s="32" t="s">
        <v>72</v>
      </c>
      <c r="N112" s="32" t="s">
        <v>66</v>
      </c>
      <c r="O112" s="32">
        <v>70491.68</v>
      </c>
      <c r="P112" s="32">
        <v>1142.0988</v>
      </c>
      <c r="Q112" s="32">
        <v>5.3661144491E10</v>
      </c>
      <c r="R112" s="33"/>
      <c r="S112" s="28" t="s">
        <v>38</v>
      </c>
      <c r="T112" s="18" t="s">
        <v>63</v>
      </c>
      <c r="U112" s="18" t="s">
        <v>63</v>
      </c>
      <c r="V112" s="18">
        <v>16995.16</v>
      </c>
      <c r="W112" s="18">
        <v>0.0</v>
      </c>
      <c r="X112" s="18">
        <v>0.0</v>
      </c>
      <c r="Y112" s="16"/>
      <c r="Z112" s="16"/>
      <c r="AA112" s="16"/>
      <c r="AB112" s="16"/>
      <c r="AC112" s="16"/>
      <c r="AD112" s="16"/>
      <c r="AE112" s="16"/>
      <c r="AF112" s="16"/>
      <c r="AK112" s="33"/>
      <c r="AL112" s="33"/>
    </row>
    <row r="113">
      <c r="A113" s="32" t="s">
        <v>32</v>
      </c>
      <c r="B113" s="32" t="s">
        <v>62</v>
      </c>
      <c r="C113" s="33">
        <v>0.0</v>
      </c>
      <c r="D113" s="33">
        <f t="shared" si="3"/>
        <v>0</v>
      </c>
      <c r="E113" s="16"/>
      <c r="F113" s="16"/>
      <c r="G113" s="16"/>
      <c r="H113" s="16"/>
      <c r="I113" s="16"/>
      <c r="J113" s="16"/>
      <c r="K113" s="16"/>
      <c r="L113" s="18" t="s">
        <v>74</v>
      </c>
      <c r="M113" s="18" t="s">
        <v>64</v>
      </c>
      <c r="N113" s="18" t="s">
        <v>33</v>
      </c>
      <c r="O113" s="18">
        <v>5965.16</v>
      </c>
      <c r="P113" s="18">
        <v>894.5228</v>
      </c>
      <c r="Q113" s="18">
        <v>4.540751542E9</v>
      </c>
      <c r="R113" s="16"/>
      <c r="S113" s="18" t="s">
        <v>38</v>
      </c>
      <c r="T113" s="18" t="s">
        <v>65</v>
      </c>
      <c r="U113" s="18" t="s">
        <v>66</v>
      </c>
      <c r="V113" s="18">
        <v>978.68</v>
      </c>
      <c r="W113" s="18">
        <v>79.8162</v>
      </c>
      <c r="X113" s="18">
        <v>2.603276822E8</v>
      </c>
      <c r="Y113" s="16"/>
      <c r="Z113" s="16"/>
      <c r="AA113" s="16"/>
      <c r="AB113" s="16"/>
      <c r="AC113" s="16"/>
      <c r="AD113" s="16"/>
      <c r="AE113" s="16"/>
      <c r="AF113" s="16"/>
      <c r="AK113" s="33"/>
      <c r="AL113" s="33"/>
    </row>
    <row r="114">
      <c r="A114" s="32" t="s">
        <v>32</v>
      </c>
      <c r="B114" s="32" t="s">
        <v>64</v>
      </c>
      <c r="C114" s="33">
        <v>0.0</v>
      </c>
      <c r="D114" s="33">
        <f t="shared" si="3"/>
        <v>0</v>
      </c>
      <c r="E114" s="16"/>
      <c r="F114" s="16"/>
      <c r="G114" s="16"/>
      <c r="H114" s="16"/>
      <c r="I114" s="16"/>
      <c r="J114" s="16"/>
      <c r="K114" s="16"/>
      <c r="L114" s="18" t="s">
        <v>74</v>
      </c>
      <c r="M114" s="18" t="s">
        <v>64</v>
      </c>
      <c r="N114" s="18" t="s">
        <v>35</v>
      </c>
      <c r="O114" s="18">
        <v>3729.64</v>
      </c>
      <c r="P114" s="18">
        <v>781.4544</v>
      </c>
      <c r="Q114" s="18">
        <v>2.480189286E9</v>
      </c>
      <c r="R114" s="16"/>
      <c r="S114" s="18" t="s">
        <v>38</v>
      </c>
      <c r="T114" s="18" t="s">
        <v>66</v>
      </c>
      <c r="U114" s="18" t="s">
        <v>66</v>
      </c>
      <c r="V114" s="18">
        <v>8271.0</v>
      </c>
      <c r="W114" s="18">
        <v>0.0</v>
      </c>
      <c r="X114" s="18">
        <v>0.0</v>
      </c>
      <c r="Y114" s="16"/>
      <c r="Z114" s="16"/>
      <c r="AA114" s="16"/>
      <c r="AB114" s="16"/>
      <c r="AC114" s="16"/>
      <c r="AD114" s="16"/>
      <c r="AE114" s="16"/>
      <c r="AF114" s="16"/>
      <c r="AK114" s="33"/>
      <c r="AL114" s="33"/>
    </row>
    <row r="115">
      <c r="A115" s="32" t="s">
        <v>32</v>
      </c>
      <c r="B115" s="32" t="s">
        <v>63</v>
      </c>
      <c r="C115" s="33">
        <v>0.0</v>
      </c>
      <c r="D115" s="33">
        <f t="shared" si="3"/>
        <v>0</v>
      </c>
      <c r="E115" s="16"/>
      <c r="F115" s="16"/>
      <c r="G115" s="16"/>
      <c r="H115" s="16"/>
      <c r="I115" s="16"/>
      <c r="J115" s="16"/>
      <c r="K115" s="16"/>
      <c r="L115" s="18" t="s">
        <v>74</v>
      </c>
      <c r="M115" s="18" t="s">
        <v>63</v>
      </c>
      <c r="N115" s="18" t="s">
        <v>64</v>
      </c>
      <c r="O115" s="18">
        <v>9694.8</v>
      </c>
      <c r="P115" s="18">
        <v>197.4577</v>
      </c>
      <c r="Q115" s="18">
        <v>1.902677379E9</v>
      </c>
      <c r="R115" s="16"/>
      <c r="S115" s="18" t="s">
        <v>38</v>
      </c>
      <c r="T115" s="18" t="s">
        <v>67</v>
      </c>
      <c r="U115" s="18" t="s">
        <v>66</v>
      </c>
      <c r="V115" s="18">
        <v>460.76</v>
      </c>
      <c r="W115" s="18">
        <v>294.9322</v>
      </c>
      <c r="X115" s="18">
        <v>4.52882282E8</v>
      </c>
      <c r="Y115" s="16"/>
      <c r="Z115" s="16"/>
      <c r="AA115" s="16"/>
      <c r="AB115" s="16"/>
      <c r="AC115" s="16"/>
      <c r="AD115" s="16"/>
      <c r="AE115" s="16"/>
      <c r="AF115" s="16"/>
      <c r="AK115" s="33"/>
      <c r="AL115" s="33"/>
    </row>
    <row r="116">
      <c r="A116" s="32" t="s">
        <v>32</v>
      </c>
      <c r="B116" s="32" t="s">
        <v>65</v>
      </c>
      <c r="C116" s="33">
        <v>0.0</v>
      </c>
      <c r="D116" s="33">
        <f t="shared" si="3"/>
        <v>0</v>
      </c>
      <c r="E116" s="16"/>
      <c r="F116" s="16"/>
      <c r="G116" s="16"/>
      <c r="H116" s="16"/>
      <c r="I116" s="16"/>
      <c r="J116" s="16"/>
      <c r="K116" s="16"/>
      <c r="L116" s="18" t="s">
        <v>74</v>
      </c>
      <c r="M116" s="18" t="s">
        <v>72</v>
      </c>
      <c r="N116" s="18" t="s">
        <v>63</v>
      </c>
      <c r="O116" s="18">
        <v>21785.32</v>
      </c>
      <c r="P116" s="18">
        <v>1497.2162</v>
      </c>
      <c r="Q116" s="18">
        <v>2.1740366361E10</v>
      </c>
      <c r="R116" s="16"/>
      <c r="S116" s="18" t="s">
        <v>38</v>
      </c>
      <c r="T116" s="18" t="s">
        <v>68</v>
      </c>
      <c r="U116" s="18" t="s">
        <v>63</v>
      </c>
      <c r="V116" s="18">
        <v>2005.28</v>
      </c>
      <c r="W116" s="18">
        <v>573.6388</v>
      </c>
      <c r="X116" s="18">
        <v>3.83355732E9</v>
      </c>
      <c r="Y116" s="16"/>
      <c r="Z116" s="16"/>
      <c r="AA116" s="16"/>
      <c r="AB116" s="16"/>
      <c r="AC116" s="16"/>
      <c r="AD116" s="16"/>
      <c r="AE116" s="16"/>
      <c r="AF116" s="16"/>
      <c r="AK116" s="33"/>
      <c r="AL116" s="33"/>
    </row>
    <row r="117">
      <c r="A117" s="32" t="s">
        <v>32</v>
      </c>
      <c r="B117" s="32" t="s">
        <v>66</v>
      </c>
      <c r="C117" s="33">
        <v>0.0</v>
      </c>
      <c r="D117" s="33">
        <f t="shared" si="3"/>
        <v>0</v>
      </c>
      <c r="E117" s="16"/>
      <c r="F117" s="16"/>
      <c r="G117" s="16"/>
      <c r="H117" s="16"/>
      <c r="I117" s="16"/>
      <c r="J117" s="16"/>
      <c r="K117" s="16"/>
      <c r="L117" s="18" t="s">
        <v>74</v>
      </c>
      <c r="M117" s="18" t="s">
        <v>72</v>
      </c>
      <c r="N117" s="18" t="s">
        <v>66</v>
      </c>
      <c r="O117" s="18">
        <v>9540.64</v>
      </c>
      <c r="P117" s="18">
        <v>1142.0988</v>
      </c>
      <c r="Q117" s="18">
        <v>7.262724645E9</v>
      </c>
      <c r="R117" s="16"/>
      <c r="S117" s="18" t="s">
        <v>38</v>
      </c>
      <c r="T117" s="18" t="s">
        <v>69</v>
      </c>
      <c r="U117" s="18" t="s">
        <v>66</v>
      </c>
      <c r="V117" s="18">
        <v>163.88</v>
      </c>
      <c r="W117" s="18">
        <v>706.8772</v>
      </c>
      <c r="X117" s="18">
        <v>3.860631392E8</v>
      </c>
      <c r="Y117" s="16"/>
      <c r="Z117" s="16"/>
      <c r="AA117" s="16"/>
      <c r="AB117" s="16"/>
      <c r="AC117" s="16"/>
      <c r="AD117" s="16"/>
      <c r="AE117" s="16"/>
      <c r="AF117" s="16"/>
      <c r="AK117" s="33"/>
      <c r="AL117" s="33"/>
    </row>
    <row r="118">
      <c r="A118" s="32" t="s">
        <v>32</v>
      </c>
      <c r="B118" s="32" t="s">
        <v>67</v>
      </c>
      <c r="C118" s="33">
        <v>0.0</v>
      </c>
      <c r="D118" s="33">
        <f t="shared" si="3"/>
        <v>0</v>
      </c>
      <c r="E118" s="16"/>
      <c r="F118" s="16"/>
      <c r="G118" s="16"/>
      <c r="H118" s="16"/>
      <c r="I118" s="16"/>
      <c r="J118" s="16"/>
      <c r="K118" s="16"/>
      <c r="L118" s="18" t="s">
        <v>75</v>
      </c>
      <c r="M118" s="18" t="s">
        <v>64</v>
      </c>
      <c r="N118" s="18" t="s">
        <v>33</v>
      </c>
      <c r="O118" s="18">
        <v>18260.52</v>
      </c>
      <c r="P118" s="18">
        <v>894.5228</v>
      </c>
      <c r="Q118" s="18">
        <v>1.3900127465E10</v>
      </c>
      <c r="R118" s="16"/>
      <c r="S118" s="18" t="s">
        <v>38</v>
      </c>
      <c r="T118" s="18" t="s">
        <v>70</v>
      </c>
      <c r="U118" s="18" t="s">
        <v>72</v>
      </c>
      <c r="V118" s="18">
        <v>4191.36</v>
      </c>
      <c r="W118" s="18">
        <v>255.0633</v>
      </c>
      <c r="X118" s="18">
        <v>3.562798923E9</v>
      </c>
      <c r="Y118" s="16"/>
      <c r="Z118" s="16"/>
      <c r="AA118" s="16"/>
      <c r="AB118" s="16"/>
      <c r="AC118" s="16"/>
      <c r="AD118" s="16"/>
      <c r="AE118" s="16"/>
      <c r="AF118" s="16"/>
      <c r="AK118" s="33"/>
      <c r="AL118" s="33"/>
    </row>
    <row r="119">
      <c r="A119" s="32" t="s">
        <v>32</v>
      </c>
      <c r="B119" s="32" t="s">
        <v>68</v>
      </c>
      <c r="C119" s="33">
        <v>0.0</v>
      </c>
      <c r="D119" s="33">
        <f t="shared" si="3"/>
        <v>0</v>
      </c>
      <c r="E119" s="16"/>
      <c r="F119" s="16"/>
      <c r="G119" s="16"/>
      <c r="H119" s="16"/>
      <c r="I119" s="16"/>
      <c r="J119" s="16"/>
      <c r="K119" s="16"/>
      <c r="L119" s="18" t="s">
        <v>75</v>
      </c>
      <c r="M119" s="18" t="s">
        <v>64</v>
      </c>
      <c r="N119" s="18" t="s">
        <v>35</v>
      </c>
      <c r="O119" s="18">
        <v>17440.88</v>
      </c>
      <c r="P119" s="18">
        <v>781.4544</v>
      </c>
      <c r="Q119" s="18">
        <v>1.1598085527E10</v>
      </c>
      <c r="R119" s="16"/>
      <c r="S119" s="18" t="s">
        <v>38</v>
      </c>
      <c r="T119" s="18" t="s">
        <v>71</v>
      </c>
      <c r="U119" s="18" t="s">
        <v>63</v>
      </c>
      <c r="V119" s="18">
        <v>1665.12</v>
      </c>
      <c r="W119" s="18">
        <v>1250.3899</v>
      </c>
      <c r="X119" s="18">
        <v>6.938720481E9</v>
      </c>
      <c r="Y119" s="16"/>
      <c r="Z119" s="16"/>
      <c r="AA119" s="16"/>
      <c r="AB119" s="16"/>
      <c r="AC119" s="16"/>
      <c r="AD119" s="16"/>
      <c r="AE119" s="16"/>
      <c r="AF119" s="16"/>
      <c r="AK119" s="33"/>
      <c r="AL119" s="33"/>
    </row>
    <row r="120">
      <c r="A120" s="32" t="s">
        <v>32</v>
      </c>
      <c r="B120" s="32" t="s">
        <v>69</v>
      </c>
      <c r="C120" s="33">
        <v>0.0</v>
      </c>
      <c r="D120" s="33">
        <f t="shared" si="3"/>
        <v>0</v>
      </c>
      <c r="E120" s="16"/>
      <c r="F120" s="16"/>
      <c r="G120" s="16"/>
      <c r="H120" s="16"/>
      <c r="I120" s="16"/>
      <c r="J120" s="16"/>
      <c r="K120" s="16"/>
      <c r="L120" s="18" t="s">
        <v>75</v>
      </c>
      <c r="M120" s="18" t="s">
        <v>63</v>
      </c>
      <c r="N120" s="18" t="s">
        <v>64</v>
      </c>
      <c r="O120" s="18">
        <v>35701.4</v>
      </c>
      <c r="P120" s="18">
        <v>197.4577</v>
      </c>
      <c r="Q120" s="18">
        <v>7.006668128E9</v>
      </c>
      <c r="R120" s="16"/>
      <c r="S120" s="18" t="s">
        <v>38</v>
      </c>
      <c r="T120" s="18" t="s">
        <v>72</v>
      </c>
      <c r="U120" s="18" t="s">
        <v>72</v>
      </c>
      <c r="V120" s="18">
        <v>1663.24</v>
      </c>
      <c r="W120" s="18">
        <v>0.0</v>
      </c>
      <c r="X120" s="18">
        <v>0.0</v>
      </c>
      <c r="Y120" s="16"/>
      <c r="Z120" s="16"/>
      <c r="AA120" s="16"/>
      <c r="AB120" s="16"/>
      <c r="AC120" s="16"/>
      <c r="AD120" s="16"/>
      <c r="AE120" s="16"/>
      <c r="AF120" s="16"/>
      <c r="AK120" s="33"/>
      <c r="AL120" s="33"/>
    </row>
    <row r="121">
      <c r="A121" s="32" t="s">
        <v>32</v>
      </c>
      <c r="B121" s="32" t="s">
        <v>70</v>
      </c>
      <c r="C121" s="33">
        <v>0.0</v>
      </c>
      <c r="D121" s="33">
        <f t="shared" si="3"/>
        <v>0</v>
      </c>
      <c r="E121" s="16"/>
      <c r="F121" s="16"/>
      <c r="G121" s="16"/>
      <c r="H121" s="16"/>
      <c r="I121" s="16"/>
      <c r="J121" s="16"/>
      <c r="K121" s="16"/>
      <c r="L121" s="18" t="s">
        <v>75</v>
      </c>
      <c r="M121" s="18" t="s">
        <v>72</v>
      </c>
      <c r="N121" s="18" t="s">
        <v>63</v>
      </c>
      <c r="O121" s="18">
        <v>71316.8</v>
      </c>
      <c r="P121" s="18">
        <v>1497.2162</v>
      </c>
      <c r="Q121" s="18">
        <v>7.1169638991E10</v>
      </c>
      <c r="R121" s="16"/>
      <c r="S121" s="18" t="s">
        <v>38</v>
      </c>
      <c r="T121" s="18" t="s">
        <v>73</v>
      </c>
      <c r="U121" s="18" t="s">
        <v>72</v>
      </c>
      <c r="V121" s="18">
        <v>1083.04</v>
      </c>
      <c r="W121" s="18">
        <v>505.2914</v>
      </c>
      <c r="X121" s="18">
        <v>1.823790027E9</v>
      </c>
      <c r="Y121" s="16"/>
      <c r="Z121" s="16"/>
      <c r="AA121" s="16"/>
      <c r="AB121" s="16"/>
      <c r="AC121" s="16"/>
      <c r="AD121" s="16"/>
      <c r="AE121" s="16"/>
      <c r="AF121" s="16"/>
      <c r="AK121" s="33"/>
      <c r="AL121" s="33"/>
    </row>
    <row r="122">
      <c r="A122" s="32" t="s">
        <v>32</v>
      </c>
      <c r="B122" s="32" t="s">
        <v>71</v>
      </c>
      <c r="C122" s="33">
        <v>0.0</v>
      </c>
      <c r="D122" s="33">
        <f t="shared" si="3"/>
        <v>0</v>
      </c>
      <c r="E122" s="16"/>
      <c r="F122" s="16"/>
      <c r="G122" s="16"/>
      <c r="H122" s="16"/>
      <c r="I122" s="16"/>
      <c r="J122" s="16"/>
      <c r="K122" s="16"/>
      <c r="L122" s="18" t="s">
        <v>75</v>
      </c>
      <c r="M122" s="18" t="s">
        <v>72</v>
      </c>
      <c r="N122" s="18" t="s">
        <v>66</v>
      </c>
      <c r="O122" s="18">
        <v>48250.2</v>
      </c>
      <c r="P122" s="18">
        <v>1142.0988</v>
      </c>
      <c r="Q122" s="18">
        <v>3.6730021953E10</v>
      </c>
      <c r="R122" s="16"/>
      <c r="S122" s="18" t="s">
        <v>38</v>
      </c>
      <c r="T122" s="18" t="s">
        <v>74</v>
      </c>
      <c r="U122" s="18" t="s">
        <v>72</v>
      </c>
      <c r="V122" s="18">
        <v>107.04</v>
      </c>
      <c r="W122" s="18">
        <v>467.0651</v>
      </c>
      <c r="X122" s="18">
        <v>1.666141637E8</v>
      </c>
      <c r="Y122" s="16"/>
      <c r="Z122" s="16"/>
      <c r="AA122" s="16"/>
      <c r="AB122" s="16"/>
      <c r="AC122" s="16"/>
      <c r="AD122" s="16"/>
      <c r="AE122" s="16"/>
      <c r="AF122" s="16"/>
      <c r="AK122" s="33"/>
      <c r="AL122" s="33"/>
    </row>
    <row r="123">
      <c r="A123" s="32" t="s">
        <v>32</v>
      </c>
      <c r="B123" s="32" t="s">
        <v>72</v>
      </c>
      <c r="C123" s="33">
        <v>0.0</v>
      </c>
      <c r="D123" s="33">
        <f t="shared" si="3"/>
        <v>0</v>
      </c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8" t="s">
        <v>38</v>
      </c>
      <c r="T123" s="18" t="s">
        <v>75</v>
      </c>
      <c r="U123" s="18" t="s">
        <v>72</v>
      </c>
      <c r="V123" s="18">
        <v>987.12</v>
      </c>
      <c r="W123" s="18">
        <v>1526.6262</v>
      </c>
      <c r="X123" s="18">
        <v>5.022166062E9</v>
      </c>
      <c r="Y123" s="16"/>
      <c r="Z123" s="16"/>
      <c r="AA123" s="16"/>
      <c r="AB123" s="16"/>
      <c r="AC123" s="16"/>
      <c r="AD123" s="16"/>
      <c r="AE123" s="16"/>
      <c r="AF123" s="16"/>
      <c r="AK123" s="33"/>
      <c r="AL123" s="33"/>
    </row>
    <row r="124">
      <c r="A124" s="32" t="s">
        <v>32</v>
      </c>
      <c r="B124" s="32" t="s">
        <v>73</v>
      </c>
      <c r="C124" s="33">
        <v>0.0</v>
      </c>
      <c r="D124" s="33">
        <f t="shared" si="3"/>
        <v>0</v>
      </c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8" t="s">
        <v>33</v>
      </c>
      <c r="T124" s="18" t="s">
        <v>31</v>
      </c>
      <c r="U124" s="18" t="s">
        <v>33</v>
      </c>
      <c r="V124" s="18">
        <v>2334.6</v>
      </c>
      <c r="W124" s="18">
        <v>1362.6505</v>
      </c>
      <c r="X124" s="18">
        <v>1.3535715128E10</v>
      </c>
      <c r="Y124" s="16"/>
      <c r="Z124" s="16"/>
      <c r="AA124" s="16"/>
      <c r="AB124" s="16"/>
      <c r="AC124" s="16"/>
      <c r="AD124" s="16"/>
      <c r="AE124" s="16"/>
      <c r="AF124" s="16"/>
      <c r="AK124" s="33"/>
      <c r="AL124" s="33"/>
    </row>
    <row r="125">
      <c r="A125" s="32" t="s">
        <v>32</v>
      </c>
      <c r="B125" s="32" t="s">
        <v>74</v>
      </c>
      <c r="C125" s="33">
        <v>0.0</v>
      </c>
      <c r="D125" s="33">
        <f t="shared" si="3"/>
        <v>0</v>
      </c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8" t="s">
        <v>33</v>
      </c>
      <c r="T125" s="18" t="s">
        <v>34</v>
      </c>
      <c r="U125" s="18" t="s">
        <v>33</v>
      </c>
      <c r="V125" s="18">
        <v>2285.37</v>
      </c>
      <c r="W125" s="18">
        <v>966.6815</v>
      </c>
      <c r="X125" s="18">
        <v>9.399920165E9</v>
      </c>
      <c r="Y125" s="16"/>
      <c r="Z125" s="16"/>
      <c r="AA125" s="16"/>
      <c r="AB125" s="16"/>
      <c r="AC125" s="16"/>
      <c r="AD125" s="16"/>
      <c r="AE125" s="16"/>
      <c r="AF125" s="16"/>
      <c r="AK125" s="33"/>
      <c r="AL125" s="33"/>
    </row>
    <row r="126">
      <c r="A126" s="32" t="s">
        <v>32</v>
      </c>
      <c r="B126" s="32" t="s">
        <v>75</v>
      </c>
      <c r="C126" s="33">
        <v>0.0</v>
      </c>
      <c r="D126" s="33">
        <f t="shared" si="3"/>
        <v>0</v>
      </c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8" t="s">
        <v>33</v>
      </c>
      <c r="T126" s="18" t="s">
        <v>36</v>
      </c>
      <c r="U126" s="18" t="s">
        <v>33</v>
      </c>
      <c r="V126" s="18">
        <v>2193.32</v>
      </c>
      <c r="W126" s="18">
        <v>397.4792</v>
      </c>
      <c r="X126" s="18">
        <v>3.709373871E9</v>
      </c>
      <c r="Y126" s="16"/>
      <c r="Z126" s="16"/>
      <c r="AA126" s="16"/>
      <c r="AB126" s="16"/>
      <c r="AC126" s="16"/>
      <c r="AD126" s="16"/>
      <c r="AE126" s="16"/>
      <c r="AF126" s="16"/>
      <c r="AK126" s="33"/>
      <c r="AL126" s="33"/>
    </row>
    <row r="127">
      <c r="A127" s="32" t="s">
        <v>38</v>
      </c>
      <c r="B127" s="32" t="s">
        <v>33</v>
      </c>
      <c r="C127" s="33">
        <v>0.0</v>
      </c>
      <c r="D127" s="33">
        <f t="shared" si="3"/>
        <v>0</v>
      </c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8" t="s">
        <v>33</v>
      </c>
      <c r="T127" s="18" t="s">
        <v>32</v>
      </c>
      <c r="U127" s="18" t="s">
        <v>33</v>
      </c>
      <c r="V127" s="18">
        <v>10240.56</v>
      </c>
      <c r="W127" s="18">
        <v>525.4495</v>
      </c>
      <c r="X127" s="18">
        <v>2.2894911128E10</v>
      </c>
      <c r="Y127" s="16"/>
      <c r="Z127" s="16"/>
      <c r="AA127" s="16"/>
      <c r="AB127" s="16"/>
      <c r="AC127" s="16"/>
      <c r="AD127" s="16"/>
      <c r="AE127" s="16"/>
      <c r="AF127" s="16"/>
      <c r="AK127" s="33"/>
      <c r="AL127" s="33"/>
    </row>
    <row r="128">
      <c r="A128" s="32" t="s">
        <v>38</v>
      </c>
      <c r="B128" s="32" t="s">
        <v>39</v>
      </c>
      <c r="C128" s="33">
        <v>0.0</v>
      </c>
      <c r="D128" s="33">
        <f t="shared" si="3"/>
        <v>0</v>
      </c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8" t="s">
        <v>33</v>
      </c>
      <c r="T128" s="18" t="s">
        <v>38</v>
      </c>
      <c r="U128" s="18" t="s">
        <v>33</v>
      </c>
      <c r="V128" s="18">
        <v>2693.56</v>
      </c>
      <c r="W128" s="18">
        <v>176.4669</v>
      </c>
      <c r="X128" s="18">
        <v>2.022433285E9</v>
      </c>
      <c r="Y128" s="16"/>
      <c r="Z128" s="16"/>
      <c r="AA128" s="16"/>
      <c r="AB128" s="16"/>
      <c r="AC128" s="16"/>
      <c r="AD128" s="16"/>
      <c r="AE128" s="16"/>
      <c r="AF128" s="16"/>
      <c r="AK128" s="33"/>
      <c r="AL128" s="33"/>
    </row>
    <row r="129">
      <c r="A129" s="32" t="s">
        <v>38</v>
      </c>
      <c r="B129" s="32" t="s">
        <v>35</v>
      </c>
      <c r="C129" s="33">
        <v>0.0</v>
      </c>
      <c r="D129" s="33">
        <f t="shared" si="3"/>
        <v>0</v>
      </c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8" t="s">
        <v>33</v>
      </c>
      <c r="T129" s="18" t="s">
        <v>39</v>
      </c>
      <c r="U129" s="18" t="s">
        <v>35</v>
      </c>
      <c r="V129" s="18">
        <v>2535.32</v>
      </c>
      <c r="W129" s="18">
        <v>186.18</v>
      </c>
      <c r="X129" s="18">
        <v>2.008399139E9</v>
      </c>
      <c r="Y129" s="16"/>
      <c r="Z129" s="16"/>
      <c r="AA129" s="16"/>
      <c r="AB129" s="16"/>
      <c r="AC129" s="16"/>
      <c r="AD129" s="16"/>
      <c r="AE129" s="16"/>
      <c r="AF129" s="16"/>
      <c r="AK129" s="33"/>
      <c r="AL129" s="33"/>
    </row>
    <row r="130">
      <c r="A130" s="32" t="s">
        <v>38</v>
      </c>
      <c r="B130" s="32" t="s">
        <v>40</v>
      </c>
      <c r="C130" s="33">
        <v>0.0</v>
      </c>
      <c r="D130" s="33">
        <f t="shared" si="3"/>
        <v>0</v>
      </c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8" t="s">
        <v>33</v>
      </c>
      <c r="T130" s="18" t="s">
        <v>35</v>
      </c>
      <c r="U130" s="18" t="s">
        <v>35</v>
      </c>
      <c r="V130" s="18">
        <v>33272.84</v>
      </c>
      <c r="W130" s="18">
        <v>0.0</v>
      </c>
      <c r="X130" s="18">
        <v>0.0</v>
      </c>
      <c r="Y130" s="16"/>
      <c r="Z130" s="16"/>
      <c r="AA130" s="16"/>
      <c r="AB130" s="16"/>
      <c r="AC130" s="16"/>
      <c r="AD130" s="16"/>
      <c r="AE130" s="16"/>
      <c r="AF130" s="16"/>
      <c r="AK130" s="33"/>
      <c r="AL130" s="33"/>
    </row>
    <row r="131">
      <c r="A131" s="32" t="s">
        <v>38</v>
      </c>
      <c r="B131" s="32" t="s">
        <v>37</v>
      </c>
      <c r="C131" s="33">
        <v>0.0</v>
      </c>
      <c r="D131" s="33">
        <f t="shared" si="3"/>
        <v>0</v>
      </c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8" t="s">
        <v>33</v>
      </c>
      <c r="T131" s="18" t="s">
        <v>40</v>
      </c>
      <c r="U131" s="18" t="s">
        <v>35</v>
      </c>
      <c r="V131" s="18">
        <v>2248.87</v>
      </c>
      <c r="W131" s="18">
        <v>403.0102</v>
      </c>
      <c r="X131" s="18">
        <v>3.856245351E9</v>
      </c>
      <c r="Y131" s="16"/>
      <c r="Z131" s="16"/>
      <c r="AA131" s="16"/>
      <c r="AB131" s="16"/>
      <c r="AC131" s="16"/>
      <c r="AD131" s="16"/>
      <c r="AE131" s="16"/>
      <c r="AF131" s="16"/>
      <c r="AK131" s="33"/>
      <c r="AL131" s="33"/>
    </row>
    <row r="132">
      <c r="A132" s="32" t="s">
        <v>38</v>
      </c>
      <c r="B132" s="32" t="s">
        <v>62</v>
      </c>
      <c r="C132" s="33">
        <v>0.0</v>
      </c>
      <c r="D132" s="33">
        <f t="shared" si="3"/>
        <v>0</v>
      </c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8" t="s">
        <v>33</v>
      </c>
      <c r="T132" s="18" t="s">
        <v>37</v>
      </c>
      <c r="U132" s="18" t="s">
        <v>35</v>
      </c>
      <c r="V132" s="18">
        <v>6665.76</v>
      </c>
      <c r="W132" s="18">
        <v>658.2451</v>
      </c>
      <c r="X132" s="18">
        <v>1.8669022206E10</v>
      </c>
      <c r="Y132" s="16"/>
      <c r="Z132" s="16"/>
      <c r="AA132" s="16"/>
      <c r="AB132" s="16"/>
      <c r="AC132" s="16"/>
      <c r="AD132" s="16"/>
      <c r="AE132" s="16"/>
      <c r="AF132" s="16"/>
      <c r="AK132" s="33"/>
      <c r="AL132" s="33"/>
    </row>
    <row r="133">
      <c r="A133" s="32" t="s">
        <v>38</v>
      </c>
      <c r="B133" s="32" t="s">
        <v>64</v>
      </c>
      <c r="C133" s="33">
        <v>0.0</v>
      </c>
      <c r="D133" s="33">
        <f t="shared" si="3"/>
        <v>0</v>
      </c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8" t="s">
        <v>33</v>
      </c>
      <c r="T133" s="18" t="s">
        <v>62</v>
      </c>
      <c r="U133" s="18" t="s">
        <v>33</v>
      </c>
      <c r="V133" s="18">
        <v>64034.16</v>
      </c>
      <c r="W133" s="18">
        <v>541.8429</v>
      </c>
      <c r="X133" s="79">
        <v>1.47628E11</v>
      </c>
      <c r="Y133" s="16"/>
      <c r="Z133" s="16"/>
      <c r="AA133" s="16"/>
      <c r="AB133" s="16"/>
      <c r="AC133" s="16"/>
      <c r="AD133" s="16"/>
      <c r="AE133" s="16"/>
      <c r="AF133" s="16"/>
      <c r="AK133" s="33"/>
      <c r="AL133" s="33"/>
    </row>
    <row r="134">
      <c r="A134" s="32" t="s">
        <v>38</v>
      </c>
      <c r="B134" s="32" t="s">
        <v>63</v>
      </c>
      <c r="C134" s="33">
        <v>0.0</v>
      </c>
      <c r="D134" s="33">
        <f t="shared" si="3"/>
        <v>0</v>
      </c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8" t="s">
        <v>33</v>
      </c>
      <c r="T134" s="18" t="s">
        <v>64</v>
      </c>
      <c r="U134" s="18" t="s">
        <v>63</v>
      </c>
      <c r="V134" s="18">
        <v>31156.2</v>
      </c>
      <c r="W134" s="18">
        <v>197.4577</v>
      </c>
      <c r="X134" s="18">
        <v>3.0573192304E10</v>
      </c>
      <c r="Y134" s="16"/>
      <c r="Z134" s="16"/>
      <c r="AA134" s="16"/>
      <c r="AB134" s="16"/>
      <c r="AC134" s="16"/>
      <c r="AD134" s="16"/>
      <c r="AE134" s="16"/>
      <c r="AF134" s="16"/>
      <c r="AK134" s="33"/>
      <c r="AL134" s="33"/>
    </row>
    <row r="135">
      <c r="A135" s="32" t="s">
        <v>38</v>
      </c>
      <c r="B135" s="32" t="s">
        <v>65</v>
      </c>
      <c r="C135" s="33">
        <v>0.0</v>
      </c>
      <c r="D135" s="33">
        <f t="shared" si="3"/>
        <v>0</v>
      </c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8" t="s">
        <v>33</v>
      </c>
      <c r="T135" s="18" t="s">
        <v>63</v>
      </c>
      <c r="U135" s="18" t="s">
        <v>63</v>
      </c>
      <c r="V135" s="18">
        <v>140589.76</v>
      </c>
      <c r="W135" s="18">
        <v>0.0</v>
      </c>
      <c r="X135" s="18">
        <v>0.0</v>
      </c>
      <c r="Y135" s="16"/>
      <c r="Z135" s="16"/>
      <c r="AA135" s="16"/>
      <c r="AB135" s="16"/>
      <c r="AC135" s="16"/>
      <c r="AD135" s="16"/>
      <c r="AE135" s="16"/>
      <c r="AF135" s="16"/>
      <c r="AK135" s="33"/>
      <c r="AL135" s="33"/>
    </row>
    <row r="136">
      <c r="A136" s="32" t="s">
        <v>38</v>
      </c>
      <c r="B136" s="32" t="s">
        <v>66</v>
      </c>
      <c r="C136" s="33">
        <v>0.0</v>
      </c>
      <c r="D136" s="33">
        <f t="shared" si="3"/>
        <v>0</v>
      </c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8" t="s">
        <v>33</v>
      </c>
      <c r="T136" s="18" t="s">
        <v>65</v>
      </c>
      <c r="U136" s="18" t="s">
        <v>66</v>
      </c>
      <c r="V136" s="18">
        <v>3082.24</v>
      </c>
      <c r="W136" s="18">
        <v>79.8162</v>
      </c>
      <c r="X136" s="18">
        <v>8.198720678E8</v>
      </c>
      <c r="Y136" s="16"/>
      <c r="Z136" s="16"/>
      <c r="AA136" s="16"/>
      <c r="AB136" s="16"/>
      <c r="AC136" s="16"/>
      <c r="AD136" s="16"/>
      <c r="AE136" s="16"/>
      <c r="AF136" s="16"/>
      <c r="AK136" s="33"/>
      <c r="AL136" s="33"/>
    </row>
    <row r="137">
      <c r="A137" s="32" t="s">
        <v>38</v>
      </c>
      <c r="B137" s="32" t="s">
        <v>67</v>
      </c>
      <c r="C137" s="33">
        <v>0.0</v>
      </c>
      <c r="D137" s="33">
        <f t="shared" si="3"/>
        <v>0</v>
      </c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8" t="s">
        <v>33</v>
      </c>
      <c r="T137" s="18" t="s">
        <v>66</v>
      </c>
      <c r="U137" s="18" t="s">
        <v>66</v>
      </c>
      <c r="V137" s="18">
        <v>26141.36</v>
      </c>
      <c r="W137" s="18">
        <v>0.0</v>
      </c>
      <c r="X137" s="18">
        <v>0.0</v>
      </c>
      <c r="Y137" s="16"/>
      <c r="Z137" s="16"/>
      <c r="AA137" s="16"/>
      <c r="AB137" s="16"/>
      <c r="AC137" s="16"/>
      <c r="AD137" s="16"/>
      <c r="AE137" s="16"/>
      <c r="AF137" s="16"/>
      <c r="AK137" s="33"/>
      <c r="AL137" s="33"/>
    </row>
    <row r="138">
      <c r="A138" s="32" t="s">
        <v>38</v>
      </c>
      <c r="B138" s="32" t="s">
        <v>68</v>
      </c>
      <c r="C138" s="33">
        <v>0.0</v>
      </c>
      <c r="D138" s="33">
        <f t="shared" si="3"/>
        <v>0</v>
      </c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8" t="s">
        <v>33</v>
      </c>
      <c r="T138" s="18" t="s">
        <v>67</v>
      </c>
      <c r="U138" s="18" t="s">
        <v>66</v>
      </c>
      <c r="V138" s="18">
        <v>1578.2</v>
      </c>
      <c r="W138" s="18">
        <v>294.9322</v>
      </c>
      <c r="X138" s="18">
        <v>1.551217158E9</v>
      </c>
      <c r="Y138" s="16"/>
      <c r="Z138" s="16"/>
      <c r="AA138" s="16"/>
      <c r="AB138" s="16"/>
      <c r="AC138" s="16"/>
      <c r="AD138" s="16"/>
      <c r="AE138" s="16"/>
      <c r="AF138" s="16"/>
      <c r="AK138" s="33"/>
      <c r="AL138" s="33"/>
    </row>
    <row r="139">
      <c r="A139" s="32" t="s">
        <v>38</v>
      </c>
      <c r="B139" s="32" t="s">
        <v>69</v>
      </c>
      <c r="C139" s="33">
        <v>0.0</v>
      </c>
      <c r="D139" s="33">
        <f t="shared" si="3"/>
        <v>0</v>
      </c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8" t="s">
        <v>33</v>
      </c>
      <c r="T139" s="18" t="s">
        <v>68</v>
      </c>
      <c r="U139" s="18" t="s">
        <v>63</v>
      </c>
      <c r="V139" s="18">
        <v>6251.68</v>
      </c>
      <c r="W139" s="18">
        <v>573.6388</v>
      </c>
      <c r="X139" s="18">
        <v>1.195153476E10</v>
      </c>
      <c r="Y139" s="16"/>
      <c r="Z139" s="16"/>
      <c r="AA139" s="16"/>
      <c r="AB139" s="16"/>
      <c r="AC139" s="16"/>
      <c r="AD139" s="16"/>
      <c r="AE139" s="16"/>
      <c r="AF139" s="16"/>
      <c r="AK139" s="33"/>
      <c r="AL139" s="33"/>
    </row>
    <row r="140">
      <c r="A140" s="32" t="s">
        <v>38</v>
      </c>
      <c r="B140" s="32" t="s">
        <v>70</v>
      </c>
      <c r="C140" s="33">
        <v>0.0</v>
      </c>
      <c r="D140" s="33">
        <f t="shared" si="3"/>
        <v>0</v>
      </c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8" t="s">
        <v>33</v>
      </c>
      <c r="T140" s="18" t="s">
        <v>69</v>
      </c>
      <c r="U140" s="18" t="s">
        <v>66</v>
      </c>
      <c r="V140" s="18">
        <v>681.04</v>
      </c>
      <c r="W140" s="18">
        <v>706.8772</v>
      </c>
      <c r="X140" s="18">
        <v>1.604371737E9</v>
      </c>
      <c r="Y140" s="16"/>
      <c r="Z140" s="16"/>
      <c r="AA140" s="16"/>
      <c r="AB140" s="16"/>
      <c r="AC140" s="16"/>
      <c r="AD140" s="16"/>
      <c r="AE140" s="16"/>
      <c r="AF140" s="16"/>
      <c r="AK140" s="33"/>
      <c r="AL140" s="33"/>
    </row>
    <row r="141">
      <c r="A141" s="32" t="s">
        <v>38</v>
      </c>
      <c r="B141" s="32" t="s">
        <v>71</v>
      </c>
      <c r="C141" s="33">
        <v>0.0</v>
      </c>
      <c r="D141" s="33">
        <f t="shared" si="3"/>
        <v>0</v>
      </c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8" t="s">
        <v>33</v>
      </c>
      <c r="T141" s="18" t="s">
        <v>70</v>
      </c>
      <c r="U141" s="18" t="s">
        <v>72</v>
      </c>
      <c r="V141" s="18">
        <v>6378.4</v>
      </c>
      <c r="W141" s="18">
        <v>255.0633</v>
      </c>
      <c r="X141" s="18">
        <v>5.4218575E9</v>
      </c>
      <c r="Y141" s="16"/>
      <c r="Z141" s="16"/>
      <c r="AA141" s="16"/>
      <c r="AB141" s="16"/>
      <c r="AC141" s="16"/>
      <c r="AD141" s="16"/>
      <c r="AE141" s="16"/>
      <c r="AF141" s="16"/>
      <c r="AK141" s="33"/>
      <c r="AL141" s="33"/>
    </row>
    <row r="142">
      <c r="A142" s="32" t="s">
        <v>38</v>
      </c>
      <c r="B142" s="32" t="s">
        <v>72</v>
      </c>
      <c r="C142" s="33">
        <v>0.0</v>
      </c>
      <c r="D142" s="33">
        <f t="shared" si="3"/>
        <v>0</v>
      </c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8" t="s">
        <v>33</v>
      </c>
      <c r="T142" s="18" t="s">
        <v>71</v>
      </c>
      <c r="U142" s="18" t="s">
        <v>63</v>
      </c>
      <c r="V142" s="18">
        <v>4030.36</v>
      </c>
      <c r="W142" s="18">
        <v>1250.3899</v>
      </c>
      <c r="X142" s="18">
        <v>1.6794910563E10</v>
      </c>
      <c r="Y142" s="16"/>
      <c r="Z142" s="16"/>
      <c r="AA142" s="16"/>
      <c r="AB142" s="16"/>
      <c r="AC142" s="16"/>
      <c r="AD142" s="16"/>
      <c r="AE142" s="16"/>
      <c r="AF142" s="16"/>
      <c r="AK142" s="33"/>
      <c r="AL142" s="33"/>
    </row>
    <row r="143">
      <c r="A143" s="32" t="s">
        <v>38</v>
      </c>
      <c r="B143" s="32" t="s">
        <v>73</v>
      </c>
      <c r="C143" s="33">
        <v>0.0</v>
      </c>
      <c r="D143" s="33">
        <f t="shared" si="3"/>
        <v>0</v>
      </c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8" t="s">
        <v>33</v>
      </c>
      <c r="T143" s="18" t="s">
        <v>72</v>
      </c>
      <c r="U143" s="18" t="s">
        <v>72</v>
      </c>
      <c r="V143" s="18">
        <v>3144.12</v>
      </c>
      <c r="W143" s="18">
        <v>0.0</v>
      </c>
      <c r="X143" s="18">
        <v>0.0</v>
      </c>
      <c r="Y143" s="16"/>
      <c r="Z143" s="16"/>
      <c r="AA143" s="16"/>
      <c r="AB143" s="16"/>
      <c r="AC143" s="16"/>
      <c r="AD143" s="16"/>
      <c r="AE143" s="16"/>
      <c r="AF143" s="16"/>
      <c r="AK143" s="33"/>
      <c r="AL143" s="33"/>
    </row>
    <row r="144">
      <c r="A144" s="32" t="s">
        <v>38</v>
      </c>
      <c r="B144" s="32" t="s">
        <v>74</v>
      </c>
      <c r="C144" s="33">
        <v>0.0</v>
      </c>
      <c r="D144" s="33">
        <f t="shared" si="3"/>
        <v>0</v>
      </c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8" t="s">
        <v>33</v>
      </c>
      <c r="T144" s="18" t="s">
        <v>73</v>
      </c>
      <c r="U144" s="18" t="s">
        <v>72</v>
      </c>
      <c r="V144" s="18">
        <v>2947.48</v>
      </c>
      <c r="W144" s="18">
        <v>505.2914</v>
      </c>
      <c r="X144" s="18">
        <v>4.963422061E9</v>
      </c>
      <c r="Y144" s="16"/>
      <c r="Z144" s="16"/>
      <c r="AA144" s="16"/>
      <c r="AB144" s="16"/>
      <c r="AC144" s="16"/>
      <c r="AD144" s="16"/>
      <c r="AE144" s="16"/>
      <c r="AF144" s="16"/>
      <c r="AK144" s="33"/>
      <c r="AL144" s="33"/>
    </row>
    <row r="145">
      <c r="A145" s="32" t="s">
        <v>38</v>
      </c>
      <c r="B145" s="32" t="s">
        <v>75</v>
      </c>
      <c r="C145" s="33">
        <v>0.0</v>
      </c>
      <c r="D145" s="33">
        <f t="shared" si="3"/>
        <v>0</v>
      </c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8" t="s">
        <v>33</v>
      </c>
      <c r="T145" s="18" t="s">
        <v>74</v>
      </c>
      <c r="U145" s="18" t="s">
        <v>72</v>
      </c>
      <c r="V145" s="18">
        <v>254.36</v>
      </c>
      <c r="W145" s="18">
        <v>467.0651</v>
      </c>
      <c r="X145" s="18">
        <v>3.95926557E8</v>
      </c>
      <c r="Y145" s="16"/>
      <c r="Z145" s="16"/>
      <c r="AA145" s="16"/>
      <c r="AB145" s="16"/>
      <c r="AC145" s="16"/>
      <c r="AD145" s="16"/>
      <c r="AE145" s="16"/>
      <c r="AF145" s="16"/>
      <c r="AK145" s="33"/>
      <c r="AL145" s="33"/>
    </row>
    <row r="146">
      <c r="A146" s="32" t="s">
        <v>33</v>
      </c>
      <c r="B146" s="32" t="s">
        <v>39</v>
      </c>
      <c r="C146" s="33">
        <v>0.0</v>
      </c>
      <c r="D146" s="33">
        <f t="shared" si="3"/>
        <v>0</v>
      </c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8" t="s">
        <v>33</v>
      </c>
      <c r="T146" s="18" t="s">
        <v>75</v>
      </c>
      <c r="U146" s="18" t="s">
        <v>72</v>
      </c>
      <c r="V146" s="18">
        <v>1724.52</v>
      </c>
      <c r="W146" s="18">
        <v>1526.6262</v>
      </c>
      <c r="X146" s="18">
        <v>8.773832784E9</v>
      </c>
      <c r="Y146" s="16"/>
      <c r="Z146" s="16"/>
      <c r="AA146" s="16"/>
      <c r="AB146" s="16"/>
      <c r="AC146" s="16"/>
      <c r="AD146" s="16"/>
      <c r="AE146" s="16"/>
      <c r="AF146" s="16"/>
      <c r="AK146" s="33"/>
      <c r="AL146" s="33"/>
    </row>
    <row r="147">
      <c r="A147" s="32" t="s">
        <v>33</v>
      </c>
      <c r="B147" s="32" t="s">
        <v>35</v>
      </c>
      <c r="C147" s="33">
        <v>1.0</v>
      </c>
      <c r="D147" s="33">
        <f t="shared" si="3"/>
        <v>55000000000</v>
      </c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8" t="s">
        <v>39</v>
      </c>
      <c r="T147" s="18" t="s">
        <v>31</v>
      </c>
      <c r="U147" s="18" t="s">
        <v>33</v>
      </c>
      <c r="V147" s="18">
        <v>2873.96</v>
      </c>
      <c r="W147" s="18">
        <v>1362.6505</v>
      </c>
      <c r="X147" s="18">
        <v>1.6662856099E10</v>
      </c>
      <c r="Y147" s="16"/>
      <c r="Z147" s="16"/>
      <c r="AA147" s="16"/>
      <c r="AB147" s="16"/>
      <c r="AC147" s="16"/>
      <c r="AD147" s="16"/>
      <c r="AE147" s="16"/>
      <c r="AF147" s="16"/>
      <c r="AK147" s="33"/>
      <c r="AL147" s="33"/>
    </row>
    <row r="148">
      <c r="A148" s="32" t="s">
        <v>33</v>
      </c>
      <c r="B148" s="32" t="s">
        <v>40</v>
      </c>
      <c r="C148" s="33">
        <v>0.0</v>
      </c>
      <c r="D148" s="33">
        <f t="shared" si="3"/>
        <v>0</v>
      </c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8" t="s">
        <v>39</v>
      </c>
      <c r="T148" s="18" t="s">
        <v>34</v>
      </c>
      <c r="U148" s="18" t="s">
        <v>33</v>
      </c>
      <c r="V148" s="18">
        <v>3207.09</v>
      </c>
      <c r="W148" s="18">
        <v>966.6815</v>
      </c>
      <c r="X148" s="18">
        <v>1.3191032507E10</v>
      </c>
      <c r="Y148" s="16"/>
      <c r="Z148" s="16"/>
      <c r="AA148" s="16"/>
      <c r="AB148" s="16"/>
      <c r="AC148" s="16"/>
      <c r="AD148" s="16"/>
      <c r="AE148" s="16"/>
      <c r="AF148" s="16"/>
      <c r="AK148" s="33"/>
      <c r="AL148" s="33"/>
    </row>
    <row r="149">
      <c r="A149" s="32" t="s">
        <v>33</v>
      </c>
      <c r="B149" s="32" t="s">
        <v>37</v>
      </c>
      <c r="C149" s="33">
        <v>0.0</v>
      </c>
      <c r="D149" s="33">
        <f t="shared" si="3"/>
        <v>0</v>
      </c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8" t="s">
        <v>39</v>
      </c>
      <c r="T149" s="18" t="s">
        <v>36</v>
      </c>
      <c r="U149" s="18" t="s">
        <v>33</v>
      </c>
      <c r="V149" s="18">
        <v>22608.32</v>
      </c>
      <c r="W149" s="18">
        <v>397.4792</v>
      </c>
      <c r="X149" s="18">
        <v>3.8235511222E10</v>
      </c>
      <c r="Y149" s="16"/>
      <c r="Z149" s="16"/>
      <c r="AA149" s="16"/>
      <c r="AB149" s="16"/>
      <c r="AC149" s="16"/>
      <c r="AD149" s="16"/>
      <c r="AE149" s="16"/>
      <c r="AF149" s="16"/>
      <c r="AK149" s="33"/>
      <c r="AL149" s="33"/>
    </row>
    <row r="150">
      <c r="A150" s="32" t="s">
        <v>33</v>
      </c>
      <c r="B150" s="32" t="s">
        <v>62</v>
      </c>
      <c r="C150" s="33">
        <v>0.0</v>
      </c>
      <c r="D150" s="33">
        <f t="shared" si="3"/>
        <v>0</v>
      </c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8" t="s">
        <v>39</v>
      </c>
      <c r="T150" s="18" t="s">
        <v>32</v>
      </c>
      <c r="U150" s="18" t="s">
        <v>33</v>
      </c>
      <c r="V150" s="18">
        <v>6602.08</v>
      </c>
      <c r="W150" s="18">
        <v>525.4495</v>
      </c>
      <c r="X150" s="18">
        <v>1.4760329012E10</v>
      </c>
      <c r="Y150" s="16"/>
      <c r="Z150" s="16"/>
      <c r="AA150" s="16"/>
      <c r="AB150" s="16"/>
      <c r="AC150" s="16"/>
      <c r="AD150" s="16"/>
      <c r="AE150" s="16"/>
      <c r="AF150" s="16"/>
      <c r="AK150" s="33"/>
      <c r="AL150" s="33"/>
    </row>
    <row r="151">
      <c r="A151" s="32" t="s">
        <v>33</v>
      </c>
      <c r="B151" s="32" t="s">
        <v>64</v>
      </c>
      <c r="C151" s="33">
        <v>0.0</v>
      </c>
      <c r="D151" s="33">
        <f t="shared" si="3"/>
        <v>0</v>
      </c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8" t="s">
        <v>39</v>
      </c>
      <c r="T151" s="18" t="s">
        <v>38</v>
      </c>
      <c r="U151" s="18" t="s">
        <v>33</v>
      </c>
      <c r="V151" s="18">
        <v>1576.64</v>
      </c>
      <c r="W151" s="18">
        <v>176.4669</v>
      </c>
      <c r="X151" s="18">
        <v>1.183804784E9</v>
      </c>
      <c r="Y151" s="16"/>
      <c r="Z151" s="16"/>
      <c r="AA151" s="16"/>
      <c r="AB151" s="16"/>
      <c r="AC151" s="16"/>
      <c r="AD151" s="16"/>
      <c r="AE151" s="16"/>
      <c r="AF151" s="16"/>
      <c r="AK151" s="33"/>
      <c r="AL151" s="33"/>
    </row>
    <row r="152">
      <c r="A152" s="32" t="s">
        <v>33</v>
      </c>
      <c r="B152" s="32" t="s">
        <v>63</v>
      </c>
      <c r="C152" s="33">
        <v>0.0</v>
      </c>
      <c r="D152" s="33">
        <f t="shared" si="3"/>
        <v>0</v>
      </c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8" t="s">
        <v>39</v>
      </c>
      <c r="T152" s="18" t="s">
        <v>33</v>
      </c>
      <c r="U152" s="18" t="s">
        <v>33</v>
      </c>
      <c r="V152" s="18">
        <v>11335.92</v>
      </c>
      <c r="W152" s="18">
        <v>0.0</v>
      </c>
      <c r="X152" s="18">
        <v>0.0</v>
      </c>
      <c r="Y152" s="16"/>
      <c r="Z152" s="16"/>
      <c r="AA152" s="16"/>
      <c r="AB152" s="16"/>
      <c r="AC152" s="16"/>
      <c r="AD152" s="16"/>
      <c r="AE152" s="16"/>
      <c r="AF152" s="16"/>
      <c r="AK152" s="33"/>
      <c r="AL152" s="33"/>
    </row>
    <row r="153">
      <c r="A153" s="32" t="s">
        <v>33</v>
      </c>
      <c r="B153" s="32" t="s">
        <v>65</v>
      </c>
      <c r="C153" s="33">
        <v>0.0</v>
      </c>
      <c r="D153" s="33">
        <f t="shared" si="3"/>
        <v>0</v>
      </c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8" t="s">
        <v>39</v>
      </c>
      <c r="T153" s="18" t="s">
        <v>35</v>
      </c>
      <c r="U153" s="18" t="s">
        <v>35</v>
      </c>
      <c r="V153" s="18">
        <v>14964.48</v>
      </c>
      <c r="W153" s="18">
        <v>0.0</v>
      </c>
      <c r="X153" s="18">
        <v>0.0</v>
      </c>
      <c r="Y153" s="16"/>
      <c r="Z153" s="16"/>
      <c r="AA153" s="16"/>
      <c r="AB153" s="16"/>
      <c r="AC153" s="16"/>
      <c r="AD153" s="16"/>
      <c r="AE153" s="16"/>
      <c r="AF153" s="16"/>
      <c r="AK153" s="33"/>
      <c r="AL153" s="33"/>
    </row>
    <row r="154">
      <c r="A154" s="32" t="s">
        <v>33</v>
      </c>
      <c r="B154" s="32" t="s">
        <v>66</v>
      </c>
      <c r="C154" s="33">
        <v>0.0</v>
      </c>
      <c r="D154" s="33">
        <f t="shared" si="3"/>
        <v>0</v>
      </c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8" t="s">
        <v>39</v>
      </c>
      <c r="T154" s="18" t="s">
        <v>40</v>
      </c>
      <c r="U154" s="18" t="s">
        <v>35</v>
      </c>
      <c r="V154" s="18">
        <v>3552.95</v>
      </c>
      <c r="W154" s="18">
        <v>403.0102</v>
      </c>
      <c r="X154" s="18">
        <v>6.092413931E9</v>
      </c>
      <c r="Y154" s="16"/>
      <c r="Z154" s="16"/>
      <c r="AA154" s="16"/>
      <c r="AB154" s="16"/>
      <c r="AC154" s="16"/>
      <c r="AD154" s="16"/>
      <c r="AE154" s="16"/>
      <c r="AF154" s="16"/>
      <c r="AK154" s="33"/>
      <c r="AL154" s="33"/>
    </row>
    <row r="155">
      <c r="A155" s="32" t="s">
        <v>33</v>
      </c>
      <c r="B155" s="32" t="s">
        <v>67</v>
      </c>
      <c r="C155" s="33">
        <v>0.0</v>
      </c>
      <c r="D155" s="33">
        <f t="shared" si="3"/>
        <v>0</v>
      </c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8" t="s">
        <v>39</v>
      </c>
      <c r="T155" s="18" t="s">
        <v>37</v>
      </c>
      <c r="U155" s="18" t="s">
        <v>35</v>
      </c>
      <c r="V155" s="18">
        <v>8546.4</v>
      </c>
      <c r="W155" s="18">
        <v>658.2451</v>
      </c>
      <c r="X155" s="18">
        <v>2.393619503E10</v>
      </c>
      <c r="Y155" s="16"/>
      <c r="Z155" s="16"/>
      <c r="AA155" s="16"/>
      <c r="AB155" s="16"/>
      <c r="AC155" s="16"/>
      <c r="AD155" s="16"/>
      <c r="AE155" s="16"/>
      <c r="AF155" s="16"/>
      <c r="AK155" s="33"/>
      <c r="AL155" s="33"/>
    </row>
    <row r="156">
      <c r="A156" s="32" t="s">
        <v>33</v>
      </c>
      <c r="B156" s="32" t="s">
        <v>68</v>
      </c>
      <c r="C156" s="33">
        <v>0.0</v>
      </c>
      <c r="D156" s="33">
        <f t="shared" si="3"/>
        <v>0</v>
      </c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8" t="s">
        <v>39</v>
      </c>
      <c r="T156" s="18" t="s">
        <v>62</v>
      </c>
      <c r="U156" s="18" t="s">
        <v>33</v>
      </c>
      <c r="V156" s="18">
        <v>8301.6</v>
      </c>
      <c r="W156" s="18">
        <v>541.8429</v>
      </c>
      <c r="X156" s="18">
        <v>1.9139010492E10</v>
      </c>
      <c r="Y156" s="16"/>
      <c r="Z156" s="16"/>
      <c r="AA156" s="16"/>
      <c r="AB156" s="16"/>
      <c r="AC156" s="16"/>
      <c r="AD156" s="16"/>
      <c r="AE156" s="16"/>
      <c r="AF156" s="16"/>
      <c r="AK156" s="33"/>
      <c r="AL156" s="33"/>
    </row>
    <row r="157">
      <c r="A157" s="32" t="s">
        <v>33</v>
      </c>
      <c r="B157" s="32" t="s">
        <v>69</v>
      </c>
      <c r="C157" s="33">
        <v>0.0</v>
      </c>
      <c r="D157" s="33">
        <f t="shared" si="3"/>
        <v>0</v>
      </c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8" t="s">
        <v>39</v>
      </c>
      <c r="T157" s="18" t="s">
        <v>64</v>
      </c>
      <c r="U157" s="18" t="s">
        <v>63</v>
      </c>
      <c r="V157" s="18">
        <v>39357.72</v>
      </c>
      <c r="W157" s="18">
        <v>197.4577</v>
      </c>
      <c r="X157" s="18">
        <v>3.862124207E10</v>
      </c>
      <c r="Y157" s="16"/>
      <c r="Z157" s="16"/>
      <c r="AA157" s="16"/>
      <c r="AB157" s="16"/>
      <c r="AC157" s="16"/>
      <c r="AD157" s="16"/>
      <c r="AE157" s="16"/>
      <c r="AF157" s="16"/>
      <c r="AK157" s="33"/>
      <c r="AL157" s="33"/>
    </row>
    <row r="158">
      <c r="A158" s="32" t="s">
        <v>33</v>
      </c>
      <c r="B158" s="32" t="s">
        <v>70</v>
      </c>
      <c r="C158" s="33">
        <v>0.0</v>
      </c>
      <c r="D158" s="33">
        <f t="shared" si="3"/>
        <v>0</v>
      </c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8" t="s">
        <v>39</v>
      </c>
      <c r="T158" s="18" t="s">
        <v>63</v>
      </c>
      <c r="U158" s="18" t="s">
        <v>63</v>
      </c>
      <c r="V158" s="18">
        <v>40385.96</v>
      </c>
      <c r="W158" s="18">
        <v>0.0</v>
      </c>
      <c r="X158" s="18">
        <v>0.0</v>
      </c>
      <c r="Y158" s="16"/>
      <c r="Z158" s="16"/>
      <c r="AA158" s="16"/>
      <c r="AB158" s="16"/>
      <c r="AC158" s="16"/>
      <c r="AD158" s="16"/>
      <c r="AE158" s="16"/>
      <c r="AF158" s="16"/>
      <c r="AK158" s="33"/>
      <c r="AL158" s="33"/>
    </row>
    <row r="159">
      <c r="A159" s="32" t="s">
        <v>33</v>
      </c>
      <c r="B159" s="32" t="s">
        <v>71</v>
      </c>
      <c r="C159" s="33">
        <v>0.0</v>
      </c>
      <c r="D159" s="33">
        <f t="shared" si="3"/>
        <v>0</v>
      </c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8" t="s">
        <v>39</v>
      </c>
      <c r="T159" s="18" t="s">
        <v>65</v>
      </c>
      <c r="U159" s="18" t="s">
        <v>66</v>
      </c>
      <c r="V159" s="18">
        <v>4618.4</v>
      </c>
      <c r="W159" s="18">
        <v>79.8162</v>
      </c>
      <c r="X159" s="18">
        <v>1.228488748E9</v>
      </c>
      <c r="Y159" s="16"/>
      <c r="Z159" s="16"/>
      <c r="AA159" s="16"/>
      <c r="AB159" s="16"/>
      <c r="AC159" s="16"/>
      <c r="AD159" s="16"/>
      <c r="AE159" s="16"/>
      <c r="AF159" s="16"/>
      <c r="AK159" s="33"/>
      <c r="AL159" s="33"/>
    </row>
    <row r="160">
      <c r="A160" s="32" t="s">
        <v>33</v>
      </c>
      <c r="B160" s="32" t="s">
        <v>72</v>
      </c>
      <c r="C160" s="33">
        <v>1.0</v>
      </c>
      <c r="D160" s="33">
        <f t="shared" si="3"/>
        <v>55000000000</v>
      </c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8" t="s">
        <v>39</v>
      </c>
      <c r="T160" s="18" t="s">
        <v>66</v>
      </c>
      <c r="U160" s="18" t="s">
        <v>66</v>
      </c>
      <c r="V160" s="18">
        <v>74196.56</v>
      </c>
      <c r="W160" s="18">
        <v>0.0</v>
      </c>
      <c r="X160" s="18">
        <v>0.0</v>
      </c>
      <c r="Y160" s="16"/>
      <c r="Z160" s="16"/>
      <c r="AA160" s="16"/>
      <c r="AB160" s="16"/>
      <c r="AC160" s="16"/>
      <c r="AD160" s="16"/>
      <c r="AE160" s="16"/>
      <c r="AF160" s="16"/>
      <c r="AK160" s="33"/>
      <c r="AL160" s="33"/>
    </row>
    <row r="161">
      <c r="A161" s="32" t="s">
        <v>33</v>
      </c>
      <c r="B161" s="32" t="s">
        <v>73</v>
      </c>
      <c r="C161" s="33">
        <v>0.0</v>
      </c>
      <c r="D161" s="33">
        <f t="shared" si="3"/>
        <v>0</v>
      </c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8" t="s">
        <v>39</v>
      </c>
      <c r="T161" s="18" t="s">
        <v>67</v>
      </c>
      <c r="U161" s="18" t="s">
        <v>66</v>
      </c>
      <c r="V161" s="18">
        <v>4964.52</v>
      </c>
      <c r="W161" s="18">
        <v>294.9322</v>
      </c>
      <c r="X161" s="18">
        <v>4.879640478E9</v>
      </c>
      <c r="Y161" s="16"/>
      <c r="Z161" s="16"/>
      <c r="AA161" s="16"/>
      <c r="AB161" s="16"/>
      <c r="AC161" s="16"/>
      <c r="AD161" s="16"/>
      <c r="AE161" s="16"/>
      <c r="AF161" s="16"/>
      <c r="AK161" s="33"/>
      <c r="AL161" s="33"/>
    </row>
    <row r="162">
      <c r="A162" s="32" t="s">
        <v>33</v>
      </c>
      <c r="B162" s="32" t="s">
        <v>74</v>
      </c>
      <c r="C162" s="33">
        <v>0.0</v>
      </c>
      <c r="D162" s="33">
        <f t="shared" si="3"/>
        <v>0</v>
      </c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8" t="s">
        <v>39</v>
      </c>
      <c r="T162" s="18" t="s">
        <v>68</v>
      </c>
      <c r="U162" s="18" t="s">
        <v>63</v>
      </c>
      <c r="V162" s="18">
        <v>22279.48</v>
      </c>
      <c r="W162" s="18">
        <v>573.6388</v>
      </c>
      <c r="X162" s="18">
        <v>4.2592387913E10</v>
      </c>
      <c r="Y162" s="16"/>
      <c r="Z162" s="16"/>
      <c r="AA162" s="16"/>
      <c r="AB162" s="16"/>
      <c r="AC162" s="16"/>
      <c r="AD162" s="16"/>
      <c r="AE162" s="16"/>
      <c r="AF162" s="16"/>
      <c r="AK162" s="33"/>
      <c r="AL162" s="33"/>
    </row>
    <row r="163">
      <c r="A163" s="32" t="s">
        <v>33</v>
      </c>
      <c r="B163" s="32" t="s">
        <v>75</v>
      </c>
      <c r="C163" s="33">
        <v>0.0</v>
      </c>
      <c r="D163" s="33">
        <f t="shared" si="3"/>
        <v>0</v>
      </c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8" t="s">
        <v>39</v>
      </c>
      <c r="T163" s="18" t="s">
        <v>69</v>
      </c>
      <c r="U163" s="18" t="s">
        <v>66</v>
      </c>
      <c r="V163" s="18">
        <v>1243.52</v>
      </c>
      <c r="W163" s="18">
        <v>706.8772</v>
      </c>
      <c r="X163" s="18">
        <v>2.929443708E9</v>
      </c>
      <c r="Y163" s="16"/>
      <c r="Z163" s="16"/>
      <c r="AA163" s="16"/>
      <c r="AB163" s="16"/>
      <c r="AC163" s="16"/>
      <c r="AD163" s="16"/>
      <c r="AE163" s="16"/>
      <c r="AF163" s="16"/>
      <c r="AK163" s="33"/>
      <c r="AL163" s="33"/>
    </row>
    <row r="164">
      <c r="A164" s="32" t="s">
        <v>39</v>
      </c>
      <c r="B164" s="32" t="s">
        <v>35</v>
      </c>
      <c r="C164" s="33">
        <v>0.0</v>
      </c>
      <c r="D164" s="33">
        <f t="shared" si="3"/>
        <v>0</v>
      </c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8" t="s">
        <v>39</v>
      </c>
      <c r="T164" s="18" t="s">
        <v>70</v>
      </c>
      <c r="U164" s="18" t="s">
        <v>72</v>
      </c>
      <c r="V164" s="18">
        <v>4950.32</v>
      </c>
      <c r="W164" s="18">
        <v>255.0633</v>
      </c>
      <c r="X164" s="18">
        <v>4.207940803E9</v>
      </c>
      <c r="Y164" s="16"/>
      <c r="Z164" s="16"/>
      <c r="AA164" s="16"/>
      <c r="AB164" s="16"/>
      <c r="AC164" s="16"/>
      <c r="AD164" s="16"/>
      <c r="AE164" s="16"/>
      <c r="AF164" s="16"/>
      <c r="AK164" s="33"/>
      <c r="AL164" s="33"/>
    </row>
    <row r="165">
      <c r="A165" s="32" t="s">
        <v>39</v>
      </c>
      <c r="B165" s="32" t="s">
        <v>40</v>
      </c>
      <c r="C165" s="33">
        <v>0.0</v>
      </c>
      <c r="D165" s="33">
        <f t="shared" si="3"/>
        <v>0</v>
      </c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8" t="s">
        <v>39</v>
      </c>
      <c r="T165" s="18" t="s">
        <v>71</v>
      </c>
      <c r="U165" s="18" t="s">
        <v>63</v>
      </c>
      <c r="V165" s="18">
        <v>11520.76</v>
      </c>
      <c r="W165" s="18">
        <v>1250.3899</v>
      </c>
      <c r="X165" s="18">
        <v>4.8008151585E10</v>
      </c>
      <c r="Y165" s="16"/>
      <c r="Z165" s="16"/>
      <c r="AA165" s="16"/>
      <c r="AB165" s="16"/>
      <c r="AC165" s="16"/>
      <c r="AD165" s="16"/>
      <c r="AE165" s="16"/>
      <c r="AF165" s="16"/>
      <c r="AK165" s="33"/>
      <c r="AL165" s="33"/>
    </row>
    <row r="166">
      <c r="A166" s="32" t="s">
        <v>39</v>
      </c>
      <c r="B166" s="32" t="s">
        <v>37</v>
      </c>
      <c r="C166" s="33">
        <v>0.0</v>
      </c>
      <c r="D166" s="33">
        <f t="shared" si="3"/>
        <v>0</v>
      </c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8" t="s">
        <v>39</v>
      </c>
      <c r="T166" s="18" t="s">
        <v>72</v>
      </c>
      <c r="U166" s="18" t="s">
        <v>72</v>
      </c>
      <c r="V166" s="18">
        <v>5473.56</v>
      </c>
      <c r="W166" s="18">
        <v>0.0</v>
      </c>
      <c r="X166" s="18">
        <v>0.0</v>
      </c>
      <c r="Y166" s="16"/>
      <c r="Z166" s="16"/>
      <c r="AA166" s="16"/>
      <c r="AB166" s="16"/>
      <c r="AC166" s="16"/>
      <c r="AD166" s="16"/>
      <c r="AE166" s="16"/>
      <c r="AF166" s="16"/>
      <c r="AK166" s="33"/>
      <c r="AL166" s="33"/>
    </row>
    <row r="167">
      <c r="A167" s="32" t="s">
        <v>39</v>
      </c>
      <c r="B167" s="32" t="s">
        <v>62</v>
      </c>
      <c r="C167" s="33">
        <v>0.0</v>
      </c>
      <c r="D167" s="33">
        <f t="shared" si="3"/>
        <v>0</v>
      </c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8" t="s">
        <v>39</v>
      </c>
      <c r="T167" s="18" t="s">
        <v>73</v>
      </c>
      <c r="U167" s="18" t="s">
        <v>72</v>
      </c>
      <c r="V167" s="18">
        <v>17182.88</v>
      </c>
      <c r="W167" s="18">
        <v>505.2914</v>
      </c>
      <c r="X167" s="18">
        <v>2.8935187233E10</v>
      </c>
      <c r="Y167" s="16"/>
      <c r="Z167" s="16"/>
      <c r="AA167" s="16"/>
      <c r="AB167" s="16"/>
      <c r="AC167" s="16"/>
      <c r="AD167" s="16"/>
      <c r="AE167" s="16"/>
      <c r="AF167" s="16"/>
      <c r="AK167" s="33"/>
      <c r="AL167" s="33"/>
    </row>
    <row r="168">
      <c r="A168" s="32" t="s">
        <v>39</v>
      </c>
      <c r="B168" s="32" t="s">
        <v>64</v>
      </c>
      <c r="C168" s="33">
        <v>0.0</v>
      </c>
      <c r="D168" s="33">
        <f t="shared" si="3"/>
        <v>0</v>
      </c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8" t="s">
        <v>39</v>
      </c>
      <c r="T168" s="18" t="s">
        <v>74</v>
      </c>
      <c r="U168" s="18" t="s">
        <v>72</v>
      </c>
      <c r="V168" s="18">
        <v>532.48</v>
      </c>
      <c r="W168" s="18">
        <v>467.0651</v>
      </c>
      <c r="X168" s="18">
        <v>8.288369755E8</v>
      </c>
      <c r="Y168" s="16"/>
      <c r="Z168" s="16"/>
      <c r="AA168" s="16"/>
      <c r="AB168" s="16"/>
      <c r="AC168" s="16"/>
      <c r="AD168" s="16"/>
      <c r="AE168" s="16"/>
      <c r="AF168" s="16"/>
      <c r="AK168" s="33"/>
      <c r="AL168" s="33"/>
    </row>
    <row r="169">
      <c r="A169" s="32" t="s">
        <v>39</v>
      </c>
      <c r="B169" s="32" t="s">
        <v>63</v>
      </c>
      <c r="C169" s="33">
        <v>0.0</v>
      </c>
      <c r="D169" s="33">
        <f t="shared" si="3"/>
        <v>0</v>
      </c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8" t="s">
        <v>39</v>
      </c>
      <c r="T169" s="18" t="s">
        <v>75</v>
      </c>
      <c r="U169" s="18" t="s">
        <v>72</v>
      </c>
      <c r="V169" s="18">
        <v>4373.72</v>
      </c>
      <c r="W169" s="18">
        <v>1526.6262</v>
      </c>
      <c r="X169" s="18">
        <v>2.2252155917E10</v>
      </c>
      <c r="Y169" s="16"/>
      <c r="Z169" s="16"/>
      <c r="AA169" s="16"/>
      <c r="AB169" s="16"/>
      <c r="AC169" s="16"/>
      <c r="AD169" s="16"/>
      <c r="AE169" s="16"/>
      <c r="AF169" s="16"/>
      <c r="AK169" s="33"/>
      <c r="AL169" s="33"/>
    </row>
    <row r="170">
      <c r="A170" s="32" t="s">
        <v>39</v>
      </c>
      <c r="B170" s="32" t="s">
        <v>65</v>
      </c>
      <c r="C170" s="33">
        <v>0.0</v>
      </c>
      <c r="D170" s="33">
        <f t="shared" si="3"/>
        <v>0</v>
      </c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8" t="s">
        <v>35</v>
      </c>
      <c r="T170" s="18" t="s">
        <v>31</v>
      </c>
      <c r="U170" s="18" t="s">
        <v>33</v>
      </c>
      <c r="V170" s="18">
        <v>30724.48</v>
      </c>
      <c r="W170" s="18">
        <v>1362.6505</v>
      </c>
      <c r="X170" s="79">
        <v>1.78137E11</v>
      </c>
      <c r="Y170" s="16"/>
      <c r="Z170" s="16"/>
      <c r="AA170" s="16"/>
      <c r="AB170" s="16"/>
      <c r="AC170" s="16"/>
      <c r="AD170" s="16"/>
      <c r="AE170" s="16"/>
      <c r="AF170" s="16"/>
      <c r="AK170" s="33"/>
      <c r="AL170" s="33"/>
    </row>
    <row r="171">
      <c r="A171" s="32" t="s">
        <v>39</v>
      </c>
      <c r="B171" s="32" t="s">
        <v>66</v>
      </c>
      <c r="C171" s="33">
        <v>0.0</v>
      </c>
      <c r="D171" s="33">
        <f t="shared" si="3"/>
        <v>0</v>
      </c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8" t="s">
        <v>35</v>
      </c>
      <c r="T171" s="18" t="s">
        <v>34</v>
      </c>
      <c r="U171" s="18" t="s">
        <v>33</v>
      </c>
      <c r="V171" s="18">
        <v>6826.26</v>
      </c>
      <c r="W171" s="18">
        <v>966.6815</v>
      </c>
      <c r="X171" s="18">
        <v>2.8076984919E10</v>
      </c>
      <c r="Y171" s="16"/>
      <c r="Z171" s="16"/>
      <c r="AA171" s="16"/>
      <c r="AB171" s="16"/>
      <c r="AC171" s="16"/>
      <c r="AD171" s="16"/>
      <c r="AE171" s="16"/>
      <c r="AF171" s="16"/>
      <c r="AK171" s="33"/>
      <c r="AL171" s="33"/>
    </row>
    <row r="172">
      <c r="A172" s="32" t="s">
        <v>39</v>
      </c>
      <c r="B172" s="32" t="s">
        <v>67</v>
      </c>
      <c r="C172" s="33">
        <v>0.0</v>
      </c>
      <c r="D172" s="33">
        <f t="shared" si="3"/>
        <v>0</v>
      </c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8" t="s">
        <v>35</v>
      </c>
      <c r="T172" s="18" t="s">
        <v>36</v>
      </c>
      <c r="U172" s="18" t="s">
        <v>33</v>
      </c>
      <c r="V172" s="18">
        <v>12802.76</v>
      </c>
      <c r="W172" s="18">
        <v>397.4792</v>
      </c>
      <c r="X172" s="18">
        <v>2.1652209171E10</v>
      </c>
      <c r="Y172" s="16"/>
      <c r="Z172" s="16"/>
      <c r="AA172" s="16"/>
      <c r="AB172" s="16"/>
      <c r="AC172" s="16"/>
      <c r="AD172" s="16"/>
      <c r="AE172" s="16"/>
      <c r="AF172" s="16"/>
      <c r="AK172" s="33"/>
      <c r="AL172" s="33"/>
    </row>
    <row r="173">
      <c r="A173" s="32" t="s">
        <v>39</v>
      </c>
      <c r="B173" s="32" t="s">
        <v>68</v>
      </c>
      <c r="C173" s="33">
        <v>0.0</v>
      </c>
      <c r="D173" s="33">
        <f t="shared" si="3"/>
        <v>0</v>
      </c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8" t="s">
        <v>35</v>
      </c>
      <c r="T173" s="18" t="s">
        <v>32</v>
      </c>
      <c r="U173" s="18" t="s">
        <v>33</v>
      </c>
      <c r="V173" s="18">
        <v>72304.0</v>
      </c>
      <c r="W173" s="18">
        <v>525.4495</v>
      </c>
      <c r="X173" s="79">
        <v>1.61651E11</v>
      </c>
      <c r="Y173" s="16"/>
      <c r="Z173" s="16"/>
      <c r="AA173" s="16"/>
      <c r="AB173" s="16"/>
      <c r="AC173" s="16"/>
      <c r="AD173" s="16"/>
      <c r="AE173" s="16"/>
      <c r="AF173" s="16"/>
      <c r="AK173" s="33"/>
      <c r="AL173" s="33"/>
    </row>
    <row r="174">
      <c r="A174" s="32" t="s">
        <v>39</v>
      </c>
      <c r="B174" s="32" t="s">
        <v>69</v>
      </c>
      <c r="C174" s="33">
        <v>0.0</v>
      </c>
      <c r="D174" s="33">
        <f t="shared" si="3"/>
        <v>0</v>
      </c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8" t="s">
        <v>35</v>
      </c>
      <c r="T174" s="18" t="s">
        <v>38</v>
      </c>
      <c r="U174" s="18" t="s">
        <v>33</v>
      </c>
      <c r="V174" s="18">
        <v>34996.76</v>
      </c>
      <c r="W174" s="18">
        <v>176.4669</v>
      </c>
      <c r="X174" s="18">
        <v>2.6276976303E10</v>
      </c>
      <c r="Y174" s="16"/>
      <c r="Z174" s="16"/>
      <c r="AA174" s="16"/>
      <c r="AB174" s="16"/>
      <c r="AC174" s="16"/>
      <c r="AD174" s="16"/>
      <c r="AE174" s="16"/>
      <c r="AF174" s="16"/>
      <c r="AK174" s="33"/>
      <c r="AL174" s="33"/>
    </row>
    <row r="175">
      <c r="A175" s="32" t="s">
        <v>39</v>
      </c>
      <c r="B175" s="32" t="s">
        <v>70</v>
      </c>
      <c r="C175" s="33">
        <v>0.0</v>
      </c>
      <c r="D175" s="33">
        <f t="shared" si="3"/>
        <v>0</v>
      </c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8" t="s">
        <v>35</v>
      </c>
      <c r="T175" s="18" t="s">
        <v>33</v>
      </c>
      <c r="U175" s="18" t="s">
        <v>33</v>
      </c>
      <c r="V175" s="18">
        <v>121568.92</v>
      </c>
      <c r="W175" s="18">
        <v>0.0</v>
      </c>
      <c r="X175" s="18">
        <v>0.0</v>
      </c>
      <c r="Y175" s="16"/>
      <c r="Z175" s="16"/>
      <c r="AA175" s="16"/>
      <c r="AB175" s="16"/>
      <c r="AC175" s="16"/>
      <c r="AD175" s="16"/>
      <c r="AE175" s="16"/>
      <c r="AF175" s="16"/>
      <c r="AK175" s="33"/>
      <c r="AL175" s="33"/>
    </row>
    <row r="176">
      <c r="A176" s="32" t="s">
        <v>39</v>
      </c>
      <c r="B176" s="32" t="s">
        <v>71</v>
      </c>
      <c r="C176" s="33">
        <v>0.0</v>
      </c>
      <c r="D176" s="33">
        <f t="shared" si="3"/>
        <v>0</v>
      </c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8" t="s">
        <v>35</v>
      </c>
      <c r="T176" s="18" t="s">
        <v>39</v>
      </c>
      <c r="U176" s="18" t="s">
        <v>35</v>
      </c>
      <c r="V176" s="18">
        <v>16938.64</v>
      </c>
      <c r="W176" s="18">
        <v>186.18</v>
      </c>
      <c r="X176" s="18">
        <v>1.3418247002E10</v>
      </c>
      <c r="Y176" s="16"/>
      <c r="Z176" s="16"/>
      <c r="AA176" s="16"/>
      <c r="AB176" s="16"/>
      <c r="AC176" s="16"/>
      <c r="AD176" s="16"/>
      <c r="AE176" s="16"/>
      <c r="AF176" s="16"/>
      <c r="AK176" s="33"/>
      <c r="AL176" s="33"/>
    </row>
    <row r="177">
      <c r="A177" s="32" t="s">
        <v>39</v>
      </c>
      <c r="B177" s="32" t="s">
        <v>72</v>
      </c>
      <c r="C177" s="33">
        <v>0.0</v>
      </c>
      <c r="D177" s="33">
        <f t="shared" si="3"/>
        <v>0</v>
      </c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8" t="s">
        <v>35</v>
      </c>
      <c r="T177" s="18" t="s">
        <v>40</v>
      </c>
      <c r="U177" s="18" t="s">
        <v>35</v>
      </c>
      <c r="V177" s="18">
        <v>23542.82</v>
      </c>
      <c r="W177" s="18">
        <v>403.0102</v>
      </c>
      <c r="X177" s="18">
        <v>4.0370003674E10</v>
      </c>
      <c r="Y177" s="16"/>
      <c r="Z177" s="16"/>
      <c r="AA177" s="16"/>
      <c r="AB177" s="16"/>
      <c r="AC177" s="16"/>
      <c r="AD177" s="16"/>
      <c r="AE177" s="16"/>
      <c r="AF177" s="16"/>
      <c r="AK177" s="33"/>
      <c r="AL177" s="33"/>
    </row>
    <row r="178">
      <c r="A178" s="32" t="s">
        <v>39</v>
      </c>
      <c r="B178" s="32" t="s">
        <v>73</v>
      </c>
      <c r="C178" s="33">
        <v>0.0</v>
      </c>
      <c r="D178" s="33">
        <f t="shared" si="3"/>
        <v>0</v>
      </c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8" t="s">
        <v>35</v>
      </c>
      <c r="T178" s="18" t="s">
        <v>37</v>
      </c>
      <c r="U178" s="18" t="s">
        <v>35</v>
      </c>
      <c r="V178" s="18">
        <v>101245.44</v>
      </c>
      <c r="W178" s="18">
        <v>658.2451</v>
      </c>
      <c r="X178" s="79">
        <v>2.83562E11</v>
      </c>
      <c r="Y178" s="16"/>
      <c r="Z178" s="16"/>
      <c r="AA178" s="16"/>
      <c r="AB178" s="16"/>
      <c r="AC178" s="16"/>
      <c r="AD178" s="16"/>
      <c r="AE178" s="16"/>
      <c r="AF178" s="16"/>
      <c r="AK178" s="33"/>
      <c r="AL178" s="33"/>
    </row>
    <row r="179">
      <c r="A179" s="32" t="s">
        <v>39</v>
      </c>
      <c r="B179" s="32" t="s">
        <v>74</v>
      </c>
      <c r="C179" s="33">
        <v>0.0</v>
      </c>
      <c r="D179" s="33">
        <f t="shared" si="3"/>
        <v>0</v>
      </c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8" t="s">
        <v>35</v>
      </c>
      <c r="T179" s="18" t="s">
        <v>62</v>
      </c>
      <c r="U179" s="18" t="s">
        <v>33</v>
      </c>
      <c r="V179" s="18">
        <v>74044.64</v>
      </c>
      <c r="W179" s="18">
        <v>541.8429</v>
      </c>
      <c r="X179" s="79">
        <v>1.70707E11</v>
      </c>
      <c r="Y179" s="16"/>
      <c r="Z179" s="16"/>
      <c r="AA179" s="16"/>
      <c r="AB179" s="16"/>
      <c r="AC179" s="16"/>
      <c r="AD179" s="16"/>
      <c r="AE179" s="16"/>
      <c r="AF179" s="16"/>
      <c r="AK179" s="33"/>
      <c r="AL179" s="33"/>
    </row>
    <row r="180">
      <c r="A180" s="32" t="s">
        <v>39</v>
      </c>
      <c r="B180" s="32" t="s">
        <v>75</v>
      </c>
      <c r="C180" s="33">
        <v>0.0</v>
      </c>
      <c r="D180" s="33">
        <f t="shared" si="3"/>
        <v>0</v>
      </c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8" t="s">
        <v>35</v>
      </c>
      <c r="T180" s="18" t="s">
        <v>64</v>
      </c>
      <c r="U180" s="18" t="s">
        <v>63</v>
      </c>
      <c r="V180" s="18">
        <v>173094.76</v>
      </c>
      <c r="W180" s="18">
        <v>197.4577</v>
      </c>
      <c r="X180" s="79">
        <v>1.69856E11</v>
      </c>
      <c r="Y180" s="16"/>
      <c r="Z180" s="16"/>
      <c r="AA180" s="16"/>
      <c r="AB180" s="16"/>
      <c r="AC180" s="16"/>
      <c r="AD180" s="16"/>
      <c r="AE180" s="16"/>
      <c r="AF180" s="16"/>
      <c r="AK180" s="33"/>
      <c r="AL180" s="33"/>
    </row>
    <row r="181">
      <c r="A181" s="32" t="s">
        <v>35</v>
      </c>
      <c r="B181" s="32" t="s">
        <v>40</v>
      </c>
      <c r="C181" s="33">
        <v>0.0</v>
      </c>
      <c r="D181" s="33">
        <f t="shared" si="3"/>
        <v>0</v>
      </c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8" t="s">
        <v>35</v>
      </c>
      <c r="T181" s="18" t="s">
        <v>63</v>
      </c>
      <c r="U181" s="18" t="s">
        <v>63</v>
      </c>
      <c r="V181" s="18">
        <v>338223.68</v>
      </c>
      <c r="W181" s="18">
        <v>0.0</v>
      </c>
      <c r="X181" s="18">
        <v>0.0</v>
      </c>
      <c r="Y181" s="16"/>
      <c r="Z181" s="16"/>
      <c r="AA181" s="16"/>
      <c r="AB181" s="16"/>
      <c r="AC181" s="16"/>
      <c r="AD181" s="16"/>
      <c r="AE181" s="16"/>
      <c r="AF181" s="16"/>
      <c r="AK181" s="33"/>
      <c r="AL181" s="33"/>
    </row>
    <row r="182">
      <c r="A182" s="32" t="s">
        <v>35</v>
      </c>
      <c r="B182" s="32" t="s">
        <v>37</v>
      </c>
      <c r="C182" s="33">
        <v>0.0</v>
      </c>
      <c r="D182" s="33">
        <f t="shared" si="3"/>
        <v>0</v>
      </c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8" t="s">
        <v>35</v>
      </c>
      <c r="T182" s="18" t="s">
        <v>65</v>
      </c>
      <c r="U182" s="18" t="s">
        <v>66</v>
      </c>
      <c r="V182" s="18">
        <v>15206.96</v>
      </c>
      <c r="W182" s="18">
        <v>79.8162</v>
      </c>
      <c r="X182" s="18">
        <v>4.045032749E9</v>
      </c>
      <c r="Y182" s="16"/>
      <c r="Z182" s="16"/>
      <c r="AA182" s="16"/>
      <c r="AB182" s="16"/>
      <c r="AC182" s="16"/>
      <c r="AD182" s="16"/>
      <c r="AE182" s="16"/>
      <c r="AF182" s="16"/>
      <c r="AK182" s="33"/>
      <c r="AL182" s="33"/>
    </row>
    <row r="183">
      <c r="A183" s="32" t="s">
        <v>35</v>
      </c>
      <c r="B183" s="32" t="s">
        <v>62</v>
      </c>
      <c r="C183" s="33">
        <v>0.0</v>
      </c>
      <c r="D183" s="33">
        <f t="shared" si="3"/>
        <v>0</v>
      </c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8" t="s">
        <v>35</v>
      </c>
      <c r="T183" s="18" t="s">
        <v>66</v>
      </c>
      <c r="U183" s="18" t="s">
        <v>66</v>
      </c>
      <c r="V183" s="18">
        <v>148366.8</v>
      </c>
      <c r="W183" s="18">
        <v>0.0</v>
      </c>
      <c r="X183" s="18">
        <v>0.0</v>
      </c>
      <c r="Y183" s="16"/>
      <c r="Z183" s="16"/>
      <c r="AA183" s="16"/>
      <c r="AB183" s="16"/>
      <c r="AC183" s="16"/>
      <c r="AD183" s="16"/>
      <c r="AE183" s="16"/>
      <c r="AF183" s="16"/>
      <c r="AK183" s="33"/>
      <c r="AL183" s="33"/>
    </row>
    <row r="184">
      <c r="A184" s="32" t="s">
        <v>35</v>
      </c>
      <c r="B184" s="32" t="s">
        <v>64</v>
      </c>
      <c r="C184" s="33">
        <v>0.0</v>
      </c>
      <c r="D184" s="33">
        <f t="shared" si="3"/>
        <v>0</v>
      </c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8" t="s">
        <v>35</v>
      </c>
      <c r="T184" s="18" t="s">
        <v>67</v>
      </c>
      <c r="U184" s="18" t="s">
        <v>66</v>
      </c>
      <c r="V184" s="18">
        <v>7271.88</v>
      </c>
      <c r="W184" s="18">
        <v>294.9322</v>
      </c>
      <c r="X184" s="18">
        <v>7.147551022E9</v>
      </c>
      <c r="Y184" s="16"/>
      <c r="Z184" s="16"/>
      <c r="AA184" s="16"/>
      <c r="AB184" s="16"/>
      <c r="AC184" s="16"/>
      <c r="AD184" s="16"/>
      <c r="AE184" s="16"/>
      <c r="AF184" s="16"/>
      <c r="AK184" s="33"/>
      <c r="AL184" s="33"/>
    </row>
    <row r="185">
      <c r="A185" s="32" t="s">
        <v>35</v>
      </c>
      <c r="B185" s="32" t="s">
        <v>63</v>
      </c>
      <c r="C185" s="33">
        <v>0.0</v>
      </c>
      <c r="D185" s="33">
        <f t="shared" si="3"/>
        <v>0</v>
      </c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8" t="s">
        <v>35</v>
      </c>
      <c r="T185" s="18" t="s">
        <v>68</v>
      </c>
      <c r="U185" s="18" t="s">
        <v>63</v>
      </c>
      <c r="V185" s="18">
        <v>37292.88</v>
      </c>
      <c r="W185" s="18">
        <v>573.6388</v>
      </c>
      <c r="X185" s="18">
        <v>7.129398044E10</v>
      </c>
      <c r="Y185" s="16"/>
      <c r="Z185" s="16"/>
      <c r="AA185" s="16"/>
      <c r="AB185" s="16"/>
      <c r="AC185" s="16"/>
      <c r="AD185" s="16"/>
      <c r="AE185" s="16"/>
      <c r="AF185" s="16"/>
      <c r="AK185" s="33"/>
      <c r="AL185" s="33"/>
    </row>
    <row r="186">
      <c r="A186" s="32" t="s">
        <v>35</v>
      </c>
      <c r="B186" s="32" t="s">
        <v>65</v>
      </c>
      <c r="C186" s="33">
        <v>0.0</v>
      </c>
      <c r="D186" s="33">
        <f t="shared" si="3"/>
        <v>0</v>
      </c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8" t="s">
        <v>35</v>
      </c>
      <c r="T186" s="18" t="s">
        <v>69</v>
      </c>
      <c r="U186" s="18" t="s">
        <v>66</v>
      </c>
      <c r="V186" s="18">
        <v>2656.08</v>
      </c>
      <c r="W186" s="18">
        <v>706.8772</v>
      </c>
      <c r="X186" s="18">
        <v>6.257106314E9</v>
      </c>
      <c r="Y186" s="16"/>
      <c r="Z186" s="16"/>
      <c r="AA186" s="16"/>
      <c r="AB186" s="16"/>
      <c r="AC186" s="16"/>
      <c r="AD186" s="16"/>
      <c r="AE186" s="16"/>
      <c r="AF186" s="16"/>
      <c r="AK186" s="33"/>
      <c r="AL186" s="33"/>
    </row>
    <row r="187">
      <c r="A187" s="32" t="s">
        <v>35</v>
      </c>
      <c r="B187" s="32" t="s">
        <v>66</v>
      </c>
      <c r="C187" s="33">
        <v>1.0</v>
      </c>
      <c r="D187" s="33">
        <f t="shared" si="3"/>
        <v>55000000000</v>
      </c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8" t="s">
        <v>35</v>
      </c>
      <c r="T187" s="18" t="s">
        <v>70</v>
      </c>
      <c r="U187" s="18" t="s">
        <v>72</v>
      </c>
      <c r="V187" s="18">
        <v>55832.28</v>
      </c>
      <c r="W187" s="18">
        <v>255.0633</v>
      </c>
      <c r="X187" s="18">
        <v>4.7459341849E10</v>
      </c>
      <c r="Y187" s="16"/>
      <c r="Z187" s="16"/>
      <c r="AA187" s="16"/>
      <c r="AB187" s="16"/>
      <c r="AC187" s="16"/>
      <c r="AD187" s="16"/>
      <c r="AE187" s="16"/>
      <c r="AF187" s="16"/>
      <c r="AK187" s="33"/>
      <c r="AL187" s="33"/>
    </row>
    <row r="188">
      <c r="A188" s="32" t="s">
        <v>35</v>
      </c>
      <c r="B188" s="32" t="s">
        <v>67</v>
      </c>
      <c r="C188" s="33">
        <v>0.0</v>
      </c>
      <c r="D188" s="33">
        <f t="shared" si="3"/>
        <v>0</v>
      </c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8" t="s">
        <v>35</v>
      </c>
      <c r="T188" s="18" t="s">
        <v>71</v>
      </c>
      <c r="U188" s="18" t="s">
        <v>63</v>
      </c>
      <c r="V188" s="18">
        <v>35138.12</v>
      </c>
      <c r="W188" s="18">
        <v>1250.3899</v>
      </c>
      <c r="X188" s="79">
        <v>1.46424E11</v>
      </c>
      <c r="Y188" s="16"/>
      <c r="Z188" s="16"/>
      <c r="AA188" s="16"/>
      <c r="AB188" s="16"/>
      <c r="AC188" s="16"/>
      <c r="AD188" s="16"/>
      <c r="AE188" s="16"/>
      <c r="AF188" s="16"/>
      <c r="AK188" s="33"/>
      <c r="AL188" s="33"/>
    </row>
    <row r="189">
      <c r="A189" s="32" t="s">
        <v>35</v>
      </c>
      <c r="B189" s="32" t="s">
        <v>68</v>
      </c>
      <c r="C189" s="33">
        <v>0.0</v>
      </c>
      <c r="D189" s="33">
        <f t="shared" si="3"/>
        <v>0</v>
      </c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8" t="s">
        <v>35</v>
      </c>
      <c r="T189" s="18" t="s">
        <v>72</v>
      </c>
      <c r="U189" s="18" t="s">
        <v>72</v>
      </c>
      <c r="V189" s="18">
        <v>31612.76</v>
      </c>
      <c r="W189" s="18">
        <v>0.0</v>
      </c>
      <c r="X189" s="18">
        <v>0.0</v>
      </c>
      <c r="Y189" s="16"/>
      <c r="Z189" s="16"/>
      <c r="AA189" s="16"/>
      <c r="AB189" s="16"/>
      <c r="AC189" s="16"/>
      <c r="AD189" s="16"/>
      <c r="AE189" s="16"/>
      <c r="AF189" s="16"/>
      <c r="AK189" s="33"/>
      <c r="AL189" s="33"/>
    </row>
    <row r="190">
      <c r="A190" s="32" t="s">
        <v>35</v>
      </c>
      <c r="B190" s="32" t="s">
        <v>69</v>
      </c>
      <c r="C190" s="33">
        <v>0.0</v>
      </c>
      <c r="D190" s="33">
        <f t="shared" si="3"/>
        <v>0</v>
      </c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8" t="s">
        <v>35</v>
      </c>
      <c r="T190" s="18" t="s">
        <v>73</v>
      </c>
      <c r="U190" s="18" t="s">
        <v>72</v>
      </c>
      <c r="V190" s="18">
        <v>15897.56</v>
      </c>
      <c r="W190" s="18">
        <v>505.2914</v>
      </c>
      <c r="X190" s="18">
        <v>2.67707669E10</v>
      </c>
      <c r="Y190" s="16"/>
      <c r="Z190" s="16"/>
      <c r="AA190" s="16"/>
      <c r="AB190" s="16"/>
      <c r="AC190" s="16"/>
      <c r="AD190" s="16"/>
      <c r="AE190" s="16"/>
      <c r="AF190" s="16"/>
      <c r="AK190" s="33"/>
      <c r="AL190" s="33"/>
    </row>
    <row r="191">
      <c r="A191" s="32" t="s">
        <v>35</v>
      </c>
      <c r="B191" s="32" t="s">
        <v>70</v>
      </c>
      <c r="C191" s="33">
        <v>0.0</v>
      </c>
      <c r="D191" s="33">
        <f t="shared" si="3"/>
        <v>0</v>
      </c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8" t="s">
        <v>35</v>
      </c>
      <c r="T191" s="18" t="s">
        <v>74</v>
      </c>
      <c r="U191" s="18" t="s">
        <v>72</v>
      </c>
      <c r="V191" s="18">
        <v>1480.64</v>
      </c>
      <c r="W191" s="18">
        <v>467.0651</v>
      </c>
      <c r="X191" s="18">
        <v>2.304704739E9</v>
      </c>
      <c r="Y191" s="16"/>
      <c r="Z191" s="16"/>
      <c r="AA191" s="16"/>
      <c r="AB191" s="16"/>
      <c r="AC191" s="16"/>
      <c r="AD191" s="16"/>
      <c r="AE191" s="16"/>
      <c r="AF191" s="16"/>
      <c r="AK191" s="33"/>
      <c r="AL191" s="33"/>
    </row>
    <row r="192">
      <c r="A192" s="32" t="s">
        <v>35</v>
      </c>
      <c r="B192" s="32" t="s">
        <v>71</v>
      </c>
      <c r="C192" s="33">
        <v>0.0</v>
      </c>
      <c r="D192" s="33">
        <f t="shared" si="3"/>
        <v>0</v>
      </c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8" t="s">
        <v>35</v>
      </c>
      <c r="T192" s="18" t="s">
        <v>75</v>
      </c>
      <c r="U192" s="18" t="s">
        <v>72</v>
      </c>
      <c r="V192" s="18">
        <v>9535.8</v>
      </c>
      <c r="W192" s="18">
        <v>1526.6262</v>
      </c>
      <c r="X192" s="18">
        <v>4.8515247522E10</v>
      </c>
      <c r="Y192" s="16"/>
      <c r="Z192" s="16"/>
      <c r="AA192" s="16"/>
      <c r="AB192" s="16"/>
      <c r="AC192" s="16"/>
      <c r="AD192" s="16"/>
      <c r="AE192" s="16"/>
      <c r="AF192" s="16"/>
      <c r="AK192" s="33"/>
      <c r="AL192" s="33"/>
    </row>
    <row r="193">
      <c r="A193" s="32" t="s">
        <v>35</v>
      </c>
      <c r="B193" s="32" t="s">
        <v>72</v>
      </c>
      <c r="C193" s="33">
        <v>0.0</v>
      </c>
      <c r="D193" s="33">
        <f t="shared" si="3"/>
        <v>0</v>
      </c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8" t="s">
        <v>40</v>
      </c>
      <c r="T193" s="18" t="s">
        <v>31</v>
      </c>
      <c r="U193" s="18" t="s">
        <v>33</v>
      </c>
      <c r="V193" s="18">
        <v>535.69</v>
      </c>
      <c r="W193" s="18">
        <v>1362.6505</v>
      </c>
      <c r="X193" s="18">
        <v>3.105862776E9</v>
      </c>
      <c r="Y193" s="16"/>
      <c r="Z193" s="16"/>
      <c r="AA193" s="16"/>
      <c r="AB193" s="16"/>
      <c r="AC193" s="16"/>
      <c r="AD193" s="16"/>
      <c r="AE193" s="16"/>
      <c r="AF193" s="16"/>
      <c r="AK193" s="33"/>
      <c r="AL193" s="33"/>
    </row>
    <row r="194">
      <c r="A194" s="32" t="s">
        <v>35</v>
      </c>
      <c r="B194" s="32" t="s">
        <v>73</v>
      </c>
      <c r="C194" s="33">
        <v>0.0</v>
      </c>
      <c r="D194" s="33">
        <f t="shared" si="3"/>
        <v>0</v>
      </c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8" t="s">
        <v>40</v>
      </c>
      <c r="T194" s="18" t="s">
        <v>34</v>
      </c>
      <c r="U194" s="18" t="s">
        <v>33</v>
      </c>
      <c r="V194" s="18">
        <v>1238.12</v>
      </c>
      <c r="W194" s="18">
        <v>966.6815</v>
      </c>
      <c r="X194" s="18">
        <v>5.092492312E9</v>
      </c>
      <c r="Y194" s="16"/>
      <c r="Z194" s="16"/>
      <c r="AA194" s="16"/>
      <c r="AB194" s="16"/>
      <c r="AC194" s="16"/>
      <c r="AD194" s="16"/>
      <c r="AE194" s="16"/>
      <c r="AF194" s="16"/>
      <c r="AK194" s="33"/>
      <c r="AL194" s="33"/>
    </row>
    <row r="195">
      <c r="A195" s="32" t="s">
        <v>35</v>
      </c>
      <c r="B195" s="32" t="s">
        <v>74</v>
      </c>
      <c r="C195" s="33">
        <v>0.0</v>
      </c>
      <c r="D195" s="33">
        <f t="shared" si="3"/>
        <v>0</v>
      </c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8" t="s">
        <v>40</v>
      </c>
      <c r="T195" s="18" t="s">
        <v>36</v>
      </c>
      <c r="U195" s="18" t="s">
        <v>33</v>
      </c>
      <c r="V195" s="18">
        <v>540.3</v>
      </c>
      <c r="W195" s="18">
        <v>397.4792</v>
      </c>
      <c r="X195" s="18">
        <v>9.137630179E8</v>
      </c>
      <c r="Y195" s="16"/>
      <c r="Z195" s="16"/>
      <c r="AA195" s="16"/>
      <c r="AB195" s="16"/>
      <c r="AC195" s="16"/>
      <c r="AD195" s="16"/>
      <c r="AE195" s="16"/>
      <c r="AF195" s="16"/>
      <c r="AK195" s="33"/>
      <c r="AL195" s="33"/>
    </row>
    <row r="196">
      <c r="A196" s="32" t="s">
        <v>35</v>
      </c>
      <c r="B196" s="32" t="s">
        <v>75</v>
      </c>
      <c r="C196" s="33">
        <v>0.0</v>
      </c>
      <c r="D196" s="33">
        <f t="shared" si="3"/>
        <v>0</v>
      </c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8" t="s">
        <v>40</v>
      </c>
      <c r="T196" s="18" t="s">
        <v>32</v>
      </c>
      <c r="U196" s="18" t="s">
        <v>33</v>
      </c>
      <c r="V196" s="18">
        <v>1578.11</v>
      </c>
      <c r="W196" s="18">
        <v>525.4495</v>
      </c>
      <c r="X196" s="18">
        <v>3.528194571E9</v>
      </c>
      <c r="Y196" s="16"/>
      <c r="Z196" s="16"/>
      <c r="AA196" s="16"/>
      <c r="AB196" s="16"/>
      <c r="AC196" s="16"/>
      <c r="AD196" s="16"/>
      <c r="AE196" s="16"/>
      <c r="AF196" s="16"/>
      <c r="AK196" s="33"/>
      <c r="AL196" s="33"/>
    </row>
    <row r="197">
      <c r="A197" s="32" t="s">
        <v>40</v>
      </c>
      <c r="B197" s="32" t="s">
        <v>37</v>
      </c>
      <c r="C197" s="33">
        <v>0.0</v>
      </c>
      <c r="D197" s="33">
        <f t="shared" si="3"/>
        <v>0</v>
      </c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8" t="s">
        <v>40</v>
      </c>
      <c r="T197" s="18" t="s">
        <v>38</v>
      </c>
      <c r="U197" s="18" t="s">
        <v>33</v>
      </c>
      <c r="V197" s="18">
        <v>310.92</v>
      </c>
      <c r="W197" s="18">
        <v>176.4669</v>
      </c>
      <c r="X197" s="18">
        <v>2.33451253E8</v>
      </c>
      <c r="Y197" s="16"/>
      <c r="Z197" s="16"/>
      <c r="AA197" s="16"/>
      <c r="AB197" s="16"/>
      <c r="AC197" s="16"/>
      <c r="AD197" s="16"/>
      <c r="AE197" s="16"/>
      <c r="AF197" s="16"/>
      <c r="AK197" s="33"/>
      <c r="AL197" s="33"/>
    </row>
    <row r="198">
      <c r="A198" s="32" t="s">
        <v>40</v>
      </c>
      <c r="B198" s="32" t="s">
        <v>62</v>
      </c>
      <c r="C198" s="33">
        <v>0.0</v>
      </c>
      <c r="D198" s="33">
        <f t="shared" si="3"/>
        <v>0</v>
      </c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8" t="s">
        <v>40</v>
      </c>
      <c r="T198" s="18" t="s">
        <v>33</v>
      </c>
      <c r="U198" s="18" t="s">
        <v>33</v>
      </c>
      <c r="V198" s="18">
        <v>2948.54</v>
      </c>
      <c r="W198" s="18">
        <v>0.0</v>
      </c>
      <c r="X198" s="18">
        <v>0.0</v>
      </c>
      <c r="Y198" s="16"/>
      <c r="Z198" s="16"/>
      <c r="AA198" s="16"/>
      <c r="AB198" s="16"/>
      <c r="AC198" s="16"/>
      <c r="AD198" s="16"/>
      <c r="AE198" s="16"/>
      <c r="AF198" s="16"/>
      <c r="AK198" s="33"/>
      <c r="AL198" s="33"/>
    </row>
    <row r="199">
      <c r="A199" s="32" t="s">
        <v>40</v>
      </c>
      <c r="B199" s="32" t="s">
        <v>64</v>
      </c>
      <c r="C199" s="33">
        <v>0.0</v>
      </c>
      <c r="D199" s="33">
        <f t="shared" si="3"/>
        <v>0</v>
      </c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8" t="s">
        <v>40</v>
      </c>
      <c r="T199" s="18" t="s">
        <v>39</v>
      </c>
      <c r="U199" s="18" t="s">
        <v>35</v>
      </c>
      <c r="V199" s="18">
        <v>663.27</v>
      </c>
      <c r="W199" s="18">
        <v>186.18</v>
      </c>
      <c r="X199" s="18">
        <v>5.254212079E8</v>
      </c>
      <c r="Y199" s="16"/>
      <c r="Z199" s="16"/>
      <c r="AA199" s="16"/>
      <c r="AB199" s="16"/>
      <c r="AC199" s="16"/>
      <c r="AD199" s="16"/>
      <c r="AE199" s="16"/>
      <c r="AF199" s="16"/>
      <c r="AK199" s="33"/>
      <c r="AL199" s="33"/>
    </row>
    <row r="200">
      <c r="A200" s="32" t="s">
        <v>40</v>
      </c>
      <c r="B200" s="32" t="s">
        <v>63</v>
      </c>
      <c r="C200" s="33">
        <v>0.0</v>
      </c>
      <c r="D200" s="33">
        <f t="shared" si="3"/>
        <v>0</v>
      </c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8" t="s">
        <v>40</v>
      </c>
      <c r="T200" s="18" t="s">
        <v>35</v>
      </c>
      <c r="U200" s="18" t="s">
        <v>35</v>
      </c>
      <c r="V200" s="18">
        <v>4287.94</v>
      </c>
      <c r="W200" s="18">
        <v>0.0</v>
      </c>
      <c r="X200" s="18">
        <v>0.0</v>
      </c>
      <c r="Y200" s="16"/>
      <c r="Z200" s="16"/>
      <c r="AA200" s="16"/>
      <c r="AB200" s="16"/>
      <c r="AC200" s="16"/>
      <c r="AD200" s="16"/>
      <c r="AE200" s="16"/>
      <c r="AF200" s="16"/>
      <c r="AK200" s="33"/>
      <c r="AL200" s="33"/>
    </row>
    <row r="201">
      <c r="A201" s="32" t="s">
        <v>40</v>
      </c>
      <c r="B201" s="32" t="s">
        <v>65</v>
      </c>
      <c r="C201" s="33">
        <v>0.0</v>
      </c>
      <c r="D201" s="33">
        <f t="shared" si="3"/>
        <v>0</v>
      </c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8" t="s">
        <v>40</v>
      </c>
      <c r="T201" s="18" t="s">
        <v>37</v>
      </c>
      <c r="U201" s="18" t="s">
        <v>35</v>
      </c>
      <c r="V201" s="18">
        <v>1785.4</v>
      </c>
      <c r="W201" s="18">
        <v>658.2451</v>
      </c>
      <c r="X201" s="18">
        <v>5.000430896E9</v>
      </c>
      <c r="Y201" s="16"/>
      <c r="Z201" s="16"/>
      <c r="AA201" s="16"/>
      <c r="AB201" s="16"/>
      <c r="AC201" s="16"/>
      <c r="AD201" s="16"/>
      <c r="AE201" s="16"/>
      <c r="AF201" s="16"/>
      <c r="AK201" s="33"/>
      <c r="AL201" s="33"/>
    </row>
    <row r="202">
      <c r="A202" s="32" t="s">
        <v>40</v>
      </c>
      <c r="B202" s="32" t="s">
        <v>66</v>
      </c>
      <c r="C202" s="33">
        <v>0.0</v>
      </c>
      <c r="D202" s="33">
        <f t="shared" si="3"/>
        <v>0</v>
      </c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8" t="s">
        <v>40</v>
      </c>
      <c r="T202" s="18" t="s">
        <v>62</v>
      </c>
      <c r="U202" s="18" t="s">
        <v>33</v>
      </c>
      <c r="V202" s="18">
        <v>2370.04</v>
      </c>
      <c r="W202" s="18">
        <v>541.8429</v>
      </c>
      <c r="X202" s="18">
        <v>5.464033491E9</v>
      </c>
      <c r="Y202" s="16"/>
      <c r="Z202" s="16"/>
      <c r="AA202" s="16"/>
      <c r="AB202" s="16"/>
      <c r="AC202" s="16"/>
      <c r="AD202" s="16"/>
      <c r="AE202" s="16"/>
      <c r="AF202" s="16"/>
      <c r="AK202" s="33"/>
      <c r="AL202" s="33"/>
    </row>
    <row r="203">
      <c r="A203" s="32" t="s">
        <v>40</v>
      </c>
      <c r="B203" s="32" t="s">
        <v>67</v>
      </c>
      <c r="C203" s="33">
        <v>0.0</v>
      </c>
      <c r="D203" s="33">
        <f t="shared" si="3"/>
        <v>0</v>
      </c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8" t="s">
        <v>40</v>
      </c>
      <c r="T203" s="18" t="s">
        <v>64</v>
      </c>
      <c r="U203" s="18" t="s">
        <v>63</v>
      </c>
      <c r="V203" s="18">
        <v>4931.5</v>
      </c>
      <c r="W203" s="18">
        <v>197.4577</v>
      </c>
      <c r="X203" s="18">
        <v>4.839219733E9</v>
      </c>
      <c r="Y203" s="16"/>
      <c r="Z203" s="16"/>
      <c r="AA203" s="16"/>
      <c r="AB203" s="16"/>
      <c r="AC203" s="16"/>
      <c r="AD203" s="16"/>
      <c r="AE203" s="16"/>
      <c r="AF203" s="16"/>
      <c r="AK203" s="33"/>
      <c r="AL203" s="33"/>
    </row>
    <row r="204">
      <c r="A204" s="32" t="s">
        <v>40</v>
      </c>
      <c r="B204" s="32" t="s">
        <v>68</v>
      </c>
      <c r="C204" s="33">
        <v>0.0</v>
      </c>
      <c r="D204" s="33">
        <f t="shared" si="3"/>
        <v>0</v>
      </c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8" t="s">
        <v>40</v>
      </c>
      <c r="T204" s="18" t="s">
        <v>63</v>
      </c>
      <c r="U204" s="18" t="s">
        <v>63</v>
      </c>
      <c r="V204" s="18">
        <v>8495.79</v>
      </c>
      <c r="W204" s="18">
        <v>0.0</v>
      </c>
      <c r="X204" s="18">
        <v>0.0</v>
      </c>
      <c r="Y204" s="16"/>
      <c r="Z204" s="16"/>
      <c r="AA204" s="16"/>
      <c r="AB204" s="16"/>
      <c r="AC204" s="16"/>
      <c r="AD204" s="16"/>
      <c r="AE204" s="16"/>
      <c r="AF204" s="16"/>
      <c r="AK204" s="33"/>
      <c r="AL204" s="33"/>
    </row>
    <row r="205">
      <c r="A205" s="32" t="s">
        <v>40</v>
      </c>
      <c r="B205" s="32" t="s">
        <v>69</v>
      </c>
      <c r="C205" s="33">
        <v>0.0</v>
      </c>
      <c r="D205" s="33">
        <f t="shared" si="3"/>
        <v>0</v>
      </c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8" t="s">
        <v>40</v>
      </c>
      <c r="T205" s="18" t="s">
        <v>65</v>
      </c>
      <c r="U205" s="18" t="s">
        <v>66</v>
      </c>
      <c r="V205" s="18">
        <v>505.77</v>
      </c>
      <c r="W205" s="18">
        <v>79.8162</v>
      </c>
      <c r="X205" s="18">
        <v>1.34534201E8</v>
      </c>
      <c r="Y205" s="16"/>
      <c r="Z205" s="16"/>
      <c r="AA205" s="16"/>
      <c r="AB205" s="16"/>
      <c r="AC205" s="16"/>
      <c r="AD205" s="16"/>
      <c r="AE205" s="16"/>
      <c r="AF205" s="16"/>
      <c r="AK205" s="33"/>
      <c r="AL205" s="33"/>
    </row>
    <row r="206">
      <c r="A206" s="32" t="s">
        <v>40</v>
      </c>
      <c r="B206" s="32" t="s">
        <v>70</v>
      </c>
      <c r="C206" s="33">
        <v>0.0</v>
      </c>
      <c r="D206" s="33">
        <f t="shared" si="3"/>
        <v>0</v>
      </c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8" t="s">
        <v>40</v>
      </c>
      <c r="T206" s="18" t="s">
        <v>66</v>
      </c>
      <c r="U206" s="18" t="s">
        <v>66</v>
      </c>
      <c r="V206" s="18">
        <v>5621.48</v>
      </c>
      <c r="W206" s="18">
        <v>0.0</v>
      </c>
      <c r="X206" s="18">
        <v>0.0</v>
      </c>
      <c r="Y206" s="16"/>
      <c r="Z206" s="16"/>
      <c r="AA206" s="16"/>
      <c r="AB206" s="16"/>
      <c r="AC206" s="16"/>
      <c r="AD206" s="16"/>
      <c r="AE206" s="16"/>
      <c r="AF206" s="16"/>
      <c r="AK206" s="33"/>
      <c r="AL206" s="33"/>
    </row>
    <row r="207">
      <c r="A207" s="32" t="s">
        <v>40</v>
      </c>
      <c r="B207" s="32" t="s">
        <v>71</v>
      </c>
      <c r="C207" s="33">
        <v>0.0</v>
      </c>
      <c r="D207" s="33">
        <f t="shared" si="3"/>
        <v>0</v>
      </c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8" t="s">
        <v>40</v>
      </c>
      <c r="T207" s="18" t="s">
        <v>67</v>
      </c>
      <c r="U207" s="18" t="s">
        <v>66</v>
      </c>
      <c r="V207" s="18">
        <v>438.31</v>
      </c>
      <c r="W207" s="18">
        <v>294.9322</v>
      </c>
      <c r="X207" s="18">
        <v>4.308161148E8</v>
      </c>
      <c r="Y207" s="16"/>
      <c r="Z207" s="16"/>
      <c r="AA207" s="16"/>
      <c r="AB207" s="16"/>
      <c r="AC207" s="16"/>
      <c r="AD207" s="16"/>
      <c r="AE207" s="16"/>
      <c r="AF207" s="16"/>
      <c r="AK207" s="33"/>
      <c r="AL207" s="33"/>
    </row>
    <row r="208">
      <c r="A208" s="32" t="s">
        <v>40</v>
      </c>
      <c r="B208" s="32" t="s">
        <v>72</v>
      </c>
      <c r="C208" s="33">
        <v>0.0</v>
      </c>
      <c r="D208" s="33">
        <f t="shared" si="3"/>
        <v>0</v>
      </c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8" t="s">
        <v>40</v>
      </c>
      <c r="T208" s="18" t="s">
        <v>68</v>
      </c>
      <c r="U208" s="18" t="s">
        <v>63</v>
      </c>
      <c r="V208" s="18">
        <v>1682.65</v>
      </c>
      <c r="W208" s="18">
        <v>573.6388</v>
      </c>
      <c r="X208" s="18">
        <v>3.216775325E9</v>
      </c>
      <c r="Y208" s="16"/>
      <c r="Z208" s="16"/>
      <c r="AA208" s="16"/>
      <c r="AB208" s="16"/>
      <c r="AC208" s="16"/>
      <c r="AD208" s="16"/>
      <c r="AE208" s="16"/>
      <c r="AF208" s="16"/>
      <c r="AK208" s="33"/>
      <c r="AL208" s="33"/>
    </row>
    <row r="209">
      <c r="A209" s="32" t="s">
        <v>40</v>
      </c>
      <c r="B209" s="32" t="s">
        <v>73</v>
      </c>
      <c r="C209" s="33">
        <v>0.0</v>
      </c>
      <c r="D209" s="33">
        <f t="shared" si="3"/>
        <v>0</v>
      </c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8" t="s">
        <v>40</v>
      </c>
      <c r="T209" s="18" t="s">
        <v>69</v>
      </c>
      <c r="U209" s="18" t="s">
        <v>66</v>
      </c>
      <c r="V209" s="18">
        <v>159.53</v>
      </c>
      <c r="W209" s="18">
        <v>706.8772</v>
      </c>
      <c r="X209" s="18">
        <v>3.758155516E8</v>
      </c>
      <c r="Y209" s="16"/>
      <c r="Z209" s="16"/>
      <c r="AA209" s="16"/>
      <c r="AB209" s="16"/>
      <c r="AC209" s="16"/>
      <c r="AD209" s="16"/>
      <c r="AE209" s="16"/>
      <c r="AF209" s="16"/>
      <c r="AK209" s="33"/>
      <c r="AL209" s="33"/>
    </row>
    <row r="210">
      <c r="A210" s="32" t="s">
        <v>40</v>
      </c>
      <c r="B210" s="32" t="s">
        <v>74</v>
      </c>
      <c r="C210" s="33">
        <v>0.0</v>
      </c>
      <c r="D210" s="33">
        <f t="shared" si="3"/>
        <v>0</v>
      </c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8" t="s">
        <v>40</v>
      </c>
      <c r="T210" s="18" t="s">
        <v>70</v>
      </c>
      <c r="U210" s="18" t="s">
        <v>72</v>
      </c>
      <c r="V210" s="18">
        <v>1251.48</v>
      </c>
      <c r="W210" s="18">
        <v>255.0633</v>
      </c>
      <c r="X210" s="18">
        <v>1.063800675E9</v>
      </c>
      <c r="Y210" s="16"/>
      <c r="Z210" s="16"/>
      <c r="AA210" s="16"/>
      <c r="AB210" s="16"/>
      <c r="AC210" s="16"/>
      <c r="AD210" s="16"/>
      <c r="AE210" s="16"/>
      <c r="AF210" s="16"/>
      <c r="AK210" s="33"/>
      <c r="AL210" s="33"/>
    </row>
    <row r="211">
      <c r="A211" s="32" t="s">
        <v>40</v>
      </c>
      <c r="B211" s="32" t="s">
        <v>75</v>
      </c>
      <c r="C211" s="33">
        <v>0.0</v>
      </c>
      <c r="D211" s="33">
        <f t="shared" si="3"/>
        <v>0</v>
      </c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8" t="s">
        <v>40</v>
      </c>
      <c r="T211" s="18" t="s">
        <v>71</v>
      </c>
      <c r="U211" s="18" t="s">
        <v>63</v>
      </c>
      <c r="V211" s="18">
        <v>1051.64</v>
      </c>
      <c r="W211" s="18">
        <v>1250.3899</v>
      </c>
      <c r="X211" s="18">
        <v>4.382288367E9</v>
      </c>
      <c r="Y211" s="16"/>
      <c r="Z211" s="16"/>
      <c r="AA211" s="16"/>
      <c r="AB211" s="16"/>
      <c r="AC211" s="16"/>
      <c r="AD211" s="16"/>
      <c r="AE211" s="16"/>
      <c r="AF211" s="16"/>
      <c r="AK211" s="33"/>
      <c r="AL211" s="33"/>
    </row>
    <row r="212">
      <c r="A212" s="32" t="s">
        <v>37</v>
      </c>
      <c r="B212" s="32" t="s">
        <v>62</v>
      </c>
      <c r="C212" s="33">
        <v>0.0</v>
      </c>
      <c r="D212" s="33">
        <f t="shared" si="3"/>
        <v>0</v>
      </c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8" t="s">
        <v>40</v>
      </c>
      <c r="T212" s="18" t="s">
        <v>72</v>
      </c>
      <c r="U212" s="18" t="s">
        <v>72</v>
      </c>
      <c r="V212" s="18">
        <v>906.84</v>
      </c>
      <c r="W212" s="18">
        <v>0.0</v>
      </c>
      <c r="X212" s="18">
        <v>0.0</v>
      </c>
      <c r="Y212" s="16"/>
      <c r="Z212" s="16"/>
      <c r="AA212" s="16"/>
      <c r="AB212" s="16"/>
      <c r="AC212" s="16"/>
      <c r="AD212" s="16"/>
      <c r="AE212" s="16"/>
      <c r="AF212" s="16"/>
      <c r="AK212" s="33"/>
      <c r="AL212" s="33"/>
    </row>
    <row r="213">
      <c r="A213" s="32" t="s">
        <v>37</v>
      </c>
      <c r="B213" s="32" t="s">
        <v>64</v>
      </c>
      <c r="C213" s="33">
        <v>0.0</v>
      </c>
      <c r="D213" s="33">
        <f t="shared" si="3"/>
        <v>0</v>
      </c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8" t="s">
        <v>40</v>
      </c>
      <c r="T213" s="18" t="s">
        <v>73</v>
      </c>
      <c r="U213" s="18" t="s">
        <v>72</v>
      </c>
      <c r="V213" s="18">
        <v>926.69</v>
      </c>
      <c r="W213" s="18">
        <v>505.2914</v>
      </c>
      <c r="X213" s="18">
        <v>1.560503749E9</v>
      </c>
      <c r="Y213" s="16"/>
      <c r="Z213" s="16"/>
      <c r="AA213" s="16"/>
      <c r="AB213" s="16"/>
      <c r="AC213" s="16"/>
      <c r="AD213" s="16"/>
      <c r="AE213" s="16"/>
      <c r="AF213" s="16"/>
      <c r="AK213" s="33"/>
      <c r="AL213" s="33"/>
    </row>
    <row r="214">
      <c r="A214" s="32" t="s">
        <v>37</v>
      </c>
      <c r="B214" s="32" t="s">
        <v>63</v>
      </c>
      <c r="C214" s="33">
        <v>0.0</v>
      </c>
      <c r="D214" s="33">
        <f t="shared" si="3"/>
        <v>0</v>
      </c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8" t="s">
        <v>40</v>
      </c>
      <c r="T214" s="18" t="s">
        <v>74</v>
      </c>
      <c r="U214" s="18" t="s">
        <v>72</v>
      </c>
      <c r="V214" s="18">
        <v>61.2</v>
      </c>
      <c r="W214" s="18">
        <v>467.0651</v>
      </c>
      <c r="X214" s="18">
        <v>9.526146128E7</v>
      </c>
      <c r="Y214" s="16"/>
      <c r="Z214" s="16"/>
      <c r="AA214" s="16"/>
      <c r="AB214" s="16"/>
      <c r="AC214" s="16"/>
      <c r="AD214" s="16"/>
      <c r="AE214" s="16"/>
      <c r="AF214" s="16"/>
      <c r="AK214" s="33"/>
      <c r="AL214" s="33"/>
    </row>
    <row r="215">
      <c r="A215" s="32" t="s">
        <v>37</v>
      </c>
      <c r="B215" s="32" t="s">
        <v>65</v>
      </c>
      <c r="C215" s="33">
        <v>0.0</v>
      </c>
      <c r="D215" s="33">
        <f t="shared" si="3"/>
        <v>0</v>
      </c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8" t="s">
        <v>40</v>
      </c>
      <c r="T215" s="18" t="s">
        <v>75</v>
      </c>
      <c r="U215" s="18" t="s">
        <v>72</v>
      </c>
      <c r="V215" s="18">
        <v>438.8</v>
      </c>
      <c r="W215" s="18">
        <v>1526.6262</v>
      </c>
      <c r="X215" s="18">
        <v>2.232480821E9</v>
      </c>
      <c r="Y215" s="16"/>
      <c r="Z215" s="16"/>
      <c r="AA215" s="16"/>
      <c r="AB215" s="16"/>
      <c r="AC215" s="16"/>
      <c r="AD215" s="16"/>
      <c r="AE215" s="16"/>
      <c r="AF215" s="16"/>
      <c r="AK215" s="33"/>
      <c r="AL215" s="33"/>
    </row>
    <row r="216">
      <c r="A216" s="32" t="s">
        <v>37</v>
      </c>
      <c r="B216" s="32" t="s">
        <v>66</v>
      </c>
      <c r="C216" s="33">
        <v>0.0</v>
      </c>
      <c r="D216" s="33">
        <f t="shared" si="3"/>
        <v>0</v>
      </c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8" t="s">
        <v>37</v>
      </c>
      <c r="T216" s="18" t="s">
        <v>31</v>
      </c>
      <c r="U216" s="18" t="s">
        <v>33</v>
      </c>
      <c r="V216" s="18">
        <v>29981.56</v>
      </c>
      <c r="W216" s="18">
        <v>1362.6505</v>
      </c>
      <c r="X216" s="79">
        <v>1.73829E11</v>
      </c>
      <c r="Y216" s="16"/>
      <c r="Z216" s="16"/>
      <c r="AA216" s="16"/>
      <c r="AB216" s="16"/>
      <c r="AC216" s="16"/>
      <c r="AD216" s="16"/>
      <c r="AE216" s="16"/>
      <c r="AF216" s="16"/>
      <c r="AK216" s="33"/>
      <c r="AL216" s="33"/>
    </row>
    <row r="217">
      <c r="A217" s="32" t="s">
        <v>37</v>
      </c>
      <c r="B217" s="32" t="s">
        <v>67</v>
      </c>
      <c r="C217" s="33">
        <v>0.0</v>
      </c>
      <c r="D217" s="33">
        <f t="shared" si="3"/>
        <v>0</v>
      </c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8" t="s">
        <v>37</v>
      </c>
      <c r="T217" s="18" t="s">
        <v>34</v>
      </c>
      <c r="U217" s="18" t="s">
        <v>33</v>
      </c>
      <c r="V217" s="18">
        <v>2231.22</v>
      </c>
      <c r="W217" s="18">
        <v>966.6815</v>
      </c>
      <c r="X217" s="18">
        <v>9.177196633E9</v>
      </c>
      <c r="Y217" s="16"/>
      <c r="Z217" s="16"/>
      <c r="AA217" s="16"/>
      <c r="AB217" s="16"/>
      <c r="AC217" s="16"/>
      <c r="AD217" s="16"/>
      <c r="AE217" s="16"/>
      <c r="AF217" s="16"/>
      <c r="AK217" s="33"/>
      <c r="AL217" s="33"/>
    </row>
    <row r="218">
      <c r="A218" s="32" t="s">
        <v>37</v>
      </c>
      <c r="B218" s="32" t="s">
        <v>68</v>
      </c>
      <c r="C218" s="33">
        <v>0.0</v>
      </c>
      <c r="D218" s="33">
        <f t="shared" si="3"/>
        <v>0</v>
      </c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8" t="s">
        <v>37</v>
      </c>
      <c r="T218" s="18" t="s">
        <v>36</v>
      </c>
      <c r="U218" s="18" t="s">
        <v>33</v>
      </c>
      <c r="V218" s="18">
        <v>3648.96</v>
      </c>
      <c r="W218" s="18">
        <v>397.4792</v>
      </c>
      <c r="X218" s="18">
        <v>6.17117287E9</v>
      </c>
      <c r="Y218" s="16"/>
      <c r="Z218" s="16"/>
      <c r="AA218" s="16"/>
      <c r="AB218" s="16"/>
      <c r="AC218" s="16"/>
      <c r="AD218" s="16"/>
      <c r="AE218" s="16"/>
      <c r="AF218" s="16"/>
      <c r="AK218" s="33"/>
      <c r="AL218" s="33"/>
    </row>
    <row r="219">
      <c r="A219" s="32" t="s">
        <v>37</v>
      </c>
      <c r="B219" s="32" t="s">
        <v>69</v>
      </c>
      <c r="C219" s="33">
        <v>0.0</v>
      </c>
      <c r="D219" s="33">
        <f t="shared" si="3"/>
        <v>0</v>
      </c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8" t="s">
        <v>37</v>
      </c>
      <c r="T219" s="18" t="s">
        <v>32</v>
      </c>
      <c r="U219" s="18" t="s">
        <v>33</v>
      </c>
      <c r="V219" s="18">
        <v>35048.12</v>
      </c>
      <c r="W219" s="18">
        <v>525.4495</v>
      </c>
      <c r="X219" s="18">
        <v>7.8357393796E10</v>
      </c>
      <c r="Y219" s="16"/>
      <c r="Z219" s="16"/>
      <c r="AA219" s="16"/>
      <c r="AB219" s="16"/>
      <c r="AC219" s="16"/>
      <c r="AD219" s="16"/>
      <c r="AE219" s="16"/>
      <c r="AF219" s="16"/>
      <c r="AK219" s="33"/>
      <c r="AL219" s="33"/>
    </row>
    <row r="220">
      <c r="A220" s="32" t="s">
        <v>37</v>
      </c>
      <c r="B220" s="32" t="s">
        <v>70</v>
      </c>
      <c r="C220" s="33">
        <v>0.0</v>
      </c>
      <c r="D220" s="33">
        <f t="shared" si="3"/>
        <v>0</v>
      </c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8" t="s">
        <v>37</v>
      </c>
      <c r="T220" s="18" t="s">
        <v>38</v>
      </c>
      <c r="U220" s="18" t="s">
        <v>33</v>
      </c>
      <c r="V220" s="18">
        <v>4802.16</v>
      </c>
      <c r="W220" s="18">
        <v>176.4669</v>
      </c>
      <c r="X220" s="18">
        <v>3.605655053E9</v>
      </c>
      <c r="Y220" s="16"/>
      <c r="Z220" s="16"/>
      <c r="AA220" s="16"/>
      <c r="AB220" s="16"/>
      <c r="AC220" s="16"/>
      <c r="AD220" s="16"/>
      <c r="AE220" s="16"/>
      <c r="AF220" s="16"/>
      <c r="AK220" s="33"/>
      <c r="AL220" s="33"/>
    </row>
    <row r="221">
      <c r="A221" s="32" t="s">
        <v>37</v>
      </c>
      <c r="B221" s="32" t="s">
        <v>71</v>
      </c>
      <c r="C221" s="33">
        <v>0.0</v>
      </c>
      <c r="D221" s="33">
        <f t="shared" si="3"/>
        <v>0</v>
      </c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8" t="s">
        <v>37</v>
      </c>
      <c r="T221" s="18" t="s">
        <v>33</v>
      </c>
      <c r="U221" s="18" t="s">
        <v>33</v>
      </c>
      <c r="V221" s="18">
        <v>19692.68</v>
      </c>
      <c r="W221" s="18">
        <v>0.0</v>
      </c>
      <c r="X221" s="18">
        <v>0.0</v>
      </c>
      <c r="Y221" s="16"/>
      <c r="Z221" s="16"/>
      <c r="AA221" s="16"/>
      <c r="AB221" s="16"/>
      <c r="AC221" s="16"/>
      <c r="AD221" s="16"/>
      <c r="AE221" s="16"/>
      <c r="AF221" s="16"/>
      <c r="AK221" s="33"/>
      <c r="AL221" s="33"/>
    </row>
    <row r="222">
      <c r="A222" s="32" t="s">
        <v>37</v>
      </c>
      <c r="B222" s="32" t="s">
        <v>72</v>
      </c>
      <c r="C222" s="33">
        <v>0.0</v>
      </c>
      <c r="D222" s="33">
        <f t="shared" si="3"/>
        <v>0</v>
      </c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8" t="s">
        <v>37</v>
      </c>
      <c r="T222" s="18" t="s">
        <v>39</v>
      </c>
      <c r="U222" s="18" t="s">
        <v>35</v>
      </c>
      <c r="V222" s="18">
        <v>4405.52</v>
      </c>
      <c r="W222" s="18">
        <v>186.18</v>
      </c>
      <c r="X222" s="18">
        <v>3.489911559E9</v>
      </c>
      <c r="Y222" s="16"/>
      <c r="Z222" s="16"/>
      <c r="AA222" s="16"/>
      <c r="AB222" s="16"/>
      <c r="AC222" s="16"/>
      <c r="AD222" s="16"/>
      <c r="AE222" s="16"/>
      <c r="AF222" s="16"/>
      <c r="AK222" s="33"/>
      <c r="AL222" s="33"/>
    </row>
    <row r="223">
      <c r="A223" s="32" t="s">
        <v>37</v>
      </c>
      <c r="B223" s="32" t="s">
        <v>73</v>
      </c>
      <c r="C223" s="33">
        <v>0.0</v>
      </c>
      <c r="D223" s="33">
        <f t="shared" si="3"/>
        <v>0</v>
      </c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8" t="s">
        <v>37</v>
      </c>
      <c r="T223" s="18" t="s">
        <v>35</v>
      </c>
      <c r="U223" s="18" t="s">
        <v>35</v>
      </c>
      <c r="V223" s="18">
        <v>51923.64</v>
      </c>
      <c r="W223" s="18">
        <v>0.0</v>
      </c>
      <c r="X223" s="18">
        <v>0.0</v>
      </c>
      <c r="Y223" s="16"/>
      <c r="Z223" s="16"/>
      <c r="AA223" s="16"/>
      <c r="AB223" s="16"/>
      <c r="AC223" s="16"/>
      <c r="AD223" s="16"/>
      <c r="AE223" s="16"/>
      <c r="AF223" s="16"/>
      <c r="AK223" s="33"/>
      <c r="AL223" s="33"/>
    </row>
    <row r="224">
      <c r="A224" s="32" t="s">
        <v>37</v>
      </c>
      <c r="B224" s="32" t="s">
        <v>74</v>
      </c>
      <c r="C224" s="33">
        <v>0.0</v>
      </c>
      <c r="D224" s="33">
        <f t="shared" si="3"/>
        <v>0</v>
      </c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8" t="s">
        <v>37</v>
      </c>
      <c r="T224" s="18" t="s">
        <v>40</v>
      </c>
      <c r="U224" s="18" t="s">
        <v>35</v>
      </c>
      <c r="V224" s="18">
        <v>4601.38</v>
      </c>
      <c r="W224" s="18">
        <v>403.0102</v>
      </c>
      <c r="X224" s="18">
        <v>7.890207184E9</v>
      </c>
      <c r="Y224" s="16"/>
      <c r="Z224" s="16"/>
      <c r="AA224" s="16"/>
      <c r="AB224" s="16"/>
      <c r="AC224" s="16"/>
      <c r="AD224" s="16"/>
      <c r="AE224" s="16"/>
      <c r="AF224" s="16"/>
      <c r="AK224" s="33"/>
      <c r="AL224" s="33"/>
    </row>
    <row r="225">
      <c r="A225" s="32" t="s">
        <v>37</v>
      </c>
      <c r="B225" s="32" t="s">
        <v>75</v>
      </c>
      <c r="C225" s="33">
        <v>0.0</v>
      </c>
      <c r="D225" s="33">
        <f t="shared" si="3"/>
        <v>0</v>
      </c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8" t="s">
        <v>37</v>
      </c>
      <c r="T225" s="18" t="s">
        <v>62</v>
      </c>
      <c r="U225" s="18" t="s">
        <v>33</v>
      </c>
      <c r="V225" s="18">
        <v>14925.2</v>
      </c>
      <c r="W225" s="18">
        <v>541.8429</v>
      </c>
      <c r="X225" s="18">
        <v>3.4409458344E10</v>
      </c>
      <c r="Y225" s="16"/>
      <c r="Z225" s="16"/>
      <c r="AA225" s="16"/>
      <c r="AB225" s="16"/>
      <c r="AC225" s="16"/>
      <c r="AD225" s="16"/>
      <c r="AE225" s="16"/>
      <c r="AF225" s="16"/>
      <c r="AK225" s="33"/>
      <c r="AL225" s="33"/>
    </row>
    <row r="226">
      <c r="A226" s="32" t="s">
        <v>62</v>
      </c>
      <c r="B226" s="32" t="s">
        <v>64</v>
      </c>
      <c r="C226" s="33">
        <v>0.0</v>
      </c>
      <c r="D226" s="33">
        <f t="shared" si="3"/>
        <v>0</v>
      </c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8" t="s">
        <v>37</v>
      </c>
      <c r="T226" s="18" t="s">
        <v>64</v>
      </c>
      <c r="U226" s="18" t="s">
        <v>63</v>
      </c>
      <c r="V226" s="18">
        <v>35673.36</v>
      </c>
      <c r="W226" s="18">
        <v>197.4577</v>
      </c>
      <c r="X226" s="18">
        <v>3.5005825338E10</v>
      </c>
      <c r="Y226" s="16"/>
      <c r="Z226" s="16"/>
      <c r="AA226" s="16"/>
      <c r="AB226" s="16"/>
      <c r="AC226" s="16"/>
      <c r="AD226" s="16"/>
      <c r="AE226" s="16"/>
      <c r="AF226" s="16"/>
      <c r="AK226" s="33"/>
      <c r="AL226" s="33"/>
    </row>
    <row r="227">
      <c r="A227" s="32" t="s">
        <v>62</v>
      </c>
      <c r="B227" s="32" t="s">
        <v>63</v>
      </c>
      <c r="C227" s="33">
        <v>0.0</v>
      </c>
      <c r="D227" s="33">
        <f t="shared" si="3"/>
        <v>0</v>
      </c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8" t="s">
        <v>37</v>
      </c>
      <c r="T227" s="18" t="s">
        <v>63</v>
      </c>
      <c r="U227" s="18" t="s">
        <v>63</v>
      </c>
      <c r="V227" s="18">
        <v>60489.08</v>
      </c>
      <c r="W227" s="18">
        <v>0.0</v>
      </c>
      <c r="X227" s="18">
        <v>0.0</v>
      </c>
      <c r="Y227" s="16"/>
      <c r="Z227" s="16"/>
      <c r="AA227" s="16"/>
      <c r="AB227" s="16"/>
      <c r="AC227" s="16"/>
      <c r="AD227" s="16"/>
      <c r="AE227" s="16"/>
      <c r="AF227" s="16"/>
      <c r="AK227" s="33"/>
      <c r="AL227" s="33"/>
    </row>
    <row r="228">
      <c r="A228" s="32" t="s">
        <v>62</v>
      </c>
      <c r="B228" s="32" t="s">
        <v>65</v>
      </c>
      <c r="C228" s="33">
        <v>0.0</v>
      </c>
      <c r="D228" s="33">
        <f t="shared" si="3"/>
        <v>0</v>
      </c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8" t="s">
        <v>37</v>
      </c>
      <c r="T228" s="18" t="s">
        <v>65</v>
      </c>
      <c r="U228" s="18" t="s">
        <v>66</v>
      </c>
      <c r="V228" s="18">
        <v>3696.44</v>
      </c>
      <c r="W228" s="18">
        <v>79.8162</v>
      </c>
      <c r="X228" s="18">
        <v>9.832485161E8</v>
      </c>
      <c r="Y228" s="16"/>
      <c r="Z228" s="16"/>
      <c r="AA228" s="16"/>
      <c r="AB228" s="16"/>
      <c r="AC228" s="16"/>
      <c r="AD228" s="16"/>
      <c r="AE228" s="16"/>
      <c r="AF228" s="16"/>
      <c r="AK228" s="33"/>
      <c r="AL228" s="33"/>
    </row>
    <row r="229">
      <c r="A229" s="32" t="s">
        <v>62</v>
      </c>
      <c r="B229" s="32" t="s">
        <v>66</v>
      </c>
      <c r="C229" s="33">
        <v>0.0</v>
      </c>
      <c r="D229" s="33">
        <f t="shared" si="3"/>
        <v>0</v>
      </c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8" t="s">
        <v>37</v>
      </c>
      <c r="T229" s="18" t="s">
        <v>66</v>
      </c>
      <c r="U229" s="18" t="s">
        <v>66</v>
      </c>
      <c r="V229" s="18">
        <v>38133.8</v>
      </c>
      <c r="W229" s="18">
        <v>0.0</v>
      </c>
      <c r="X229" s="18">
        <v>0.0</v>
      </c>
      <c r="Y229" s="16"/>
      <c r="Z229" s="16"/>
      <c r="AA229" s="16"/>
      <c r="AB229" s="16"/>
      <c r="AC229" s="16"/>
      <c r="AD229" s="16"/>
      <c r="AE229" s="16"/>
      <c r="AF229" s="16"/>
      <c r="AK229" s="33"/>
      <c r="AL229" s="33"/>
    </row>
    <row r="230">
      <c r="A230" s="32" t="s">
        <v>62</v>
      </c>
      <c r="B230" s="32" t="s">
        <v>67</v>
      </c>
      <c r="C230" s="33">
        <v>0.0</v>
      </c>
      <c r="D230" s="33">
        <f t="shared" si="3"/>
        <v>0</v>
      </c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8" t="s">
        <v>37</v>
      </c>
      <c r="T230" s="18" t="s">
        <v>67</v>
      </c>
      <c r="U230" s="18" t="s">
        <v>66</v>
      </c>
      <c r="V230" s="18">
        <v>2095.36</v>
      </c>
      <c r="W230" s="18">
        <v>294.9322</v>
      </c>
      <c r="X230" s="18">
        <v>2.059535156E9</v>
      </c>
      <c r="Y230" s="16"/>
      <c r="Z230" s="16"/>
      <c r="AA230" s="16"/>
      <c r="AB230" s="16"/>
      <c r="AC230" s="16"/>
      <c r="AD230" s="16"/>
      <c r="AE230" s="16"/>
      <c r="AF230" s="16"/>
      <c r="AK230" s="33"/>
      <c r="AL230" s="33"/>
    </row>
    <row r="231">
      <c r="A231" s="32" t="s">
        <v>62</v>
      </c>
      <c r="B231" s="32" t="s">
        <v>68</v>
      </c>
      <c r="C231" s="33">
        <v>0.0</v>
      </c>
      <c r="D231" s="33">
        <f t="shared" si="3"/>
        <v>0</v>
      </c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8" t="s">
        <v>37</v>
      </c>
      <c r="T231" s="18" t="s">
        <v>68</v>
      </c>
      <c r="U231" s="18" t="s">
        <v>63</v>
      </c>
      <c r="V231" s="18">
        <v>10183.0</v>
      </c>
      <c r="W231" s="18">
        <v>573.6388</v>
      </c>
      <c r="X231" s="18">
        <v>1.9467163781E10</v>
      </c>
      <c r="Y231" s="16"/>
      <c r="Z231" s="16"/>
      <c r="AA231" s="16"/>
      <c r="AB231" s="16"/>
      <c r="AC231" s="16"/>
      <c r="AD231" s="16"/>
      <c r="AE231" s="16"/>
      <c r="AF231" s="16"/>
      <c r="AK231" s="33"/>
      <c r="AL231" s="33"/>
    </row>
    <row r="232">
      <c r="A232" s="32" t="s">
        <v>62</v>
      </c>
      <c r="B232" s="32" t="s">
        <v>69</v>
      </c>
      <c r="C232" s="33">
        <v>0.0</v>
      </c>
      <c r="D232" s="33">
        <f t="shared" si="3"/>
        <v>0</v>
      </c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8" t="s">
        <v>37</v>
      </c>
      <c r="T232" s="18" t="s">
        <v>69</v>
      </c>
      <c r="U232" s="18" t="s">
        <v>66</v>
      </c>
      <c r="V232" s="18">
        <v>764.88</v>
      </c>
      <c r="W232" s="18">
        <v>706.8772</v>
      </c>
      <c r="X232" s="18">
        <v>1.801879265E9</v>
      </c>
      <c r="Y232" s="16"/>
      <c r="Z232" s="16"/>
      <c r="AA232" s="16"/>
      <c r="AB232" s="16"/>
      <c r="AC232" s="16"/>
      <c r="AD232" s="16"/>
      <c r="AE232" s="16"/>
      <c r="AF232" s="16"/>
      <c r="AK232" s="33"/>
      <c r="AL232" s="33"/>
    </row>
    <row r="233">
      <c r="A233" s="32" t="s">
        <v>62</v>
      </c>
      <c r="B233" s="32" t="s">
        <v>70</v>
      </c>
      <c r="C233" s="33">
        <v>0.0</v>
      </c>
      <c r="D233" s="33">
        <f t="shared" si="3"/>
        <v>0</v>
      </c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8" t="s">
        <v>37</v>
      </c>
      <c r="T233" s="18" t="s">
        <v>70</v>
      </c>
      <c r="U233" s="18" t="s">
        <v>72</v>
      </c>
      <c r="V233" s="18">
        <v>15236.24</v>
      </c>
      <c r="W233" s="18">
        <v>255.0633</v>
      </c>
      <c r="X233" s="18">
        <v>1.2951323547E10</v>
      </c>
      <c r="Y233" s="16"/>
      <c r="Z233" s="16"/>
      <c r="AA233" s="16"/>
      <c r="AB233" s="16"/>
      <c r="AC233" s="16"/>
      <c r="AD233" s="16"/>
      <c r="AE233" s="16"/>
      <c r="AF233" s="16"/>
      <c r="AK233" s="33"/>
      <c r="AL233" s="33"/>
    </row>
    <row r="234">
      <c r="A234" s="32" t="s">
        <v>62</v>
      </c>
      <c r="B234" s="32" t="s">
        <v>71</v>
      </c>
      <c r="C234" s="33">
        <v>0.0</v>
      </c>
      <c r="D234" s="33">
        <f t="shared" si="3"/>
        <v>0</v>
      </c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8" t="s">
        <v>37</v>
      </c>
      <c r="T234" s="18" t="s">
        <v>71</v>
      </c>
      <c r="U234" s="18" t="s">
        <v>63</v>
      </c>
      <c r="V234" s="18">
        <v>7225.24</v>
      </c>
      <c r="W234" s="18">
        <v>1250.3899</v>
      </c>
      <c r="X234" s="18">
        <v>3.0108292956E10</v>
      </c>
      <c r="Y234" s="16"/>
      <c r="Z234" s="16"/>
      <c r="AA234" s="16"/>
      <c r="AB234" s="16"/>
      <c r="AC234" s="16"/>
      <c r="AD234" s="16"/>
      <c r="AE234" s="16"/>
      <c r="AF234" s="16"/>
      <c r="AK234" s="33"/>
      <c r="AL234" s="33"/>
    </row>
    <row r="235">
      <c r="A235" s="32" t="s">
        <v>62</v>
      </c>
      <c r="B235" s="32" t="s">
        <v>72</v>
      </c>
      <c r="C235" s="33">
        <v>0.0</v>
      </c>
      <c r="D235" s="33">
        <f t="shared" si="3"/>
        <v>0</v>
      </c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8" t="s">
        <v>37</v>
      </c>
      <c r="T235" s="18" t="s">
        <v>72</v>
      </c>
      <c r="U235" s="18" t="s">
        <v>72</v>
      </c>
      <c r="V235" s="18">
        <v>7952.68</v>
      </c>
      <c r="W235" s="18">
        <v>0.0</v>
      </c>
      <c r="X235" s="18">
        <v>0.0</v>
      </c>
      <c r="Y235" s="16"/>
      <c r="Z235" s="16"/>
      <c r="AA235" s="16"/>
      <c r="AB235" s="16"/>
      <c r="AC235" s="16"/>
      <c r="AD235" s="16"/>
      <c r="AE235" s="16"/>
      <c r="AF235" s="16"/>
      <c r="AK235" s="33"/>
      <c r="AL235" s="33"/>
    </row>
    <row r="236">
      <c r="A236" s="32" t="s">
        <v>62</v>
      </c>
      <c r="B236" s="32" t="s">
        <v>73</v>
      </c>
      <c r="C236" s="33">
        <v>0.0</v>
      </c>
      <c r="D236" s="33">
        <f t="shared" si="3"/>
        <v>0</v>
      </c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8" t="s">
        <v>37</v>
      </c>
      <c r="T236" s="18" t="s">
        <v>73</v>
      </c>
      <c r="U236" s="18" t="s">
        <v>72</v>
      </c>
      <c r="V236" s="18">
        <v>4707.4</v>
      </c>
      <c r="W236" s="18">
        <v>505.2914</v>
      </c>
      <c r="X236" s="18">
        <v>7.927047176E9</v>
      </c>
      <c r="Y236" s="16"/>
      <c r="Z236" s="16"/>
      <c r="AA236" s="16"/>
      <c r="AB236" s="16"/>
      <c r="AC236" s="16"/>
      <c r="AD236" s="16"/>
      <c r="AE236" s="16"/>
      <c r="AF236" s="16"/>
      <c r="AK236" s="33"/>
      <c r="AL236" s="33"/>
    </row>
    <row r="237">
      <c r="A237" s="32" t="s">
        <v>62</v>
      </c>
      <c r="B237" s="32" t="s">
        <v>74</v>
      </c>
      <c r="C237" s="33">
        <v>0.0</v>
      </c>
      <c r="D237" s="33">
        <f t="shared" si="3"/>
        <v>0</v>
      </c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8" t="s">
        <v>37</v>
      </c>
      <c r="T237" s="18" t="s">
        <v>74</v>
      </c>
      <c r="U237" s="18" t="s">
        <v>72</v>
      </c>
      <c r="V237" s="18">
        <v>554.6</v>
      </c>
      <c r="W237" s="18">
        <v>467.0651</v>
      </c>
      <c r="X237" s="18">
        <v>8.632680789E8</v>
      </c>
      <c r="Y237" s="16"/>
      <c r="Z237" s="16"/>
      <c r="AA237" s="16"/>
      <c r="AB237" s="16"/>
      <c r="AC237" s="16"/>
      <c r="AD237" s="16"/>
      <c r="AE237" s="16"/>
      <c r="AF237" s="16"/>
      <c r="AK237" s="33"/>
      <c r="AL237" s="33"/>
    </row>
    <row r="238">
      <c r="A238" s="32" t="s">
        <v>62</v>
      </c>
      <c r="B238" s="32" t="s">
        <v>75</v>
      </c>
      <c r="C238" s="33">
        <v>0.0</v>
      </c>
      <c r="D238" s="33">
        <f t="shared" si="3"/>
        <v>0</v>
      </c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8" t="s">
        <v>37</v>
      </c>
      <c r="T238" s="18" t="s">
        <v>75</v>
      </c>
      <c r="U238" s="18" t="s">
        <v>72</v>
      </c>
      <c r="V238" s="18">
        <v>3892.52</v>
      </c>
      <c r="W238" s="18">
        <v>1526.6262</v>
      </c>
      <c r="X238" s="18">
        <v>1.9803956803E10</v>
      </c>
      <c r="Y238" s="16"/>
      <c r="Z238" s="16"/>
      <c r="AA238" s="16"/>
      <c r="AB238" s="16"/>
      <c r="AC238" s="16"/>
      <c r="AD238" s="16"/>
      <c r="AE238" s="16"/>
      <c r="AF238" s="16"/>
      <c r="AK238" s="33"/>
      <c r="AL238" s="33"/>
    </row>
    <row r="239">
      <c r="A239" s="32" t="s">
        <v>64</v>
      </c>
      <c r="B239" s="32" t="s">
        <v>63</v>
      </c>
      <c r="C239" s="33">
        <v>0.0</v>
      </c>
      <c r="D239" s="33">
        <f t="shared" si="3"/>
        <v>0</v>
      </c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8" t="s">
        <v>62</v>
      </c>
      <c r="T239" s="18" t="s">
        <v>31</v>
      </c>
      <c r="U239" s="18" t="s">
        <v>33</v>
      </c>
      <c r="V239" s="18">
        <v>88.84</v>
      </c>
      <c r="W239" s="18">
        <v>1362.6505</v>
      </c>
      <c r="X239" s="18">
        <v>5.150830686E8</v>
      </c>
      <c r="Y239" s="16"/>
      <c r="Z239" s="16"/>
      <c r="AA239" s="16"/>
      <c r="AB239" s="16"/>
      <c r="AC239" s="16"/>
      <c r="AD239" s="16"/>
      <c r="AE239" s="16"/>
      <c r="AF239" s="16"/>
      <c r="AK239" s="33"/>
      <c r="AL239" s="33"/>
    </row>
    <row r="240">
      <c r="A240" s="32" t="s">
        <v>64</v>
      </c>
      <c r="B240" s="32" t="s">
        <v>65</v>
      </c>
      <c r="C240" s="33">
        <v>0.0</v>
      </c>
      <c r="D240" s="33">
        <f t="shared" si="3"/>
        <v>0</v>
      </c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8" t="s">
        <v>62</v>
      </c>
      <c r="T240" s="18" t="s">
        <v>34</v>
      </c>
      <c r="U240" s="18" t="s">
        <v>33</v>
      </c>
      <c r="V240" s="18">
        <v>28.28</v>
      </c>
      <c r="W240" s="18">
        <v>966.6815</v>
      </c>
      <c r="X240" s="18">
        <v>1.163180326E8</v>
      </c>
      <c r="Y240" s="16"/>
      <c r="Z240" s="16"/>
      <c r="AA240" s="16"/>
      <c r="AB240" s="16"/>
      <c r="AC240" s="16"/>
      <c r="AD240" s="16"/>
      <c r="AE240" s="16"/>
      <c r="AF240" s="16"/>
      <c r="AK240" s="33"/>
      <c r="AL240" s="33"/>
    </row>
    <row r="241">
      <c r="A241" s="32" t="s">
        <v>64</v>
      </c>
      <c r="B241" s="32" t="s">
        <v>66</v>
      </c>
      <c r="C241" s="33">
        <v>0.0</v>
      </c>
      <c r="D241" s="33">
        <f t="shared" si="3"/>
        <v>0</v>
      </c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8" t="s">
        <v>62</v>
      </c>
      <c r="T241" s="18" t="s">
        <v>36</v>
      </c>
      <c r="U241" s="18" t="s">
        <v>33</v>
      </c>
      <c r="V241" s="18">
        <v>115.96</v>
      </c>
      <c r="W241" s="18">
        <v>397.4792</v>
      </c>
      <c r="X241" s="18">
        <v>1.961131956E8</v>
      </c>
      <c r="Y241" s="16"/>
      <c r="Z241" s="16"/>
      <c r="AA241" s="16"/>
      <c r="AB241" s="16"/>
      <c r="AC241" s="16"/>
      <c r="AD241" s="16"/>
      <c r="AE241" s="16"/>
      <c r="AF241" s="16"/>
      <c r="AK241" s="33"/>
      <c r="AL241" s="33"/>
    </row>
    <row r="242">
      <c r="A242" s="32" t="s">
        <v>64</v>
      </c>
      <c r="B242" s="32" t="s">
        <v>67</v>
      </c>
      <c r="C242" s="33">
        <v>0.0</v>
      </c>
      <c r="D242" s="33">
        <f t="shared" si="3"/>
        <v>0</v>
      </c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8" t="s">
        <v>62</v>
      </c>
      <c r="T242" s="18" t="s">
        <v>32</v>
      </c>
      <c r="U242" s="18" t="s">
        <v>33</v>
      </c>
      <c r="V242" s="18">
        <v>306.96</v>
      </c>
      <c r="W242" s="18">
        <v>525.4495</v>
      </c>
      <c r="X242" s="18">
        <v>6.862732038E8</v>
      </c>
      <c r="Y242" s="16"/>
      <c r="Z242" s="16"/>
      <c r="AA242" s="16"/>
      <c r="AB242" s="16"/>
      <c r="AC242" s="16"/>
      <c r="AD242" s="16"/>
      <c r="AE242" s="16"/>
      <c r="AF242" s="16"/>
      <c r="AK242" s="33"/>
      <c r="AL242" s="33"/>
    </row>
    <row r="243">
      <c r="A243" s="32" t="s">
        <v>64</v>
      </c>
      <c r="B243" s="32" t="s">
        <v>68</v>
      </c>
      <c r="C243" s="33">
        <v>0.0</v>
      </c>
      <c r="D243" s="33">
        <f t="shared" si="3"/>
        <v>0</v>
      </c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8" t="s">
        <v>62</v>
      </c>
      <c r="T243" s="18" t="s">
        <v>38</v>
      </c>
      <c r="U243" s="18" t="s">
        <v>33</v>
      </c>
      <c r="V243" s="18">
        <v>107.6</v>
      </c>
      <c r="W243" s="18">
        <v>176.4669</v>
      </c>
      <c r="X243" s="18">
        <v>8.079041175E7</v>
      </c>
      <c r="Y243" s="16"/>
      <c r="Z243" s="16"/>
      <c r="AA243" s="16"/>
      <c r="AB243" s="16"/>
      <c r="AC243" s="16"/>
      <c r="AD243" s="16"/>
      <c r="AE243" s="16"/>
      <c r="AF243" s="16"/>
      <c r="AK243" s="33"/>
      <c r="AL243" s="33"/>
    </row>
    <row r="244">
      <c r="A244" s="32" t="s">
        <v>64</v>
      </c>
      <c r="B244" s="32" t="s">
        <v>69</v>
      </c>
      <c r="C244" s="33">
        <v>0.0</v>
      </c>
      <c r="D244" s="33">
        <f t="shared" si="3"/>
        <v>0</v>
      </c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8" t="s">
        <v>62</v>
      </c>
      <c r="T244" s="18" t="s">
        <v>33</v>
      </c>
      <c r="U244" s="18" t="s">
        <v>33</v>
      </c>
      <c r="V244" s="18">
        <v>13524.96</v>
      </c>
      <c r="W244" s="18">
        <v>0.0</v>
      </c>
      <c r="X244" s="18">
        <v>0.0</v>
      </c>
      <c r="Y244" s="16"/>
      <c r="Z244" s="16"/>
      <c r="AA244" s="16"/>
      <c r="AB244" s="16"/>
      <c r="AC244" s="16"/>
      <c r="AD244" s="16"/>
      <c r="AE244" s="16"/>
      <c r="AF244" s="16"/>
      <c r="AK244" s="33"/>
      <c r="AL244" s="33"/>
    </row>
    <row r="245">
      <c r="A245" s="32" t="s">
        <v>64</v>
      </c>
      <c r="B245" s="32" t="s">
        <v>70</v>
      </c>
      <c r="C245" s="33">
        <v>0.0</v>
      </c>
      <c r="D245" s="33">
        <f t="shared" si="3"/>
        <v>0</v>
      </c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8" t="s">
        <v>62</v>
      </c>
      <c r="T245" s="18" t="s">
        <v>39</v>
      </c>
      <c r="U245" s="18" t="s">
        <v>35</v>
      </c>
      <c r="V245" s="18">
        <v>71.56</v>
      </c>
      <c r="W245" s="18">
        <v>186.18</v>
      </c>
      <c r="X245" s="18">
        <v>5.668753545E7</v>
      </c>
      <c r="Y245" s="16"/>
      <c r="Z245" s="16"/>
      <c r="AA245" s="16"/>
      <c r="AB245" s="16"/>
      <c r="AC245" s="16"/>
      <c r="AD245" s="16"/>
      <c r="AE245" s="16"/>
      <c r="AF245" s="16"/>
      <c r="AK245" s="33"/>
      <c r="AL245" s="33"/>
    </row>
    <row r="246">
      <c r="A246" s="32" t="s">
        <v>64</v>
      </c>
      <c r="B246" s="32" t="s">
        <v>71</v>
      </c>
      <c r="C246" s="33">
        <v>0.0</v>
      </c>
      <c r="D246" s="33">
        <f t="shared" si="3"/>
        <v>0</v>
      </c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8" t="s">
        <v>62</v>
      </c>
      <c r="T246" s="18" t="s">
        <v>35</v>
      </c>
      <c r="U246" s="18" t="s">
        <v>35</v>
      </c>
      <c r="V246" s="18">
        <v>1615.04</v>
      </c>
      <c r="W246" s="18">
        <v>0.0</v>
      </c>
      <c r="X246" s="18">
        <v>0.0</v>
      </c>
      <c r="Y246" s="16"/>
      <c r="Z246" s="16"/>
      <c r="AA246" s="16"/>
      <c r="AB246" s="16"/>
      <c r="AC246" s="16"/>
      <c r="AD246" s="16"/>
      <c r="AE246" s="16"/>
      <c r="AF246" s="16"/>
      <c r="AK246" s="33"/>
      <c r="AL246" s="33"/>
    </row>
    <row r="247">
      <c r="A247" s="32" t="s">
        <v>64</v>
      </c>
      <c r="B247" s="32" t="s">
        <v>72</v>
      </c>
      <c r="C247" s="33">
        <v>0.0</v>
      </c>
      <c r="D247" s="33">
        <f t="shared" si="3"/>
        <v>0</v>
      </c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8" t="s">
        <v>62</v>
      </c>
      <c r="T247" s="18" t="s">
        <v>40</v>
      </c>
      <c r="U247" s="18" t="s">
        <v>35</v>
      </c>
      <c r="V247" s="18">
        <v>94.08</v>
      </c>
      <c r="W247" s="18">
        <v>403.0102</v>
      </c>
      <c r="X247" s="18">
        <v>1.613234925E8</v>
      </c>
      <c r="Y247" s="16"/>
      <c r="Z247" s="16"/>
      <c r="AA247" s="16"/>
      <c r="AB247" s="16"/>
      <c r="AC247" s="16"/>
      <c r="AD247" s="16"/>
      <c r="AE247" s="16"/>
      <c r="AF247" s="16"/>
      <c r="AK247" s="33"/>
      <c r="AL247" s="33"/>
    </row>
    <row r="248">
      <c r="A248" s="32" t="s">
        <v>64</v>
      </c>
      <c r="B248" s="32" t="s">
        <v>73</v>
      </c>
      <c r="C248" s="33">
        <v>0.0</v>
      </c>
      <c r="D248" s="33">
        <f t="shared" si="3"/>
        <v>0</v>
      </c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8" t="s">
        <v>62</v>
      </c>
      <c r="T248" s="18" t="s">
        <v>37</v>
      </c>
      <c r="U248" s="18" t="s">
        <v>35</v>
      </c>
      <c r="V248" s="18">
        <v>386.16</v>
      </c>
      <c r="W248" s="18">
        <v>658.2451</v>
      </c>
      <c r="X248" s="18">
        <v>1.081531531E9</v>
      </c>
      <c r="Y248" s="16"/>
      <c r="Z248" s="16"/>
      <c r="AA248" s="16"/>
      <c r="AB248" s="16"/>
      <c r="AC248" s="16"/>
      <c r="AD248" s="16"/>
      <c r="AE248" s="16"/>
      <c r="AF248" s="16"/>
      <c r="AK248" s="33"/>
      <c r="AL248" s="33"/>
    </row>
    <row r="249">
      <c r="A249" s="32" t="s">
        <v>64</v>
      </c>
      <c r="B249" s="32" t="s">
        <v>74</v>
      </c>
      <c r="C249" s="33">
        <v>0.0</v>
      </c>
      <c r="D249" s="33">
        <f t="shared" si="3"/>
        <v>0</v>
      </c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8" t="s">
        <v>62</v>
      </c>
      <c r="T249" s="18" t="s">
        <v>64</v>
      </c>
      <c r="U249" s="18" t="s">
        <v>63</v>
      </c>
      <c r="V249" s="18">
        <v>2996.76</v>
      </c>
      <c r="W249" s="18">
        <v>197.4577</v>
      </c>
      <c r="X249" s="18">
        <v>2.940683388E9</v>
      </c>
      <c r="Y249" s="16"/>
      <c r="Z249" s="16"/>
      <c r="AA249" s="16"/>
      <c r="AB249" s="16"/>
      <c r="AC249" s="16"/>
      <c r="AD249" s="16"/>
      <c r="AE249" s="16"/>
      <c r="AF249" s="16"/>
      <c r="AK249" s="33"/>
      <c r="AL249" s="33"/>
    </row>
    <row r="250">
      <c r="A250" s="32" t="s">
        <v>64</v>
      </c>
      <c r="B250" s="32" t="s">
        <v>75</v>
      </c>
      <c r="C250" s="33">
        <v>0.0</v>
      </c>
      <c r="D250" s="33">
        <f t="shared" si="3"/>
        <v>0</v>
      </c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8" t="s">
        <v>62</v>
      </c>
      <c r="T250" s="18" t="s">
        <v>63</v>
      </c>
      <c r="U250" s="18" t="s">
        <v>63</v>
      </c>
      <c r="V250" s="18">
        <v>28482.32</v>
      </c>
      <c r="W250" s="18">
        <v>0.0</v>
      </c>
      <c r="X250" s="18">
        <v>0.0</v>
      </c>
      <c r="Y250" s="16"/>
      <c r="Z250" s="16"/>
      <c r="AA250" s="16"/>
      <c r="AB250" s="16"/>
      <c r="AC250" s="16"/>
      <c r="AD250" s="16"/>
      <c r="AE250" s="16"/>
      <c r="AF250" s="16"/>
      <c r="AK250" s="33"/>
      <c r="AL250" s="33"/>
    </row>
    <row r="251">
      <c r="A251" s="32" t="s">
        <v>63</v>
      </c>
      <c r="B251" s="32" t="s">
        <v>65</v>
      </c>
      <c r="C251" s="33">
        <v>0.0</v>
      </c>
      <c r="D251" s="33">
        <f t="shared" si="3"/>
        <v>0</v>
      </c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8" t="s">
        <v>62</v>
      </c>
      <c r="T251" s="18" t="s">
        <v>65</v>
      </c>
      <c r="U251" s="18" t="s">
        <v>66</v>
      </c>
      <c r="V251" s="18">
        <v>268.32</v>
      </c>
      <c r="W251" s="18">
        <v>79.8162</v>
      </c>
      <c r="X251" s="18">
        <v>7.137279161E7</v>
      </c>
      <c r="Y251" s="16"/>
      <c r="Z251" s="16"/>
      <c r="AA251" s="16"/>
      <c r="AB251" s="16"/>
      <c r="AC251" s="16"/>
      <c r="AD251" s="16"/>
      <c r="AE251" s="16"/>
      <c r="AF251" s="16"/>
      <c r="AK251" s="33"/>
      <c r="AL251" s="33"/>
    </row>
    <row r="252">
      <c r="A252" s="32" t="s">
        <v>63</v>
      </c>
      <c r="B252" s="32" t="s">
        <v>66</v>
      </c>
      <c r="C252" s="33">
        <v>1.0</v>
      </c>
      <c r="D252" s="33">
        <f t="shared" si="3"/>
        <v>55000000000</v>
      </c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8" t="s">
        <v>62</v>
      </c>
      <c r="T252" s="18" t="s">
        <v>66</v>
      </c>
      <c r="U252" s="18" t="s">
        <v>66</v>
      </c>
      <c r="V252" s="18">
        <v>2981.92</v>
      </c>
      <c r="W252" s="18">
        <v>0.0</v>
      </c>
      <c r="X252" s="18">
        <v>0.0</v>
      </c>
      <c r="Y252" s="16"/>
      <c r="Z252" s="16"/>
      <c r="AA252" s="16"/>
      <c r="AB252" s="16"/>
      <c r="AC252" s="16"/>
      <c r="AD252" s="16"/>
      <c r="AE252" s="16"/>
      <c r="AF252" s="16"/>
      <c r="AK252" s="33"/>
      <c r="AL252" s="33"/>
    </row>
    <row r="253">
      <c r="A253" s="32" t="s">
        <v>63</v>
      </c>
      <c r="B253" s="32" t="s">
        <v>67</v>
      </c>
      <c r="C253" s="33">
        <v>0.0</v>
      </c>
      <c r="D253" s="33">
        <f t="shared" si="3"/>
        <v>0</v>
      </c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8" t="s">
        <v>62</v>
      </c>
      <c r="T253" s="18" t="s">
        <v>67</v>
      </c>
      <c r="U253" s="18" t="s">
        <v>66</v>
      </c>
      <c r="V253" s="18">
        <v>32.84</v>
      </c>
      <c r="W253" s="18">
        <v>294.9322</v>
      </c>
      <c r="X253" s="18">
        <v>3.227852709E7</v>
      </c>
      <c r="Y253" s="16"/>
      <c r="Z253" s="16"/>
      <c r="AA253" s="16"/>
      <c r="AB253" s="16"/>
      <c r="AC253" s="16"/>
      <c r="AD253" s="16"/>
      <c r="AE253" s="16"/>
      <c r="AF253" s="16"/>
      <c r="AK253" s="33"/>
      <c r="AL253" s="33"/>
    </row>
    <row r="254">
      <c r="A254" s="32" t="s">
        <v>63</v>
      </c>
      <c r="B254" s="32" t="s">
        <v>68</v>
      </c>
      <c r="C254" s="33">
        <v>0.0</v>
      </c>
      <c r="D254" s="33">
        <f t="shared" si="3"/>
        <v>0</v>
      </c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8" t="s">
        <v>62</v>
      </c>
      <c r="T254" s="18" t="s">
        <v>68</v>
      </c>
      <c r="U254" s="18" t="s">
        <v>63</v>
      </c>
      <c r="V254" s="18">
        <v>187.32</v>
      </c>
      <c r="W254" s="18">
        <v>573.6388</v>
      </c>
      <c r="X254" s="18">
        <v>3.581055798E8</v>
      </c>
      <c r="Y254" s="16"/>
      <c r="Z254" s="16"/>
      <c r="AA254" s="16"/>
      <c r="AB254" s="16"/>
      <c r="AC254" s="16"/>
      <c r="AD254" s="16"/>
      <c r="AE254" s="16"/>
      <c r="AF254" s="16"/>
      <c r="AK254" s="33"/>
      <c r="AL254" s="33"/>
    </row>
    <row r="255">
      <c r="A255" s="32" t="s">
        <v>63</v>
      </c>
      <c r="B255" s="32" t="s">
        <v>69</v>
      </c>
      <c r="C255" s="33">
        <v>0.0</v>
      </c>
      <c r="D255" s="33">
        <f t="shared" si="3"/>
        <v>0</v>
      </c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8" t="s">
        <v>62</v>
      </c>
      <c r="T255" s="18" t="s">
        <v>69</v>
      </c>
      <c r="U255" s="18" t="s">
        <v>66</v>
      </c>
      <c r="V255" s="18">
        <v>8.24</v>
      </c>
      <c r="W255" s="18">
        <v>706.8772</v>
      </c>
      <c r="X255" s="18">
        <v>1.941152225E7</v>
      </c>
      <c r="Y255" s="16"/>
      <c r="Z255" s="16"/>
      <c r="AA255" s="16"/>
      <c r="AB255" s="16"/>
      <c r="AC255" s="16"/>
      <c r="AD255" s="16"/>
      <c r="AE255" s="16"/>
      <c r="AF255" s="16"/>
      <c r="AK255" s="33"/>
      <c r="AL255" s="33"/>
    </row>
    <row r="256">
      <c r="A256" s="32" t="s">
        <v>63</v>
      </c>
      <c r="B256" s="32" t="s">
        <v>70</v>
      </c>
      <c r="C256" s="33">
        <v>0.0</v>
      </c>
      <c r="D256" s="33">
        <f t="shared" si="3"/>
        <v>0</v>
      </c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8" t="s">
        <v>62</v>
      </c>
      <c r="T256" s="18" t="s">
        <v>70</v>
      </c>
      <c r="U256" s="18" t="s">
        <v>72</v>
      </c>
      <c r="V256" s="18">
        <v>429.64</v>
      </c>
      <c r="W256" s="18">
        <v>255.0633</v>
      </c>
      <c r="X256" s="18">
        <v>3.652086505E8</v>
      </c>
      <c r="Y256" s="16"/>
      <c r="Z256" s="16"/>
      <c r="AA256" s="16"/>
      <c r="AB256" s="16"/>
      <c r="AC256" s="16"/>
      <c r="AD256" s="16"/>
      <c r="AE256" s="16"/>
      <c r="AF256" s="16"/>
      <c r="AK256" s="33"/>
      <c r="AL256" s="33"/>
    </row>
    <row r="257">
      <c r="A257" s="32" t="s">
        <v>63</v>
      </c>
      <c r="B257" s="32" t="s">
        <v>71</v>
      </c>
      <c r="C257" s="33">
        <v>0.0</v>
      </c>
      <c r="D257" s="33">
        <f t="shared" si="3"/>
        <v>0</v>
      </c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8" t="s">
        <v>62</v>
      </c>
      <c r="T257" s="18" t="s">
        <v>71</v>
      </c>
      <c r="U257" s="18" t="s">
        <v>63</v>
      </c>
      <c r="V257" s="18">
        <v>166.64</v>
      </c>
      <c r="W257" s="18">
        <v>1250.3899</v>
      </c>
      <c r="X257" s="18">
        <v>6.944054368E8</v>
      </c>
      <c r="Y257" s="16"/>
      <c r="Z257" s="16"/>
      <c r="AA257" s="16"/>
      <c r="AB257" s="16"/>
      <c r="AC257" s="16"/>
      <c r="AD257" s="16"/>
      <c r="AE257" s="16"/>
      <c r="AF257" s="16"/>
      <c r="AK257" s="33"/>
      <c r="AL257" s="33"/>
    </row>
    <row r="258">
      <c r="A258" s="32" t="s">
        <v>63</v>
      </c>
      <c r="B258" s="32" t="s">
        <v>72</v>
      </c>
      <c r="C258" s="33">
        <v>1.0</v>
      </c>
      <c r="D258" s="33">
        <f t="shared" si="3"/>
        <v>55000000000</v>
      </c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8" t="s">
        <v>62</v>
      </c>
      <c r="T258" s="18" t="s">
        <v>72</v>
      </c>
      <c r="U258" s="18" t="s">
        <v>72</v>
      </c>
      <c r="V258" s="18">
        <v>130.72</v>
      </c>
      <c r="W258" s="18">
        <v>0.0</v>
      </c>
      <c r="X258" s="18">
        <v>0.0</v>
      </c>
      <c r="Y258" s="16"/>
      <c r="Z258" s="16"/>
      <c r="AA258" s="16"/>
      <c r="AB258" s="16"/>
      <c r="AC258" s="16"/>
      <c r="AD258" s="16"/>
      <c r="AE258" s="16"/>
      <c r="AF258" s="16"/>
      <c r="AK258" s="33"/>
      <c r="AL258" s="33"/>
    </row>
    <row r="259">
      <c r="A259" s="32" t="s">
        <v>63</v>
      </c>
      <c r="B259" s="32" t="s">
        <v>73</v>
      </c>
      <c r="C259" s="33">
        <v>0.0</v>
      </c>
      <c r="D259" s="33">
        <f t="shared" si="3"/>
        <v>0</v>
      </c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8" t="s">
        <v>62</v>
      </c>
      <c r="T259" s="18" t="s">
        <v>73</v>
      </c>
      <c r="U259" s="18" t="s">
        <v>72</v>
      </c>
      <c r="V259" s="18">
        <v>62.52</v>
      </c>
      <c r="W259" s="18">
        <v>505.2914</v>
      </c>
      <c r="X259" s="18">
        <v>1.052808322E8</v>
      </c>
      <c r="Y259" s="16"/>
      <c r="Z259" s="16"/>
      <c r="AA259" s="16"/>
      <c r="AB259" s="16"/>
      <c r="AC259" s="16"/>
      <c r="AD259" s="16"/>
      <c r="AE259" s="16"/>
      <c r="AF259" s="16"/>
      <c r="AK259" s="33"/>
      <c r="AL259" s="33"/>
    </row>
    <row r="260">
      <c r="A260" s="32" t="s">
        <v>63</v>
      </c>
      <c r="B260" s="32" t="s">
        <v>74</v>
      </c>
      <c r="C260" s="33">
        <v>0.0</v>
      </c>
      <c r="D260" s="33">
        <f t="shared" si="3"/>
        <v>0</v>
      </c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8" t="s">
        <v>62</v>
      </c>
      <c r="T260" s="18" t="s">
        <v>74</v>
      </c>
      <c r="U260" s="18" t="s">
        <v>72</v>
      </c>
      <c r="V260" s="18">
        <v>11.32</v>
      </c>
      <c r="W260" s="18">
        <v>467.0651</v>
      </c>
      <c r="X260" s="18">
        <v>1.762025722E7</v>
      </c>
      <c r="Y260" s="16"/>
      <c r="Z260" s="16"/>
      <c r="AA260" s="16"/>
      <c r="AB260" s="16"/>
      <c r="AC260" s="16"/>
      <c r="AD260" s="16"/>
      <c r="AE260" s="16"/>
      <c r="AF260" s="16"/>
      <c r="AK260" s="33"/>
      <c r="AL260" s="33"/>
    </row>
    <row r="261">
      <c r="A261" s="32" t="s">
        <v>63</v>
      </c>
      <c r="B261" s="32" t="s">
        <v>75</v>
      </c>
      <c r="C261" s="33">
        <v>0.0</v>
      </c>
      <c r="D261" s="33">
        <f t="shared" si="3"/>
        <v>0</v>
      </c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8" t="s">
        <v>62</v>
      </c>
      <c r="T261" s="18" t="s">
        <v>75</v>
      </c>
      <c r="U261" s="18" t="s">
        <v>72</v>
      </c>
      <c r="V261" s="18">
        <v>56.96</v>
      </c>
      <c r="W261" s="18">
        <v>1526.6262</v>
      </c>
      <c r="X261" s="18">
        <v>2.897951403E8</v>
      </c>
      <c r="Y261" s="16"/>
      <c r="Z261" s="16"/>
      <c r="AA261" s="16"/>
      <c r="AB261" s="16"/>
      <c r="AC261" s="16"/>
      <c r="AD261" s="16"/>
      <c r="AE261" s="16"/>
      <c r="AF261" s="16"/>
      <c r="AK261" s="33"/>
      <c r="AL261" s="33"/>
    </row>
    <row r="262">
      <c r="A262" s="32" t="s">
        <v>65</v>
      </c>
      <c r="B262" s="32" t="s">
        <v>66</v>
      </c>
      <c r="C262" s="33">
        <v>0.0</v>
      </c>
      <c r="D262" s="33">
        <f t="shared" si="3"/>
        <v>0</v>
      </c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8" t="s">
        <v>64</v>
      </c>
      <c r="T262" s="18" t="s">
        <v>31</v>
      </c>
      <c r="U262" s="18" t="s">
        <v>33</v>
      </c>
      <c r="V262" s="18">
        <v>5994.64</v>
      </c>
      <c r="W262" s="18">
        <v>1362.6505</v>
      </c>
      <c r="X262" s="18">
        <v>3.4756163511E10</v>
      </c>
      <c r="Y262" s="16"/>
      <c r="Z262" s="16"/>
      <c r="AA262" s="16"/>
      <c r="AB262" s="16"/>
      <c r="AC262" s="16"/>
      <c r="AD262" s="16"/>
      <c r="AE262" s="16"/>
      <c r="AF262" s="16"/>
      <c r="AK262" s="33"/>
      <c r="AL262" s="33"/>
    </row>
    <row r="263">
      <c r="A263" s="32" t="s">
        <v>65</v>
      </c>
      <c r="B263" s="32" t="s">
        <v>67</v>
      </c>
      <c r="C263" s="33">
        <v>0.0</v>
      </c>
      <c r="D263" s="33">
        <f t="shared" si="3"/>
        <v>0</v>
      </c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8" t="s">
        <v>64</v>
      </c>
      <c r="T263" s="18" t="s">
        <v>34</v>
      </c>
      <c r="U263" s="18" t="s">
        <v>33</v>
      </c>
      <c r="V263" s="18">
        <v>3387.32</v>
      </c>
      <c r="W263" s="18">
        <v>966.6815</v>
      </c>
      <c r="X263" s="18">
        <v>1.3932333746E10</v>
      </c>
      <c r="Y263" s="16"/>
      <c r="Z263" s="16"/>
      <c r="AA263" s="16"/>
      <c r="AB263" s="16"/>
      <c r="AC263" s="16"/>
      <c r="AD263" s="16"/>
      <c r="AE263" s="16"/>
      <c r="AF263" s="16"/>
      <c r="AK263" s="33"/>
      <c r="AL263" s="33"/>
    </row>
    <row r="264">
      <c r="A264" s="32" t="s">
        <v>65</v>
      </c>
      <c r="B264" s="32" t="s">
        <v>68</v>
      </c>
      <c r="C264" s="33">
        <v>0.0</v>
      </c>
      <c r="D264" s="33">
        <f t="shared" si="3"/>
        <v>0</v>
      </c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8" t="s">
        <v>64</v>
      </c>
      <c r="T264" s="18" t="s">
        <v>36</v>
      </c>
      <c r="U264" s="18" t="s">
        <v>33</v>
      </c>
      <c r="V264" s="18">
        <v>11123.24</v>
      </c>
      <c r="W264" s="18">
        <v>397.4792</v>
      </c>
      <c r="X264" s="18">
        <v>1.8811781143E10</v>
      </c>
      <c r="Y264" s="16"/>
      <c r="Z264" s="16"/>
      <c r="AA264" s="16"/>
      <c r="AB264" s="16"/>
      <c r="AC264" s="16"/>
      <c r="AD264" s="16"/>
      <c r="AE264" s="16"/>
      <c r="AF264" s="16"/>
      <c r="AK264" s="33"/>
      <c r="AL264" s="33"/>
    </row>
    <row r="265">
      <c r="A265" s="32" t="s">
        <v>65</v>
      </c>
      <c r="B265" s="32" t="s">
        <v>69</v>
      </c>
      <c r="C265" s="33">
        <v>0.0</v>
      </c>
      <c r="D265" s="33">
        <f t="shared" si="3"/>
        <v>0</v>
      </c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8" t="s">
        <v>64</v>
      </c>
      <c r="T265" s="18" t="s">
        <v>32</v>
      </c>
      <c r="U265" s="18" t="s">
        <v>33</v>
      </c>
      <c r="V265" s="18">
        <v>14405.24</v>
      </c>
      <c r="W265" s="18">
        <v>525.4495</v>
      </c>
      <c r="X265" s="18">
        <v>3.2205923268E10</v>
      </c>
      <c r="Y265" s="16"/>
      <c r="Z265" s="16"/>
      <c r="AA265" s="16"/>
      <c r="AB265" s="16"/>
      <c r="AC265" s="16"/>
      <c r="AD265" s="16"/>
      <c r="AE265" s="16"/>
      <c r="AF265" s="16"/>
      <c r="AK265" s="33"/>
      <c r="AL265" s="33"/>
    </row>
    <row r="266">
      <c r="A266" s="32" t="s">
        <v>65</v>
      </c>
      <c r="B266" s="32" t="s">
        <v>70</v>
      </c>
      <c r="C266" s="33">
        <v>0.0</v>
      </c>
      <c r="D266" s="33">
        <f t="shared" si="3"/>
        <v>0</v>
      </c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8" t="s">
        <v>64</v>
      </c>
      <c r="T266" s="18" t="s">
        <v>38</v>
      </c>
      <c r="U266" s="18" t="s">
        <v>33</v>
      </c>
      <c r="V266" s="18">
        <v>3505.04</v>
      </c>
      <c r="W266" s="18">
        <v>176.4669</v>
      </c>
      <c r="X266" s="18">
        <v>2.631725137E9</v>
      </c>
      <c r="Y266" s="16"/>
      <c r="Z266" s="16"/>
      <c r="AA266" s="16"/>
      <c r="AB266" s="16"/>
      <c r="AC266" s="16"/>
      <c r="AD266" s="16"/>
      <c r="AE266" s="16"/>
      <c r="AF266" s="16"/>
      <c r="AK266" s="33"/>
      <c r="AL266" s="33"/>
    </row>
    <row r="267">
      <c r="A267" s="32" t="s">
        <v>65</v>
      </c>
      <c r="B267" s="32" t="s">
        <v>71</v>
      </c>
      <c r="C267" s="33">
        <v>0.0</v>
      </c>
      <c r="D267" s="33">
        <f t="shared" si="3"/>
        <v>0</v>
      </c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8" t="s">
        <v>64</v>
      </c>
      <c r="T267" s="18" t="s">
        <v>33</v>
      </c>
      <c r="U267" s="18" t="s">
        <v>33</v>
      </c>
      <c r="V267" s="18">
        <v>76200.84</v>
      </c>
      <c r="W267" s="18">
        <v>0.0</v>
      </c>
      <c r="X267" s="18">
        <v>0.0</v>
      </c>
      <c r="Y267" s="16"/>
      <c r="Z267" s="16"/>
      <c r="AA267" s="16"/>
      <c r="AB267" s="16"/>
      <c r="AC267" s="16"/>
      <c r="AD267" s="16"/>
      <c r="AE267" s="16"/>
      <c r="AF267" s="16"/>
      <c r="AK267" s="33"/>
      <c r="AL267" s="33"/>
    </row>
    <row r="268">
      <c r="A268" s="32" t="s">
        <v>65</v>
      </c>
      <c r="B268" s="32" t="s">
        <v>72</v>
      </c>
      <c r="C268" s="33">
        <v>0.0</v>
      </c>
      <c r="D268" s="33">
        <f t="shared" si="3"/>
        <v>0</v>
      </c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8" t="s">
        <v>64</v>
      </c>
      <c r="T268" s="18" t="s">
        <v>39</v>
      </c>
      <c r="U268" s="18" t="s">
        <v>35</v>
      </c>
      <c r="V268" s="18">
        <v>10956.2</v>
      </c>
      <c r="W268" s="18">
        <v>186.18</v>
      </c>
      <c r="X268" s="18">
        <v>8.679150026E9</v>
      </c>
      <c r="Y268" s="16"/>
      <c r="Z268" s="16"/>
      <c r="AA268" s="16"/>
      <c r="AB268" s="16"/>
      <c r="AC268" s="16"/>
      <c r="AD268" s="16"/>
      <c r="AE268" s="16"/>
      <c r="AF268" s="16"/>
      <c r="AK268" s="33"/>
      <c r="AL268" s="33"/>
    </row>
    <row r="269">
      <c r="A269" s="32" t="s">
        <v>65</v>
      </c>
      <c r="B269" s="32" t="s">
        <v>73</v>
      </c>
      <c r="C269" s="33">
        <v>0.0</v>
      </c>
      <c r="D269" s="33">
        <f t="shared" si="3"/>
        <v>0</v>
      </c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8" t="s">
        <v>64</v>
      </c>
      <c r="T269" s="18" t="s">
        <v>35</v>
      </c>
      <c r="U269" s="18" t="s">
        <v>35</v>
      </c>
      <c r="V269" s="18">
        <v>38856.72</v>
      </c>
      <c r="W269" s="18">
        <v>0.0</v>
      </c>
      <c r="X269" s="18">
        <v>0.0</v>
      </c>
      <c r="Y269" s="16"/>
      <c r="Z269" s="16"/>
      <c r="AA269" s="16"/>
      <c r="AB269" s="16"/>
      <c r="AC269" s="16"/>
      <c r="AD269" s="16"/>
      <c r="AE269" s="16"/>
      <c r="AF269" s="16"/>
      <c r="AK269" s="33"/>
      <c r="AL269" s="33"/>
    </row>
    <row r="270">
      <c r="A270" s="32" t="s">
        <v>65</v>
      </c>
      <c r="B270" s="32" t="s">
        <v>74</v>
      </c>
      <c r="C270" s="33">
        <v>0.0</v>
      </c>
      <c r="D270" s="33">
        <f t="shared" si="3"/>
        <v>0</v>
      </c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8" t="s">
        <v>64</v>
      </c>
      <c r="T270" s="18" t="s">
        <v>40</v>
      </c>
      <c r="U270" s="18" t="s">
        <v>35</v>
      </c>
      <c r="V270" s="18">
        <v>5921.0</v>
      </c>
      <c r="W270" s="18">
        <v>403.0102</v>
      </c>
      <c r="X270" s="18">
        <v>1.0153022949E10</v>
      </c>
      <c r="Y270" s="16"/>
      <c r="Z270" s="16"/>
      <c r="AA270" s="16"/>
      <c r="AB270" s="16"/>
      <c r="AC270" s="16"/>
      <c r="AD270" s="16"/>
      <c r="AE270" s="16"/>
      <c r="AF270" s="16"/>
      <c r="AK270" s="33"/>
      <c r="AL270" s="33"/>
    </row>
    <row r="271">
      <c r="A271" s="32" t="s">
        <v>65</v>
      </c>
      <c r="B271" s="32" t="s">
        <v>75</v>
      </c>
      <c r="C271" s="33">
        <v>0.0</v>
      </c>
      <c r="D271" s="33">
        <f t="shared" si="3"/>
        <v>0</v>
      </c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8" t="s">
        <v>64</v>
      </c>
      <c r="T271" s="18" t="s">
        <v>37</v>
      </c>
      <c r="U271" s="18" t="s">
        <v>63</v>
      </c>
      <c r="V271" s="18">
        <v>16808.52</v>
      </c>
      <c r="W271" s="18">
        <v>478.0437</v>
      </c>
      <c r="X271" s="18">
        <v>3.993184549E10</v>
      </c>
      <c r="Y271" s="16"/>
      <c r="Z271" s="16"/>
      <c r="AA271" s="16"/>
      <c r="AB271" s="16"/>
      <c r="AC271" s="16"/>
      <c r="AD271" s="16"/>
      <c r="AE271" s="16"/>
      <c r="AF271" s="16"/>
      <c r="AK271" s="33"/>
      <c r="AL271" s="33"/>
    </row>
    <row r="272">
      <c r="A272" s="32" t="s">
        <v>66</v>
      </c>
      <c r="B272" s="32" t="s">
        <v>67</v>
      </c>
      <c r="C272" s="33">
        <v>0.0</v>
      </c>
      <c r="D272" s="33">
        <f t="shared" si="3"/>
        <v>0</v>
      </c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8" t="s">
        <v>64</v>
      </c>
      <c r="T272" s="18" t="s">
        <v>62</v>
      </c>
      <c r="U272" s="18" t="s">
        <v>33</v>
      </c>
      <c r="V272" s="18">
        <v>69017.36</v>
      </c>
      <c r="W272" s="18">
        <v>541.8429</v>
      </c>
      <c r="X272" s="79">
        <v>1.59117E11</v>
      </c>
      <c r="Y272" s="16"/>
      <c r="Z272" s="16"/>
      <c r="AA272" s="16"/>
      <c r="AB272" s="16"/>
      <c r="AC272" s="16"/>
      <c r="AD272" s="16"/>
      <c r="AE272" s="16"/>
      <c r="AF272" s="16"/>
      <c r="AK272" s="33"/>
      <c r="AL272" s="33"/>
    </row>
    <row r="273">
      <c r="A273" s="32" t="s">
        <v>66</v>
      </c>
      <c r="B273" s="32" t="s">
        <v>68</v>
      </c>
      <c r="C273" s="33">
        <v>0.0</v>
      </c>
      <c r="D273" s="33">
        <f t="shared" si="3"/>
        <v>0</v>
      </c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8" t="s">
        <v>64</v>
      </c>
      <c r="T273" s="18" t="s">
        <v>63</v>
      </c>
      <c r="U273" s="18" t="s">
        <v>63</v>
      </c>
      <c r="V273" s="18">
        <v>293043.84</v>
      </c>
      <c r="W273" s="18">
        <v>0.0</v>
      </c>
      <c r="X273" s="18">
        <v>0.0</v>
      </c>
      <c r="Y273" s="16"/>
      <c r="Z273" s="16"/>
      <c r="AA273" s="16"/>
      <c r="AB273" s="16"/>
      <c r="AC273" s="16"/>
      <c r="AD273" s="16"/>
      <c r="AE273" s="16"/>
      <c r="AF273" s="16"/>
      <c r="AK273" s="33"/>
      <c r="AL273" s="33"/>
    </row>
    <row r="274">
      <c r="A274" s="32" t="s">
        <v>66</v>
      </c>
      <c r="B274" s="32" t="s">
        <v>69</v>
      </c>
      <c r="C274" s="33">
        <v>0.0</v>
      </c>
      <c r="D274" s="33">
        <f t="shared" si="3"/>
        <v>0</v>
      </c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8" t="s">
        <v>64</v>
      </c>
      <c r="T274" s="18" t="s">
        <v>65</v>
      </c>
      <c r="U274" s="18" t="s">
        <v>66</v>
      </c>
      <c r="V274" s="18">
        <v>53810.88</v>
      </c>
      <c r="W274" s="18">
        <v>79.8162</v>
      </c>
      <c r="X274" s="18">
        <v>1.4313628223E10</v>
      </c>
      <c r="Y274" s="16"/>
      <c r="Z274" s="16"/>
      <c r="AA274" s="16"/>
      <c r="AB274" s="16"/>
      <c r="AC274" s="16"/>
      <c r="AD274" s="16"/>
      <c r="AE274" s="16"/>
      <c r="AF274" s="16"/>
      <c r="AK274" s="33"/>
      <c r="AL274" s="33"/>
    </row>
    <row r="275">
      <c r="A275" s="32" t="s">
        <v>66</v>
      </c>
      <c r="B275" s="32" t="s">
        <v>70</v>
      </c>
      <c r="C275" s="33">
        <v>0.0</v>
      </c>
      <c r="D275" s="33">
        <f t="shared" si="3"/>
        <v>0</v>
      </c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8" t="s">
        <v>64</v>
      </c>
      <c r="T275" s="18" t="s">
        <v>66</v>
      </c>
      <c r="U275" s="18" t="s">
        <v>66</v>
      </c>
      <c r="V275" s="18">
        <v>310609.0</v>
      </c>
      <c r="W275" s="18">
        <v>0.0</v>
      </c>
      <c r="X275" s="18">
        <v>0.0</v>
      </c>
      <c r="Y275" s="16"/>
      <c r="Z275" s="16"/>
      <c r="AA275" s="16"/>
      <c r="AB275" s="16"/>
      <c r="AC275" s="16"/>
      <c r="AD275" s="16"/>
      <c r="AE275" s="16"/>
      <c r="AF275" s="16"/>
      <c r="AK275" s="33"/>
      <c r="AL275" s="33"/>
    </row>
    <row r="276">
      <c r="A276" s="32" t="s">
        <v>66</v>
      </c>
      <c r="B276" s="32" t="s">
        <v>71</v>
      </c>
      <c r="C276" s="33">
        <v>0.0</v>
      </c>
      <c r="D276" s="33">
        <f t="shared" si="3"/>
        <v>0</v>
      </c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8" t="s">
        <v>64</v>
      </c>
      <c r="T276" s="18" t="s">
        <v>67</v>
      </c>
      <c r="U276" s="18" t="s">
        <v>66</v>
      </c>
      <c r="V276" s="18">
        <v>3702.4</v>
      </c>
      <c r="W276" s="18">
        <v>294.9322</v>
      </c>
      <c r="X276" s="18">
        <v>3.639099229E9</v>
      </c>
      <c r="Y276" s="16"/>
      <c r="Z276" s="16"/>
      <c r="AA276" s="16"/>
      <c r="AB276" s="16"/>
      <c r="AC276" s="16"/>
      <c r="AD276" s="16"/>
      <c r="AE276" s="16"/>
      <c r="AF276" s="16"/>
      <c r="AK276" s="33"/>
      <c r="AL276" s="33"/>
    </row>
    <row r="277">
      <c r="A277" s="32" t="s">
        <v>66</v>
      </c>
      <c r="B277" s="32" t="s">
        <v>72</v>
      </c>
      <c r="C277" s="33">
        <v>0.0</v>
      </c>
      <c r="D277" s="33">
        <f t="shared" si="3"/>
        <v>0</v>
      </c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8" t="s">
        <v>64</v>
      </c>
      <c r="T277" s="18" t="s">
        <v>68</v>
      </c>
      <c r="U277" s="18" t="s">
        <v>63</v>
      </c>
      <c r="V277" s="18">
        <v>16346.12</v>
      </c>
      <c r="W277" s="18">
        <v>573.6388</v>
      </c>
      <c r="X277" s="18">
        <v>3.1249395583E10</v>
      </c>
      <c r="Y277" s="16"/>
      <c r="Z277" s="16"/>
      <c r="AA277" s="16"/>
      <c r="AB277" s="16"/>
      <c r="AC277" s="16"/>
      <c r="AD277" s="16"/>
      <c r="AE277" s="16"/>
      <c r="AF277" s="16"/>
      <c r="AK277" s="33"/>
      <c r="AL277" s="33"/>
    </row>
    <row r="278">
      <c r="A278" s="32" t="s">
        <v>66</v>
      </c>
      <c r="B278" s="32" t="s">
        <v>73</v>
      </c>
      <c r="C278" s="33">
        <v>0.0</v>
      </c>
      <c r="D278" s="33">
        <f t="shared" si="3"/>
        <v>0</v>
      </c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8" t="s">
        <v>64</v>
      </c>
      <c r="T278" s="18" t="s">
        <v>69</v>
      </c>
      <c r="U278" s="18" t="s">
        <v>66</v>
      </c>
      <c r="V278" s="18">
        <v>1206.8</v>
      </c>
      <c r="W278" s="18">
        <v>706.8772</v>
      </c>
      <c r="X278" s="18">
        <v>2.842939934E9</v>
      </c>
      <c r="Y278" s="16"/>
      <c r="Z278" s="16"/>
      <c r="AA278" s="16"/>
      <c r="AB278" s="16"/>
      <c r="AC278" s="16"/>
      <c r="AD278" s="16"/>
      <c r="AE278" s="16"/>
      <c r="AF278" s="16"/>
      <c r="AK278" s="33"/>
      <c r="AL278" s="33"/>
    </row>
    <row r="279">
      <c r="A279" s="32" t="s">
        <v>66</v>
      </c>
      <c r="B279" s="32" t="s">
        <v>74</v>
      </c>
      <c r="C279" s="33">
        <v>0.0</v>
      </c>
      <c r="D279" s="33">
        <f t="shared" si="3"/>
        <v>0</v>
      </c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8" t="s">
        <v>64</v>
      </c>
      <c r="T279" s="18" t="s">
        <v>70</v>
      </c>
      <c r="U279" s="18" t="s">
        <v>72</v>
      </c>
      <c r="V279" s="18">
        <v>14522.96</v>
      </c>
      <c r="W279" s="18">
        <v>255.0633</v>
      </c>
      <c r="X279" s="18">
        <v>1.2345011225E10</v>
      </c>
      <c r="Y279" s="16"/>
      <c r="Z279" s="16"/>
      <c r="AA279" s="16"/>
      <c r="AB279" s="16"/>
      <c r="AC279" s="16"/>
      <c r="AD279" s="16"/>
      <c r="AE279" s="16"/>
      <c r="AF279" s="16"/>
      <c r="AK279" s="33"/>
      <c r="AL279" s="33"/>
    </row>
    <row r="280">
      <c r="A280" s="32" t="s">
        <v>66</v>
      </c>
      <c r="B280" s="32" t="s">
        <v>75</v>
      </c>
      <c r="C280" s="33">
        <v>0.0</v>
      </c>
      <c r="D280" s="33">
        <f t="shared" si="3"/>
        <v>0</v>
      </c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8" t="s">
        <v>64</v>
      </c>
      <c r="T280" s="18" t="s">
        <v>71</v>
      </c>
      <c r="U280" s="18" t="s">
        <v>63</v>
      </c>
      <c r="V280" s="18">
        <v>17204.88</v>
      </c>
      <c r="W280" s="18">
        <v>1250.3899</v>
      </c>
      <c r="X280" s="18">
        <v>7.169444438E10</v>
      </c>
      <c r="Y280" s="16"/>
      <c r="Z280" s="16"/>
      <c r="AA280" s="16"/>
      <c r="AB280" s="16"/>
      <c r="AC280" s="16"/>
      <c r="AD280" s="16"/>
      <c r="AE280" s="16"/>
      <c r="AF280" s="16"/>
      <c r="AK280" s="33"/>
      <c r="AL280" s="33"/>
    </row>
    <row r="281">
      <c r="A281" s="32" t="s">
        <v>67</v>
      </c>
      <c r="B281" s="32" t="s">
        <v>68</v>
      </c>
      <c r="C281" s="33">
        <v>0.0</v>
      </c>
      <c r="D281" s="33">
        <f t="shared" si="3"/>
        <v>0</v>
      </c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8" t="s">
        <v>64</v>
      </c>
      <c r="T281" s="18" t="s">
        <v>72</v>
      </c>
      <c r="U281" s="18" t="s">
        <v>72</v>
      </c>
      <c r="V281" s="18">
        <v>11467.4</v>
      </c>
      <c r="W281" s="18">
        <v>0.0</v>
      </c>
      <c r="X281" s="18">
        <v>0.0</v>
      </c>
      <c r="Y281" s="16"/>
      <c r="Z281" s="16"/>
      <c r="AA281" s="16"/>
      <c r="AB281" s="16"/>
      <c r="AC281" s="16"/>
      <c r="AD281" s="16"/>
      <c r="AE281" s="16"/>
      <c r="AF281" s="16"/>
      <c r="AK281" s="33"/>
      <c r="AL281" s="33"/>
    </row>
    <row r="282">
      <c r="A282" s="32" t="s">
        <v>67</v>
      </c>
      <c r="B282" s="32" t="s">
        <v>69</v>
      </c>
      <c r="C282" s="33">
        <v>0.0</v>
      </c>
      <c r="D282" s="33">
        <f t="shared" si="3"/>
        <v>0</v>
      </c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8" t="s">
        <v>64</v>
      </c>
      <c r="T282" s="18" t="s">
        <v>73</v>
      </c>
      <c r="U282" s="18" t="s">
        <v>72</v>
      </c>
      <c r="V282" s="18">
        <v>9925.28</v>
      </c>
      <c r="W282" s="18">
        <v>505.2914</v>
      </c>
      <c r="X282" s="18">
        <v>1.671371942E10</v>
      </c>
      <c r="Y282" s="16"/>
      <c r="Z282" s="16"/>
      <c r="AA282" s="16"/>
      <c r="AB282" s="16"/>
      <c r="AC282" s="16"/>
      <c r="AD282" s="16"/>
      <c r="AE282" s="16"/>
      <c r="AF282" s="16"/>
      <c r="AK282" s="33"/>
      <c r="AL282" s="33"/>
    </row>
    <row r="283">
      <c r="A283" s="32" t="s">
        <v>67</v>
      </c>
      <c r="B283" s="32" t="s">
        <v>70</v>
      </c>
      <c r="C283" s="33">
        <v>0.0</v>
      </c>
      <c r="D283" s="33">
        <f t="shared" si="3"/>
        <v>0</v>
      </c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8" t="s">
        <v>64</v>
      </c>
      <c r="T283" s="18" t="s">
        <v>74</v>
      </c>
      <c r="U283" s="18" t="s">
        <v>72</v>
      </c>
      <c r="V283" s="18">
        <v>804.68</v>
      </c>
      <c r="W283" s="18">
        <v>467.0651</v>
      </c>
      <c r="X283" s="18">
        <v>1.25253256E9</v>
      </c>
      <c r="Y283" s="16"/>
      <c r="Z283" s="16"/>
      <c r="AA283" s="16"/>
      <c r="AB283" s="16"/>
      <c r="AC283" s="16"/>
      <c r="AD283" s="16"/>
      <c r="AE283" s="16"/>
      <c r="AF283" s="16"/>
      <c r="AK283" s="33"/>
      <c r="AL283" s="33"/>
    </row>
    <row r="284">
      <c r="A284" s="32" t="s">
        <v>67</v>
      </c>
      <c r="B284" s="32" t="s">
        <v>71</v>
      </c>
      <c r="C284" s="33">
        <v>0.0</v>
      </c>
      <c r="D284" s="33">
        <f t="shared" si="3"/>
        <v>0</v>
      </c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8" t="s">
        <v>64</v>
      </c>
      <c r="T284" s="18" t="s">
        <v>75</v>
      </c>
      <c r="U284" s="18" t="s">
        <v>72</v>
      </c>
      <c r="V284" s="18">
        <v>7045.12</v>
      </c>
      <c r="W284" s="18">
        <v>1526.6262</v>
      </c>
      <c r="X284" s="18">
        <v>3.5843425892E10</v>
      </c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</row>
    <row r="285">
      <c r="A285" s="32" t="s">
        <v>67</v>
      </c>
      <c r="B285" s="32" t="s">
        <v>72</v>
      </c>
      <c r="C285" s="33">
        <v>0.0</v>
      </c>
      <c r="D285" s="33">
        <f t="shared" si="3"/>
        <v>0</v>
      </c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8" t="s">
        <v>63</v>
      </c>
      <c r="T285" s="18" t="s">
        <v>31</v>
      </c>
      <c r="U285" s="18" t="s">
        <v>33</v>
      </c>
      <c r="V285" s="18">
        <v>16171.76</v>
      </c>
      <c r="W285" s="18">
        <v>1362.6505</v>
      </c>
      <c r="X285" s="18">
        <v>9.376181636E10</v>
      </c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</row>
    <row r="286">
      <c r="A286" s="32" t="s">
        <v>67</v>
      </c>
      <c r="B286" s="32" t="s">
        <v>73</v>
      </c>
      <c r="C286" s="33">
        <v>0.0</v>
      </c>
      <c r="D286" s="33">
        <f t="shared" si="3"/>
        <v>0</v>
      </c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8" t="s">
        <v>63</v>
      </c>
      <c r="T286" s="18" t="s">
        <v>34</v>
      </c>
      <c r="U286" s="18" t="s">
        <v>33</v>
      </c>
      <c r="V286" s="18">
        <v>7347.31</v>
      </c>
      <c r="W286" s="18">
        <v>966.6815</v>
      </c>
      <c r="X286" s="18">
        <v>3.0220107652E10</v>
      </c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</row>
    <row r="287">
      <c r="A287" s="32" t="s">
        <v>67</v>
      </c>
      <c r="B287" s="32" t="s">
        <v>74</v>
      </c>
      <c r="C287" s="33">
        <v>0.0</v>
      </c>
      <c r="D287" s="33">
        <f t="shared" si="3"/>
        <v>0</v>
      </c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8" t="s">
        <v>63</v>
      </c>
      <c r="T287" s="18" t="s">
        <v>36</v>
      </c>
      <c r="U287" s="18" t="s">
        <v>33</v>
      </c>
      <c r="V287" s="18">
        <v>9179.44</v>
      </c>
      <c r="W287" s="18">
        <v>397.4792</v>
      </c>
      <c r="X287" s="18">
        <v>1.5524399032E10</v>
      </c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</row>
    <row r="288">
      <c r="A288" s="32" t="s">
        <v>67</v>
      </c>
      <c r="B288" s="32" t="s">
        <v>75</v>
      </c>
      <c r="C288" s="33">
        <v>0.0</v>
      </c>
      <c r="D288" s="33">
        <f t="shared" si="3"/>
        <v>0</v>
      </c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8" t="s">
        <v>63</v>
      </c>
      <c r="T288" s="18" t="s">
        <v>32</v>
      </c>
      <c r="U288" s="18" t="s">
        <v>33</v>
      </c>
      <c r="V288" s="18">
        <v>19515.52</v>
      </c>
      <c r="W288" s="18">
        <v>525.4495</v>
      </c>
      <c r="X288" s="18">
        <v>4.3631021743E10</v>
      </c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</row>
    <row r="289">
      <c r="A289" s="32" t="s">
        <v>68</v>
      </c>
      <c r="B289" s="32" t="s">
        <v>69</v>
      </c>
      <c r="C289" s="33">
        <v>0.0</v>
      </c>
      <c r="D289" s="33">
        <f t="shared" si="3"/>
        <v>0</v>
      </c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8" t="s">
        <v>63</v>
      </c>
      <c r="T289" s="18" t="s">
        <v>38</v>
      </c>
      <c r="U289" s="18" t="s">
        <v>33</v>
      </c>
      <c r="V289" s="18">
        <v>5684.68</v>
      </c>
      <c r="W289" s="18">
        <v>176.4669</v>
      </c>
      <c r="X289" s="18">
        <v>4.268286597E9</v>
      </c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</row>
    <row r="290">
      <c r="A290" s="32" t="s">
        <v>68</v>
      </c>
      <c r="B290" s="32" t="s">
        <v>70</v>
      </c>
      <c r="C290" s="33">
        <v>0.0</v>
      </c>
      <c r="D290" s="33">
        <f t="shared" si="3"/>
        <v>0</v>
      </c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8" t="s">
        <v>63</v>
      </c>
      <c r="T290" s="18" t="s">
        <v>33</v>
      </c>
      <c r="U290" s="18" t="s">
        <v>33</v>
      </c>
      <c r="V290" s="18">
        <v>164135.0</v>
      </c>
      <c r="W290" s="18">
        <v>0.0</v>
      </c>
      <c r="X290" s="18">
        <v>0.0</v>
      </c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</row>
    <row r="291">
      <c r="A291" s="32" t="s">
        <v>68</v>
      </c>
      <c r="B291" s="32" t="s">
        <v>71</v>
      </c>
      <c r="C291" s="33">
        <v>0.0</v>
      </c>
      <c r="D291" s="33">
        <f t="shared" si="3"/>
        <v>0</v>
      </c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8" t="s">
        <v>63</v>
      </c>
      <c r="T291" s="18" t="s">
        <v>39</v>
      </c>
      <c r="U291" s="18" t="s">
        <v>35</v>
      </c>
      <c r="V291" s="18">
        <v>10064.28</v>
      </c>
      <c r="W291" s="18">
        <v>186.18</v>
      </c>
      <c r="X291" s="18">
        <v>7.972599626E9</v>
      </c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</row>
    <row r="292">
      <c r="A292" s="32" t="s">
        <v>68</v>
      </c>
      <c r="B292" s="32" t="s">
        <v>72</v>
      </c>
      <c r="C292" s="33">
        <v>0.0</v>
      </c>
      <c r="D292" s="33">
        <f t="shared" si="3"/>
        <v>0</v>
      </c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8" t="s">
        <v>63</v>
      </c>
      <c r="T292" s="18" t="s">
        <v>35</v>
      </c>
      <c r="U292" s="18" t="s">
        <v>35</v>
      </c>
      <c r="V292" s="18">
        <v>78887.08</v>
      </c>
      <c r="W292" s="18">
        <v>0.0</v>
      </c>
      <c r="X292" s="18">
        <v>0.0</v>
      </c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</row>
    <row r="293">
      <c r="A293" s="32" t="s">
        <v>68</v>
      </c>
      <c r="B293" s="32" t="s">
        <v>73</v>
      </c>
      <c r="C293" s="33">
        <v>0.0</v>
      </c>
      <c r="D293" s="33">
        <f t="shared" si="3"/>
        <v>0</v>
      </c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8" t="s">
        <v>63</v>
      </c>
      <c r="T293" s="18" t="s">
        <v>40</v>
      </c>
      <c r="U293" s="18" t="s">
        <v>35</v>
      </c>
      <c r="V293" s="18">
        <v>10887.77</v>
      </c>
      <c r="W293" s="18">
        <v>403.0102</v>
      </c>
      <c r="X293" s="18">
        <v>1.8669781908E10</v>
      </c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</row>
    <row r="294">
      <c r="A294" s="32" t="s">
        <v>68</v>
      </c>
      <c r="B294" s="32" t="s">
        <v>74</v>
      </c>
      <c r="C294" s="33">
        <v>0.0</v>
      </c>
      <c r="D294" s="33">
        <f t="shared" si="3"/>
        <v>0</v>
      </c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8" t="s">
        <v>63</v>
      </c>
      <c r="T294" s="18" t="s">
        <v>37</v>
      </c>
      <c r="U294" s="18" t="s">
        <v>63</v>
      </c>
      <c r="V294" s="18">
        <v>24899.2</v>
      </c>
      <c r="W294" s="18">
        <v>478.0437</v>
      </c>
      <c r="X294" s="18">
        <v>5.9152799129E10</v>
      </c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</row>
    <row r="295">
      <c r="A295" s="32" t="s">
        <v>68</v>
      </c>
      <c r="B295" s="32" t="s">
        <v>75</v>
      </c>
      <c r="C295" s="33">
        <v>0.0</v>
      </c>
      <c r="D295" s="33">
        <f t="shared" si="3"/>
        <v>0</v>
      </c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8" t="s">
        <v>63</v>
      </c>
      <c r="T295" s="18" t="s">
        <v>62</v>
      </c>
      <c r="U295" s="18" t="s">
        <v>33</v>
      </c>
      <c r="V295" s="18">
        <v>186052.72</v>
      </c>
      <c r="W295" s="18">
        <v>541.8429</v>
      </c>
      <c r="X295" s="79">
        <v>4.28937E11</v>
      </c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</row>
    <row r="296">
      <c r="A296" s="32" t="s">
        <v>69</v>
      </c>
      <c r="B296" s="32" t="s">
        <v>70</v>
      </c>
      <c r="C296" s="33">
        <v>0.0</v>
      </c>
      <c r="D296" s="33">
        <f t="shared" si="3"/>
        <v>0</v>
      </c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8" t="s">
        <v>63</v>
      </c>
      <c r="T296" s="18" t="s">
        <v>64</v>
      </c>
      <c r="U296" s="18" t="s">
        <v>63</v>
      </c>
      <c r="V296" s="18">
        <v>240386.64</v>
      </c>
      <c r="W296" s="18">
        <v>197.4577</v>
      </c>
      <c r="X296" s="79">
        <v>2.35888E11</v>
      </c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</row>
    <row r="297">
      <c r="A297" s="32" t="s">
        <v>69</v>
      </c>
      <c r="B297" s="32" t="s">
        <v>71</v>
      </c>
      <c r="C297" s="33">
        <v>0.0</v>
      </c>
      <c r="D297" s="33">
        <f t="shared" si="3"/>
        <v>0</v>
      </c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8" t="s">
        <v>63</v>
      </c>
      <c r="T297" s="18" t="s">
        <v>65</v>
      </c>
      <c r="U297" s="18" t="s">
        <v>66</v>
      </c>
      <c r="V297" s="18">
        <v>19966.8</v>
      </c>
      <c r="W297" s="18">
        <v>79.8162</v>
      </c>
      <c r="X297" s="18">
        <v>5.311144363E9</v>
      </c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</row>
    <row r="298">
      <c r="A298" s="32" t="s">
        <v>69</v>
      </c>
      <c r="B298" s="32" t="s">
        <v>72</v>
      </c>
      <c r="C298" s="33">
        <v>0.0</v>
      </c>
      <c r="D298" s="33">
        <f t="shared" si="3"/>
        <v>0</v>
      </c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8" t="s">
        <v>63</v>
      </c>
      <c r="T298" s="18" t="s">
        <v>66</v>
      </c>
      <c r="U298" s="18" t="s">
        <v>66</v>
      </c>
      <c r="V298" s="18">
        <v>135121.52</v>
      </c>
      <c r="W298" s="18">
        <v>0.0</v>
      </c>
      <c r="X298" s="18">
        <v>0.0</v>
      </c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</row>
    <row r="299">
      <c r="A299" s="32" t="s">
        <v>69</v>
      </c>
      <c r="B299" s="32" t="s">
        <v>73</v>
      </c>
      <c r="C299" s="33">
        <v>0.0</v>
      </c>
      <c r="D299" s="33">
        <f t="shared" si="3"/>
        <v>0</v>
      </c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8" t="s">
        <v>63</v>
      </c>
      <c r="T299" s="18" t="s">
        <v>67</v>
      </c>
      <c r="U299" s="18" t="s">
        <v>66</v>
      </c>
      <c r="V299" s="18">
        <v>6717.28</v>
      </c>
      <c r="W299" s="18">
        <v>294.9322</v>
      </c>
      <c r="X299" s="18">
        <v>6.602433144E9</v>
      </c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</row>
    <row r="300">
      <c r="A300" s="32" t="s">
        <v>69</v>
      </c>
      <c r="B300" s="32" t="s">
        <v>74</v>
      </c>
      <c r="C300" s="33">
        <v>0.0</v>
      </c>
      <c r="D300" s="33">
        <f t="shared" si="3"/>
        <v>0</v>
      </c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8" t="s">
        <v>63</v>
      </c>
      <c r="T300" s="18" t="s">
        <v>68</v>
      </c>
      <c r="U300" s="18" t="s">
        <v>63</v>
      </c>
      <c r="V300" s="18">
        <v>25816.32</v>
      </c>
      <c r="W300" s="18">
        <v>573.6388</v>
      </c>
      <c r="X300" s="18">
        <v>4.9353877017E10</v>
      </c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</row>
    <row r="301">
      <c r="A301" s="32" t="s">
        <v>69</v>
      </c>
      <c r="B301" s="32" t="s">
        <v>75</v>
      </c>
      <c r="C301" s="33">
        <v>0.0</v>
      </c>
      <c r="D301" s="33">
        <f t="shared" si="3"/>
        <v>0</v>
      </c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8" t="s">
        <v>63</v>
      </c>
      <c r="T301" s="18" t="s">
        <v>69</v>
      </c>
      <c r="U301" s="18" t="s">
        <v>66</v>
      </c>
      <c r="V301" s="18">
        <v>1532.28</v>
      </c>
      <c r="W301" s="18">
        <v>706.8772</v>
      </c>
      <c r="X301" s="18">
        <v>3.609695063E9</v>
      </c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</row>
    <row r="302">
      <c r="A302" s="32" t="s">
        <v>70</v>
      </c>
      <c r="B302" s="32" t="s">
        <v>71</v>
      </c>
      <c r="C302" s="33">
        <v>0.0</v>
      </c>
      <c r="D302" s="33">
        <f t="shared" si="3"/>
        <v>0</v>
      </c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8" t="s">
        <v>63</v>
      </c>
      <c r="T302" s="18" t="s">
        <v>70</v>
      </c>
      <c r="U302" s="18" t="s">
        <v>72</v>
      </c>
      <c r="V302" s="18">
        <v>17676.28</v>
      </c>
      <c r="W302" s="18">
        <v>255.0633</v>
      </c>
      <c r="X302" s="18">
        <v>1.5025440751E10</v>
      </c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</row>
    <row r="303">
      <c r="A303" s="32" t="s">
        <v>70</v>
      </c>
      <c r="B303" s="32" t="s">
        <v>72</v>
      </c>
      <c r="C303" s="33">
        <v>0.0</v>
      </c>
      <c r="D303" s="33">
        <f t="shared" si="3"/>
        <v>0</v>
      </c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8" t="s">
        <v>63</v>
      </c>
      <c r="T303" s="18" t="s">
        <v>71</v>
      </c>
      <c r="U303" s="18" t="s">
        <v>63</v>
      </c>
      <c r="V303" s="18">
        <v>18287.4</v>
      </c>
      <c r="W303" s="18">
        <v>1250.3899</v>
      </c>
      <c r="X303" s="18">
        <v>7.6205412776E10</v>
      </c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</row>
    <row r="304">
      <c r="A304" s="32" t="s">
        <v>70</v>
      </c>
      <c r="B304" s="32" t="s">
        <v>73</v>
      </c>
      <c r="C304" s="33">
        <v>0.0</v>
      </c>
      <c r="D304" s="33">
        <f t="shared" si="3"/>
        <v>0</v>
      </c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8" t="s">
        <v>63</v>
      </c>
      <c r="T304" s="18" t="s">
        <v>72</v>
      </c>
      <c r="U304" s="18" t="s">
        <v>72</v>
      </c>
      <c r="V304" s="18">
        <v>14622.72</v>
      </c>
      <c r="W304" s="18">
        <v>0.0</v>
      </c>
      <c r="X304" s="18">
        <v>0.0</v>
      </c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</row>
    <row r="305">
      <c r="A305" s="32" t="s">
        <v>70</v>
      </c>
      <c r="B305" s="32" t="s">
        <v>74</v>
      </c>
      <c r="C305" s="33">
        <v>0.0</v>
      </c>
      <c r="D305" s="33">
        <f t="shared" si="3"/>
        <v>0</v>
      </c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8" t="s">
        <v>63</v>
      </c>
      <c r="T305" s="18" t="s">
        <v>73</v>
      </c>
      <c r="U305" s="18" t="s">
        <v>72</v>
      </c>
      <c r="V305" s="18">
        <v>10137.72</v>
      </c>
      <c r="W305" s="18">
        <v>505.2914</v>
      </c>
      <c r="X305" s="18">
        <v>1.7071458703E10</v>
      </c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</row>
    <row r="306">
      <c r="A306" s="32" t="s">
        <v>70</v>
      </c>
      <c r="B306" s="32" t="s">
        <v>75</v>
      </c>
      <c r="C306" s="33">
        <v>0.0</v>
      </c>
      <c r="D306" s="33">
        <f t="shared" si="3"/>
        <v>0</v>
      </c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8" t="s">
        <v>63</v>
      </c>
      <c r="T306" s="18" t="s">
        <v>74</v>
      </c>
      <c r="U306" s="18" t="s">
        <v>72</v>
      </c>
      <c r="V306" s="18">
        <v>832.2</v>
      </c>
      <c r="W306" s="18">
        <v>467.0651</v>
      </c>
      <c r="X306" s="18">
        <v>1.295369086E9</v>
      </c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</row>
    <row r="307">
      <c r="A307" s="32" t="s">
        <v>71</v>
      </c>
      <c r="B307" s="32" t="s">
        <v>72</v>
      </c>
      <c r="C307" s="33">
        <v>0.0</v>
      </c>
      <c r="D307" s="33">
        <f t="shared" si="3"/>
        <v>0</v>
      </c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8" t="s">
        <v>63</v>
      </c>
      <c r="T307" s="18" t="s">
        <v>75</v>
      </c>
      <c r="U307" s="18" t="s">
        <v>72</v>
      </c>
      <c r="V307" s="18">
        <v>5902.2</v>
      </c>
      <c r="W307" s="18">
        <v>1526.6262</v>
      </c>
      <c r="X307" s="18">
        <v>3.0028596859E10</v>
      </c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</row>
    <row r="308">
      <c r="A308" s="32" t="s">
        <v>71</v>
      </c>
      <c r="B308" s="32" t="s">
        <v>73</v>
      </c>
      <c r="C308" s="33">
        <v>0.0</v>
      </c>
      <c r="D308" s="33">
        <f t="shared" si="3"/>
        <v>0</v>
      </c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8" t="s">
        <v>65</v>
      </c>
      <c r="T308" s="18" t="s">
        <v>31</v>
      </c>
      <c r="U308" s="18" t="s">
        <v>33</v>
      </c>
      <c r="V308" s="18">
        <v>205.36</v>
      </c>
      <c r="W308" s="18">
        <v>1362.6505</v>
      </c>
      <c r="X308" s="18">
        <v>1.190651272E9</v>
      </c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</row>
    <row r="309">
      <c r="A309" s="32" t="s">
        <v>71</v>
      </c>
      <c r="B309" s="32" t="s">
        <v>74</v>
      </c>
      <c r="C309" s="33">
        <v>0.0</v>
      </c>
      <c r="D309" s="33">
        <f t="shared" si="3"/>
        <v>0</v>
      </c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8" t="s">
        <v>65</v>
      </c>
      <c r="T309" s="18" t="s">
        <v>34</v>
      </c>
      <c r="U309" s="18" t="s">
        <v>33</v>
      </c>
      <c r="V309" s="18">
        <v>104.25</v>
      </c>
      <c r="W309" s="18">
        <v>966.6815</v>
      </c>
      <c r="X309" s="18">
        <v>4.287890701E8</v>
      </c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</row>
    <row r="310">
      <c r="A310" s="32" t="s">
        <v>71</v>
      </c>
      <c r="B310" s="32" t="s">
        <v>75</v>
      </c>
      <c r="C310" s="33">
        <v>0.0</v>
      </c>
      <c r="D310" s="33">
        <f t="shared" si="3"/>
        <v>0</v>
      </c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8" t="s">
        <v>65</v>
      </c>
      <c r="T310" s="18" t="s">
        <v>36</v>
      </c>
      <c r="U310" s="18" t="s">
        <v>33</v>
      </c>
      <c r="V310" s="18">
        <v>417.96</v>
      </c>
      <c r="W310" s="18">
        <v>397.4792</v>
      </c>
      <c r="X310" s="18">
        <v>7.068598759E8</v>
      </c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</row>
    <row r="311">
      <c r="A311" s="32" t="s">
        <v>72</v>
      </c>
      <c r="B311" s="32" t="s">
        <v>73</v>
      </c>
      <c r="C311" s="33">
        <v>0.0</v>
      </c>
      <c r="D311" s="33">
        <f t="shared" si="3"/>
        <v>0</v>
      </c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8" t="s">
        <v>65</v>
      </c>
      <c r="T311" s="18" t="s">
        <v>32</v>
      </c>
      <c r="U311" s="18" t="s">
        <v>33</v>
      </c>
      <c r="V311" s="18">
        <v>656.48</v>
      </c>
      <c r="W311" s="18">
        <v>525.4495</v>
      </c>
      <c r="X311" s="18">
        <v>1.467698178E9</v>
      </c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</row>
    <row r="312">
      <c r="A312" s="32" t="s">
        <v>72</v>
      </c>
      <c r="B312" s="32" t="s">
        <v>74</v>
      </c>
      <c r="C312" s="33">
        <v>0.0</v>
      </c>
      <c r="D312" s="33">
        <f t="shared" si="3"/>
        <v>0</v>
      </c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8" t="s">
        <v>65</v>
      </c>
      <c r="T312" s="18" t="s">
        <v>38</v>
      </c>
      <c r="U312" s="18" t="s">
        <v>33</v>
      </c>
      <c r="V312" s="18">
        <v>107.52</v>
      </c>
      <c r="W312" s="18">
        <v>176.4669</v>
      </c>
      <c r="X312" s="18">
        <v>8.073034452E7</v>
      </c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</row>
    <row r="313">
      <c r="A313" s="32" t="s">
        <v>72</v>
      </c>
      <c r="B313" s="32" t="s">
        <v>75</v>
      </c>
      <c r="C313" s="33">
        <v>0.0</v>
      </c>
      <c r="D313" s="33">
        <f t="shared" si="3"/>
        <v>0</v>
      </c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8" t="s">
        <v>65</v>
      </c>
      <c r="T313" s="18" t="s">
        <v>33</v>
      </c>
      <c r="U313" s="18" t="s">
        <v>33</v>
      </c>
      <c r="V313" s="18">
        <v>4010.4</v>
      </c>
      <c r="W313" s="18">
        <v>0.0</v>
      </c>
      <c r="X313" s="18">
        <v>0.0</v>
      </c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</row>
    <row r="314">
      <c r="A314" s="32" t="s">
        <v>73</v>
      </c>
      <c r="B314" s="32" t="s">
        <v>74</v>
      </c>
      <c r="C314" s="33">
        <v>0.0</v>
      </c>
      <c r="D314" s="33">
        <f t="shared" si="3"/>
        <v>0</v>
      </c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8" t="s">
        <v>65</v>
      </c>
      <c r="T314" s="18" t="s">
        <v>39</v>
      </c>
      <c r="U314" s="18" t="s">
        <v>35</v>
      </c>
      <c r="V314" s="18">
        <v>414.96</v>
      </c>
      <c r="W314" s="18">
        <v>186.18</v>
      </c>
      <c r="X314" s="18">
        <v>3.287179948E8</v>
      </c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</row>
    <row r="315">
      <c r="A315" s="32" t="s">
        <v>73</v>
      </c>
      <c r="B315" s="32" t="s">
        <v>75</v>
      </c>
      <c r="C315" s="33">
        <v>0.0</v>
      </c>
      <c r="D315" s="33">
        <f t="shared" si="3"/>
        <v>0</v>
      </c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8" t="s">
        <v>65</v>
      </c>
      <c r="T315" s="18" t="s">
        <v>35</v>
      </c>
      <c r="U315" s="18" t="s">
        <v>35</v>
      </c>
      <c r="V315" s="18">
        <v>1246.24</v>
      </c>
      <c r="W315" s="18">
        <v>0.0</v>
      </c>
      <c r="X315" s="18">
        <v>0.0</v>
      </c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</row>
    <row r="316">
      <c r="A316" s="32" t="s">
        <v>74</v>
      </c>
      <c r="B316" s="32" t="s">
        <v>75</v>
      </c>
      <c r="C316" s="33">
        <v>0.0</v>
      </c>
      <c r="D316" s="33">
        <f t="shared" si="3"/>
        <v>0</v>
      </c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8" t="s">
        <v>65</v>
      </c>
      <c r="T316" s="18" t="s">
        <v>40</v>
      </c>
      <c r="U316" s="18" t="s">
        <v>35</v>
      </c>
      <c r="V316" s="18">
        <v>205.75</v>
      </c>
      <c r="W316" s="18">
        <v>403.0102</v>
      </c>
      <c r="X316" s="18">
        <v>3.528094024E8</v>
      </c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8" t="s">
        <v>65</v>
      </c>
      <c r="T317" s="18" t="s">
        <v>37</v>
      </c>
      <c r="U317" s="18" t="s">
        <v>63</v>
      </c>
      <c r="V317" s="18">
        <v>524.32</v>
      </c>
      <c r="W317" s="18">
        <v>478.0437</v>
      </c>
      <c r="X317" s="18">
        <v>1.245622174E9</v>
      </c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8" t="s">
        <v>65</v>
      </c>
      <c r="T318" s="18" t="s">
        <v>62</v>
      </c>
      <c r="U318" s="18" t="s">
        <v>33</v>
      </c>
      <c r="V318" s="18">
        <v>3957.64</v>
      </c>
      <c r="W318" s="18">
        <v>541.8429</v>
      </c>
      <c r="X318" s="18">
        <v>9.124182505E9</v>
      </c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8" t="s">
        <v>65</v>
      </c>
      <c r="T319" s="18" t="s">
        <v>64</v>
      </c>
      <c r="U319" s="18" t="s">
        <v>63</v>
      </c>
      <c r="V319" s="18">
        <v>19282.36</v>
      </c>
      <c r="W319" s="18">
        <v>197.4577</v>
      </c>
      <c r="X319" s="18">
        <v>1.8921540507E10</v>
      </c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8" t="s">
        <v>65</v>
      </c>
      <c r="T320" s="18" t="s">
        <v>63</v>
      </c>
      <c r="U320" s="18" t="s">
        <v>63</v>
      </c>
      <c r="V320" s="18">
        <v>11990.2</v>
      </c>
      <c r="W320" s="18">
        <v>0.0</v>
      </c>
      <c r="X320" s="18">
        <v>0.0</v>
      </c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8" t="s">
        <v>65</v>
      </c>
      <c r="T321" s="18" t="s">
        <v>66</v>
      </c>
      <c r="U321" s="18" t="s">
        <v>66</v>
      </c>
      <c r="V321" s="18">
        <v>16447.84</v>
      </c>
      <c r="W321" s="18">
        <v>0.0</v>
      </c>
      <c r="X321" s="18">
        <v>0.0</v>
      </c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8" t="s">
        <v>65</v>
      </c>
      <c r="T322" s="18" t="s">
        <v>67</v>
      </c>
      <c r="U322" s="18" t="s">
        <v>66</v>
      </c>
      <c r="V322" s="18">
        <v>122.76</v>
      </c>
      <c r="W322" s="18">
        <v>294.9322</v>
      </c>
      <c r="X322" s="18">
        <v>1.206611445E8</v>
      </c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8" t="s">
        <v>65</v>
      </c>
      <c r="T323" s="18" t="s">
        <v>68</v>
      </c>
      <c r="U323" s="18" t="s">
        <v>66</v>
      </c>
      <c r="V323" s="18">
        <v>580.12</v>
      </c>
      <c r="W323" s="18">
        <v>561.9698</v>
      </c>
      <c r="X323" s="18">
        <v>1.086473697E9</v>
      </c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8" t="s">
        <v>65</v>
      </c>
      <c r="T324" s="18" t="s">
        <v>69</v>
      </c>
      <c r="U324" s="18" t="s">
        <v>66</v>
      </c>
      <c r="V324" s="18">
        <v>37.76</v>
      </c>
      <c r="W324" s="18">
        <v>706.8772</v>
      </c>
      <c r="X324" s="18">
        <v>8.895377188E7</v>
      </c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8" t="s">
        <v>65</v>
      </c>
      <c r="T325" s="18" t="s">
        <v>70</v>
      </c>
      <c r="U325" s="18" t="s">
        <v>72</v>
      </c>
      <c r="V325" s="18">
        <v>844.28</v>
      </c>
      <c r="W325" s="18">
        <v>255.0633</v>
      </c>
      <c r="X325" s="18">
        <v>7.176667895E8</v>
      </c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8" t="s">
        <v>65</v>
      </c>
      <c r="T326" s="18" t="s">
        <v>71</v>
      </c>
      <c r="U326" s="18" t="s">
        <v>66</v>
      </c>
      <c r="V326" s="18">
        <v>532.76</v>
      </c>
      <c r="W326" s="18">
        <v>1278.2377</v>
      </c>
      <c r="X326" s="18">
        <v>2.269507519E9</v>
      </c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8" t="s">
        <v>65</v>
      </c>
      <c r="T327" s="18" t="s">
        <v>72</v>
      </c>
      <c r="U327" s="18" t="s">
        <v>72</v>
      </c>
      <c r="V327" s="18">
        <v>342.88</v>
      </c>
      <c r="W327" s="18">
        <v>0.0</v>
      </c>
      <c r="X327" s="18">
        <v>0.0</v>
      </c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8" t="s">
        <v>65</v>
      </c>
      <c r="T328" s="18" t="s">
        <v>73</v>
      </c>
      <c r="U328" s="18" t="s">
        <v>72</v>
      </c>
      <c r="V328" s="18">
        <v>322.04</v>
      </c>
      <c r="W328" s="18">
        <v>505.2914</v>
      </c>
      <c r="X328" s="18">
        <v>5.42300691E8</v>
      </c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8" t="s">
        <v>65</v>
      </c>
      <c r="T329" s="18" t="s">
        <v>74</v>
      </c>
      <c r="U329" s="18" t="s">
        <v>72</v>
      </c>
      <c r="V329" s="18">
        <v>23.48</v>
      </c>
      <c r="W329" s="18">
        <v>467.0651</v>
      </c>
      <c r="X329" s="18">
        <v>3.654802469E7</v>
      </c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8" t="s">
        <v>65</v>
      </c>
      <c r="T330" s="18" t="s">
        <v>75</v>
      </c>
      <c r="U330" s="18" t="s">
        <v>72</v>
      </c>
      <c r="V330" s="18">
        <v>209.68</v>
      </c>
      <c r="W330" s="18">
        <v>1526.6262</v>
      </c>
      <c r="X330" s="18">
        <v>1.066788009E9</v>
      </c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8" t="s">
        <v>66</v>
      </c>
      <c r="T331" s="18" t="s">
        <v>31</v>
      </c>
      <c r="U331" s="18" t="s">
        <v>33</v>
      </c>
      <c r="V331" s="18">
        <v>9800.36</v>
      </c>
      <c r="W331" s="18">
        <v>1362.6505</v>
      </c>
      <c r="X331" s="18">
        <v>5.6821246085E10</v>
      </c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8" t="s">
        <v>66</v>
      </c>
      <c r="T332" s="18" t="s">
        <v>34</v>
      </c>
      <c r="U332" s="18" t="s">
        <v>33</v>
      </c>
      <c r="V332" s="18">
        <v>6852.51</v>
      </c>
      <c r="W332" s="18">
        <v>966.6815</v>
      </c>
      <c r="X332" s="18">
        <v>2.8184953389E10</v>
      </c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8" t="s">
        <v>66</v>
      </c>
      <c r="T333" s="18" t="s">
        <v>36</v>
      </c>
      <c r="U333" s="18" t="s">
        <v>33</v>
      </c>
      <c r="V333" s="18">
        <v>48956.12</v>
      </c>
      <c r="W333" s="18">
        <v>397.4792</v>
      </c>
      <c r="X333" s="18">
        <v>8.2795284022E10</v>
      </c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8" t="s">
        <v>66</v>
      </c>
      <c r="T334" s="18" t="s">
        <v>32</v>
      </c>
      <c r="U334" s="18" t="s">
        <v>33</v>
      </c>
      <c r="V334" s="18">
        <v>21848.44</v>
      </c>
      <c r="W334" s="18">
        <v>525.4495</v>
      </c>
      <c r="X334" s="18">
        <v>4.8846751749E10</v>
      </c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8" t="s">
        <v>66</v>
      </c>
      <c r="T335" s="18" t="s">
        <v>38</v>
      </c>
      <c r="U335" s="18" t="s">
        <v>33</v>
      </c>
      <c r="V335" s="18">
        <v>5298.44</v>
      </c>
      <c r="W335" s="18">
        <v>176.4669</v>
      </c>
      <c r="X335" s="18">
        <v>3.978282056E9</v>
      </c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8" t="s">
        <v>66</v>
      </c>
      <c r="T336" s="18" t="s">
        <v>33</v>
      </c>
      <c r="U336" s="18" t="s">
        <v>33</v>
      </c>
      <c r="V336" s="18">
        <v>65917.28</v>
      </c>
      <c r="W336" s="18">
        <v>0.0</v>
      </c>
      <c r="X336" s="18">
        <v>0.0</v>
      </c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8" t="s">
        <v>66</v>
      </c>
      <c r="T337" s="18" t="s">
        <v>39</v>
      </c>
      <c r="U337" s="18" t="s">
        <v>35</v>
      </c>
      <c r="V337" s="18">
        <v>34038.88</v>
      </c>
      <c r="W337" s="18">
        <v>186.18</v>
      </c>
      <c r="X337" s="18">
        <v>2.6964508338E10</v>
      </c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8" t="s">
        <v>66</v>
      </c>
      <c r="T338" s="18" t="s">
        <v>35</v>
      </c>
      <c r="U338" s="18" t="s">
        <v>35</v>
      </c>
      <c r="V338" s="18">
        <v>60157.52</v>
      </c>
      <c r="W338" s="18">
        <v>0.0</v>
      </c>
      <c r="X338" s="18">
        <v>0.0</v>
      </c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8" t="s">
        <v>66</v>
      </c>
      <c r="T339" s="18" t="s">
        <v>40</v>
      </c>
      <c r="U339" s="18" t="s">
        <v>35</v>
      </c>
      <c r="V339" s="18">
        <v>8939.97</v>
      </c>
      <c r="W339" s="18">
        <v>403.0102</v>
      </c>
      <c r="X339" s="18">
        <v>1.532979574E10</v>
      </c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8" t="s">
        <v>66</v>
      </c>
      <c r="T340" s="18" t="s">
        <v>37</v>
      </c>
      <c r="U340" s="18" t="s">
        <v>63</v>
      </c>
      <c r="V340" s="18">
        <v>27990.88</v>
      </c>
      <c r="W340" s="18">
        <v>478.0437</v>
      </c>
      <c r="X340" s="18">
        <v>6.6497674708E10</v>
      </c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8" t="s">
        <v>66</v>
      </c>
      <c r="T341" s="18" t="s">
        <v>62</v>
      </c>
      <c r="U341" s="18" t="s">
        <v>33</v>
      </c>
      <c r="V341" s="18">
        <v>56240.24</v>
      </c>
      <c r="W341" s="18">
        <v>541.8429</v>
      </c>
      <c r="X341" s="79">
        <v>1.2966E11</v>
      </c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8" t="s">
        <v>66</v>
      </c>
      <c r="T342" s="18" t="s">
        <v>64</v>
      </c>
      <c r="U342" s="18" t="s">
        <v>63</v>
      </c>
      <c r="V342" s="18">
        <v>338656.28</v>
      </c>
      <c r="W342" s="18">
        <v>197.4577</v>
      </c>
      <c r="X342" s="79">
        <v>3.32319E11</v>
      </c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8" t="s">
        <v>66</v>
      </c>
      <c r="T343" s="18" t="s">
        <v>63</v>
      </c>
      <c r="U343" s="18" t="s">
        <v>63</v>
      </c>
      <c r="V343" s="18">
        <v>234673.36</v>
      </c>
      <c r="W343" s="18">
        <v>0.0</v>
      </c>
      <c r="X343" s="18">
        <v>0.0</v>
      </c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8" t="s">
        <v>66</v>
      </c>
      <c r="T344" s="18" t="s">
        <v>65</v>
      </c>
      <c r="U344" s="18" t="s">
        <v>66</v>
      </c>
      <c r="V344" s="18">
        <v>38011.76</v>
      </c>
      <c r="W344" s="18">
        <v>79.8162</v>
      </c>
      <c r="X344" s="18">
        <v>1.0111081639E10</v>
      </c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8" t="s">
        <v>66</v>
      </c>
      <c r="T345" s="18" t="s">
        <v>67</v>
      </c>
      <c r="U345" s="18" t="s">
        <v>66</v>
      </c>
      <c r="V345" s="18">
        <v>8529.28</v>
      </c>
      <c r="W345" s="18">
        <v>294.9322</v>
      </c>
      <c r="X345" s="18">
        <v>8.38345297E9</v>
      </c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8" t="s">
        <v>66</v>
      </c>
      <c r="T346" s="18" t="s">
        <v>68</v>
      </c>
      <c r="U346" s="18" t="s">
        <v>66</v>
      </c>
      <c r="V346" s="18">
        <v>38891.32</v>
      </c>
      <c r="W346" s="18">
        <v>561.9698</v>
      </c>
      <c r="X346" s="18">
        <v>7.2837337473E10</v>
      </c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8" t="s">
        <v>66</v>
      </c>
      <c r="T347" s="18" t="s">
        <v>69</v>
      </c>
      <c r="U347" s="18" t="s">
        <v>66</v>
      </c>
      <c r="V347" s="18">
        <v>2629.56</v>
      </c>
      <c r="W347" s="18">
        <v>706.8772</v>
      </c>
      <c r="X347" s="18">
        <v>6.194631366E9</v>
      </c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8" t="s">
        <v>66</v>
      </c>
      <c r="T348" s="18" t="s">
        <v>70</v>
      </c>
      <c r="U348" s="18" t="s">
        <v>72</v>
      </c>
      <c r="V348" s="18">
        <v>62735.56</v>
      </c>
      <c r="W348" s="18">
        <v>255.0633</v>
      </c>
      <c r="X348" s="18">
        <v>5.3327365247E10</v>
      </c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8" t="s">
        <v>66</v>
      </c>
      <c r="T349" s="18" t="s">
        <v>71</v>
      </c>
      <c r="U349" s="18" t="s">
        <v>66</v>
      </c>
      <c r="V349" s="18">
        <v>37672.04</v>
      </c>
      <c r="W349" s="18">
        <v>1278.2377</v>
      </c>
      <c r="X349" s="79">
        <v>1.60479E11</v>
      </c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8" t="s">
        <v>66</v>
      </c>
      <c r="T350" s="18" t="s">
        <v>72</v>
      </c>
      <c r="U350" s="18" t="s">
        <v>72</v>
      </c>
      <c r="V350" s="18">
        <v>19963.08</v>
      </c>
      <c r="W350" s="18">
        <v>0.0</v>
      </c>
      <c r="X350" s="18">
        <v>0.0</v>
      </c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8" t="s">
        <v>66</v>
      </c>
      <c r="T351" s="18" t="s">
        <v>73</v>
      </c>
      <c r="U351" s="18" t="s">
        <v>72</v>
      </c>
      <c r="V351" s="18">
        <v>21429.12</v>
      </c>
      <c r="W351" s="18">
        <v>505.2914</v>
      </c>
      <c r="X351" s="18">
        <v>3.6085661975E10</v>
      </c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8" t="s">
        <v>66</v>
      </c>
      <c r="T352" s="18" t="s">
        <v>74</v>
      </c>
      <c r="U352" s="18" t="s">
        <v>72</v>
      </c>
      <c r="V352" s="18">
        <v>1457.88</v>
      </c>
      <c r="W352" s="18">
        <v>467.0651</v>
      </c>
      <c r="X352" s="18">
        <v>2.269277437E9</v>
      </c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8" t="s">
        <v>66</v>
      </c>
      <c r="T353" s="18" t="s">
        <v>75</v>
      </c>
      <c r="U353" s="18" t="s">
        <v>72</v>
      </c>
      <c r="V353" s="18">
        <v>11890.32</v>
      </c>
      <c r="W353" s="18">
        <v>1526.6262</v>
      </c>
      <c r="X353" s="18">
        <v>6.0494328522E10</v>
      </c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8" t="s">
        <v>67</v>
      </c>
      <c r="T354" s="18" t="s">
        <v>31</v>
      </c>
      <c r="U354" s="18" t="s">
        <v>33</v>
      </c>
      <c r="V354" s="18">
        <v>1396.36</v>
      </c>
      <c r="W354" s="18">
        <v>1362.6505</v>
      </c>
      <c r="X354" s="18">
        <v>8.095918434E9</v>
      </c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8" t="s">
        <v>67</v>
      </c>
      <c r="T355" s="18" t="s">
        <v>34</v>
      </c>
      <c r="U355" s="18" t="s">
        <v>33</v>
      </c>
      <c r="V355" s="18">
        <v>2918.05</v>
      </c>
      <c r="W355" s="18">
        <v>966.6815</v>
      </c>
      <c r="X355" s="18">
        <v>1.2002186533E10</v>
      </c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8" t="s">
        <v>67</v>
      </c>
      <c r="T356" s="18" t="s">
        <v>36</v>
      </c>
      <c r="U356" s="18" t="s">
        <v>33</v>
      </c>
      <c r="V356" s="18">
        <v>2785.32</v>
      </c>
      <c r="W356" s="18">
        <v>397.4792</v>
      </c>
      <c r="X356" s="18">
        <v>4.710572662E9</v>
      </c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8" t="s">
        <v>67</v>
      </c>
      <c r="T357" s="18" t="s">
        <v>32</v>
      </c>
      <c r="U357" s="18" t="s">
        <v>33</v>
      </c>
      <c r="V357" s="18">
        <v>3971.08</v>
      </c>
      <c r="W357" s="18">
        <v>525.4495</v>
      </c>
      <c r="X357" s="18">
        <v>8.878178897E9</v>
      </c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8" t="s">
        <v>67</v>
      </c>
      <c r="T358" s="18" t="s">
        <v>38</v>
      </c>
      <c r="U358" s="18" t="s">
        <v>33</v>
      </c>
      <c r="V358" s="18">
        <v>568.56</v>
      </c>
      <c r="W358" s="18">
        <v>176.4669</v>
      </c>
      <c r="X358" s="18">
        <v>4.26897737E8</v>
      </c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8" t="s">
        <v>67</v>
      </c>
      <c r="T359" s="18" t="s">
        <v>33</v>
      </c>
      <c r="U359" s="18" t="s">
        <v>33</v>
      </c>
      <c r="V359" s="18">
        <v>5332.24</v>
      </c>
      <c r="W359" s="18">
        <v>0.0</v>
      </c>
      <c r="X359" s="18">
        <v>0.0</v>
      </c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8" t="s">
        <v>67</v>
      </c>
      <c r="T360" s="18" t="s">
        <v>39</v>
      </c>
      <c r="U360" s="18" t="s">
        <v>35</v>
      </c>
      <c r="V360" s="18">
        <v>4122.0</v>
      </c>
      <c r="W360" s="18">
        <v>186.18</v>
      </c>
      <c r="X360" s="18">
        <v>3.265316114E9</v>
      </c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8" t="s">
        <v>67</v>
      </c>
      <c r="T361" s="18" t="s">
        <v>35</v>
      </c>
      <c r="U361" s="18" t="s">
        <v>35</v>
      </c>
      <c r="V361" s="18">
        <v>6491.48</v>
      </c>
      <c r="W361" s="18">
        <v>0.0</v>
      </c>
      <c r="X361" s="18">
        <v>0.0</v>
      </c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8" t="s">
        <v>67</v>
      </c>
      <c r="T362" s="18" t="s">
        <v>40</v>
      </c>
      <c r="U362" s="18" t="s">
        <v>35</v>
      </c>
      <c r="V362" s="18">
        <v>1756.35</v>
      </c>
      <c r="W362" s="18">
        <v>403.0102</v>
      </c>
      <c r="X362" s="18">
        <v>3.011697662E9</v>
      </c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8" t="s">
        <v>67</v>
      </c>
      <c r="T363" s="18" t="s">
        <v>37</v>
      </c>
      <c r="U363" s="18" t="s">
        <v>63</v>
      </c>
      <c r="V363" s="18">
        <v>4117.08</v>
      </c>
      <c r="W363" s="18">
        <v>478.0437</v>
      </c>
      <c r="X363" s="18">
        <v>9.780908874E9</v>
      </c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8" t="s">
        <v>67</v>
      </c>
      <c r="T364" s="18" t="s">
        <v>62</v>
      </c>
      <c r="U364" s="18" t="s">
        <v>33</v>
      </c>
      <c r="V364" s="18">
        <v>3476.84</v>
      </c>
      <c r="W364" s="18">
        <v>541.8429</v>
      </c>
      <c r="X364" s="18">
        <v>8.015717119E9</v>
      </c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8" t="s">
        <v>67</v>
      </c>
      <c r="T365" s="18" t="s">
        <v>64</v>
      </c>
      <c r="U365" s="18" t="s">
        <v>63</v>
      </c>
      <c r="V365" s="18">
        <v>14338.28</v>
      </c>
      <c r="W365" s="18">
        <v>197.4577</v>
      </c>
      <c r="X365" s="18">
        <v>1.4069976176E10</v>
      </c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8" t="s">
        <v>67</v>
      </c>
      <c r="T366" s="18" t="s">
        <v>63</v>
      </c>
      <c r="U366" s="18" t="s">
        <v>63</v>
      </c>
      <c r="V366" s="18">
        <v>16594.92</v>
      </c>
      <c r="W366" s="18">
        <v>0.0</v>
      </c>
      <c r="X366" s="18">
        <v>0.0</v>
      </c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8" t="s">
        <v>67</v>
      </c>
      <c r="T367" s="18" t="s">
        <v>65</v>
      </c>
      <c r="U367" s="18" t="s">
        <v>66</v>
      </c>
      <c r="V367" s="18">
        <v>1577.0</v>
      </c>
      <c r="W367" s="18">
        <v>79.8162</v>
      </c>
      <c r="X367" s="18">
        <v>4.1948007E8</v>
      </c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8" t="s">
        <v>67</v>
      </c>
      <c r="T368" s="18" t="s">
        <v>66</v>
      </c>
      <c r="U368" s="18" t="s">
        <v>66</v>
      </c>
      <c r="V368" s="18">
        <v>20220.08</v>
      </c>
      <c r="W368" s="18">
        <v>0.0</v>
      </c>
      <c r="X368" s="18">
        <v>0.0</v>
      </c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8" t="s">
        <v>67</v>
      </c>
      <c r="T369" s="18" t="s">
        <v>68</v>
      </c>
      <c r="U369" s="18" t="s">
        <v>66</v>
      </c>
      <c r="V369" s="18">
        <v>22867.04</v>
      </c>
      <c r="W369" s="18">
        <v>561.9698</v>
      </c>
      <c r="X369" s="18">
        <v>4.2826376412E10</v>
      </c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8" t="s">
        <v>67</v>
      </c>
      <c r="T370" s="18" t="s">
        <v>69</v>
      </c>
      <c r="U370" s="18" t="s">
        <v>66</v>
      </c>
      <c r="V370" s="18">
        <v>1298.04</v>
      </c>
      <c r="W370" s="18">
        <v>706.8772</v>
      </c>
      <c r="X370" s="18">
        <v>3.057880139E9</v>
      </c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8" t="s">
        <v>67</v>
      </c>
      <c r="T371" s="18" t="s">
        <v>70</v>
      </c>
      <c r="U371" s="18" t="s">
        <v>72</v>
      </c>
      <c r="V371" s="18">
        <v>3307.12</v>
      </c>
      <c r="W371" s="18">
        <v>255.0633</v>
      </c>
      <c r="X371" s="18">
        <v>2.811164771E9</v>
      </c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8" t="s">
        <v>67</v>
      </c>
      <c r="T372" s="18" t="s">
        <v>71</v>
      </c>
      <c r="U372" s="18" t="s">
        <v>66</v>
      </c>
      <c r="V372" s="18">
        <v>5121.96</v>
      </c>
      <c r="W372" s="18">
        <v>1278.2377</v>
      </c>
      <c r="X372" s="18">
        <v>2.1819068116E10</v>
      </c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8" t="s">
        <v>67</v>
      </c>
      <c r="T373" s="18" t="s">
        <v>72</v>
      </c>
      <c r="U373" s="18" t="s">
        <v>72</v>
      </c>
      <c r="V373" s="18">
        <v>2483.84</v>
      </c>
      <c r="W373" s="18">
        <v>0.0</v>
      </c>
      <c r="X373" s="18">
        <v>0.0</v>
      </c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8" t="s">
        <v>67</v>
      </c>
      <c r="T374" s="18" t="s">
        <v>73</v>
      </c>
      <c r="U374" s="18" t="s">
        <v>72</v>
      </c>
      <c r="V374" s="18">
        <v>7072.6</v>
      </c>
      <c r="W374" s="18">
        <v>505.2914</v>
      </c>
      <c r="X374" s="18">
        <v>1.190993624E10</v>
      </c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8" t="s">
        <v>67</v>
      </c>
      <c r="T375" s="18" t="s">
        <v>74</v>
      </c>
      <c r="U375" s="18" t="s">
        <v>72</v>
      </c>
      <c r="V375" s="18">
        <v>323.16</v>
      </c>
      <c r="W375" s="18">
        <v>467.0651</v>
      </c>
      <c r="X375" s="18">
        <v>5.03017873E8</v>
      </c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8" t="s">
        <v>67</v>
      </c>
      <c r="T376" s="18" t="s">
        <v>75</v>
      </c>
      <c r="U376" s="18" t="s">
        <v>72</v>
      </c>
      <c r="V376" s="18">
        <v>2754.2</v>
      </c>
      <c r="W376" s="18">
        <v>1526.6262</v>
      </c>
      <c r="X376" s="18">
        <v>1.4012531169E10</v>
      </c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8" t="s">
        <v>68</v>
      </c>
      <c r="T377" s="18" t="s">
        <v>31</v>
      </c>
      <c r="U377" s="18" t="s">
        <v>33</v>
      </c>
      <c r="V377" s="18">
        <v>9557.92</v>
      </c>
      <c r="W377" s="18">
        <v>1362.6505</v>
      </c>
      <c r="X377" s="18">
        <v>5.5415609669E10</v>
      </c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8" t="s">
        <v>68</v>
      </c>
      <c r="T378" s="18" t="s">
        <v>34</v>
      </c>
      <c r="U378" s="18" t="s">
        <v>33</v>
      </c>
      <c r="V378" s="18">
        <v>19168.52</v>
      </c>
      <c r="W378" s="18">
        <v>966.6815</v>
      </c>
      <c r="X378" s="18">
        <v>7.8841744521E10</v>
      </c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8" t="s">
        <v>68</v>
      </c>
      <c r="T379" s="18" t="s">
        <v>36</v>
      </c>
      <c r="U379" s="18" t="s">
        <v>33</v>
      </c>
      <c r="V379" s="18">
        <v>19779.84</v>
      </c>
      <c r="W379" s="18">
        <v>397.4792</v>
      </c>
      <c r="X379" s="18">
        <v>3.3451945757E10</v>
      </c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8" t="s">
        <v>68</v>
      </c>
      <c r="T380" s="18" t="s">
        <v>32</v>
      </c>
      <c r="U380" s="18" t="s">
        <v>33</v>
      </c>
      <c r="V380" s="18">
        <v>23145.6</v>
      </c>
      <c r="W380" s="18">
        <v>525.4495</v>
      </c>
      <c r="X380" s="18">
        <v>5.1746823905E10</v>
      </c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8" t="s">
        <v>68</v>
      </c>
      <c r="T381" s="18" t="s">
        <v>38</v>
      </c>
      <c r="U381" s="18" t="s">
        <v>33</v>
      </c>
      <c r="V381" s="18">
        <v>3814.56</v>
      </c>
      <c r="W381" s="18">
        <v>176.4669</v>
      </c>
      <c r="X381" s="18">
        <v>2.864125214E9</v>
      </c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8" t="s">
        <v>68</v>
      </c>
      <c r="T382" s="18" t="s">
        <v>33</v>
      </c>
      <c r="U382" s="18" t="s">
        <v>33</v>
      </c>
      <c r="V382" s="18">
        <v>34534.68</v>
      </c>
      <c r="W382" s="18">
        <v>0.0</v>
      </c>
      <c r="X382" s="18">
        <v>0.0</v>
      </c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8" t="s">
        <v>68</v>
      </c>
      <c r="T383" s="18" t="s">
        <v>39</v>
      </c>
      <c r="U383" s="18" t="s">
        <v>35</v>
      </c>
      <c r="V383" s="18">
        <v>29904.72</v>
      </c>
      <c r="W383" s="18">
        <v>186.18</v>
      </c>
      <c r="X383" s="18">
        <v>2.3689559462E10</v>
      </c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8" t="s">
        <v>68</v>
      </c>
      <c r="T384" s="18" t="s">
        <v>35</v>
      </c>
      <c r="U384" s="18" t="s">
        <v>35</v>
      </c>
      <c r="V384" s="18">
        <v>42490.8</v>
      </c>
      <c r="W384" s="18">
        <v>0.0</v>
      </c>
      <c r="X384" s="18">
        <v>0.0</v>
      </c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8" t="s">
        <v>68</v>
      </c>
      <c r="T385" s="18" t="s">
        <v>40</v>
      </c>
      <c r="U385" s="18" t="s">
        <v>35</v>
      </c>
      <c r="V385" s="18">
        <v>11067.68</v>
      </c>
      <c r="W385" s="18">
        <v>403.0102</v>
      </c>
      <c r="X385" s="18">
        <v>1.8978282222E10</v>
      </c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8" t="s">
        <v>68</v>
      </c>
      <c r="T386" s="18" t="s">
        <v>37</v>
      </c>
      <c r="U386" s="18" t="s">
        <v>63</v>
      </c>
      <c r="V386" s="18">
        <v>26872.2</v>
      </c>
      <c r="W386" s="18">
        <v>478.0437</v>
      </c>
      <c r="X386" s="18">
        <v>6.3840036979E10</v>
      </c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8" t="s">
        <v>68</v>
      </c>
      <c r="T387" s="18" t="s">
        <v>62</v>
      </c>
      <c r="U387" s="18" t="s">
        <v>33</v>
      </c>
      <c r="V387" s="18">
        <v>23459.52</v>
      </c>
      <c r="W387" s="18">
        <v>541.8429</v>
      </c>
      <c r="X387" s="18">
        <v>5.4084995593E10</v>
      </c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8" t="s">
        <v>68</v>
      </c>
      <c r="T388" s="18" t="s">
        <v>64</v>
      </c>
      <c r="U388" s="18" t="s">
        <v>63</v>
      </c>
      <c r="V388" s="18">
        <v>94997.36</v>
      </c>
      <c r="W388" s="18">
        <v>197.4577</v>
      </c>
      <c r="X388" s="18">
        <v>9.3219730121E10</v>
      </c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8" t="s">
        <v>68</v>
      </c>
      <c r="T389" s="18" t="s">
        <v>63</v>
      </c>
      <c r="U389" s="18" t="s">
        <v>63</v>
      </c>
      <c r="V389" s="18">
        <v>109456.16</v>
      </c>
      <c r="W389" s="18">
        <v>0.0</v>
      </c>
      <c r="X389" s="18">
        <v>0.0</v>
      </c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8" t="s">
        <v>68</v>
      </c>
      <c r="T390" s="18" t="s">
        <v>65</v>
      </c>
      <c r="U390" s="18" t="s">
        <v>66</v>
      </c>
      <c r="V390" s="18">
        <v>10424.4</v>
      </c>
      <c r="W390" s="18">
        <v>79.8162</v>
      </c>
      <c r="X390" s="18">
        <v>2.772877642E9</v>
      </c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8" t="s">
        <v>68</v>
      </c>
      <c r="T391" s="18" t="s">
        <v>66</v>
      </c>
      <c r="U391" s="18" t="s">
        <v>66</v>
      </c>
      <c r="V391" s="18">
        <v>140325.08</v>
      </c>
      <c r="W391" s="18">
        <v>0.0</v>
      </c>
      <c r="X391" s="18">
        <v>0.0</v>
      </c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8" t="s">
        <v>68</v>
      </c>
      <c r="T392" s="18" t="s">
        <v>67</v>
      </c>
      <c r="U392" s="18" t="s">
        <v>66</v>
      </c>
      <c r="V392" s="18">
        <v>38365.36</v>
      </c>
      <c r="W392" s="18">
        <v>294.9322</v>
      </c>
      <c r="X392" s="18">
        <v>3.7709418759E10</v>
      </c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8" t="s">
        <v>68</v>
      </c>
      <c r="T393" s="18" t="s">
        <v>69</v>
      </c>
      <c r="U393" s="18" t="s">
        <v>66</v>
      </c>
      <c r="V393" s="18">
        <v>10674.96</v>
      </c>
      <c r="W393" s="18">
        <v>706.8772</v>
      </c>
      <c r="X393" s="18">
        <v>2.5147721311E10</v>
      </c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8" t="s">
        <v>68</v>
      </c>
      <c r="T394" s="18" t="s">
        <v>70</v>
      </c>
      <c r="U394" s="18" t="s">
        <v>72</v>
      </c>
      <c r="V394" s="18">
        <v>34343.48</v>
      </c>
      <c r="W394" s="18">
        <v>255.0633</v>
      </c>
      <c r="X394" s="18">
        <v>2.9193129093E10</v>
      </c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8" t="s">
        <v>68</v>
      </c>
      <c r="T395" s="18" t="s">
        <v>71</v>
      </c>
      <c r="U395" s="18" t="s">
        <v>63</v>
      </c>
      <c r="V395" s="18">
        <v>42197.96</v>
      </c>
      <c r="W395" s="18">
        <v>1250.3899</v>
      </c>
      <c r="X395" s="79">
        <v>1.75843E11</v>
      </c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8" t="s">
        <v>68</v>
      </c>
      <c r="T396" s="18" t="s">
        <v>72</v>
      </c>
      <c r="U396" s="18" t="s">
        <v>72</v>
      </c>
      <c r="V396" s="18">
        <v>18615.8</v>
      </c>
      <c r="W396" s="18">
        <v>0.0</v>
      </c>
      <c r="X396" s="18">
        <v>0.0</v>
      </c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8" t="s">
        <v>68</v>
      </c>
      <c r="T397" s="18" t="s">
        <v>73</v>
      </c>
      <c r="U397" s="18" t="s">
        <v>72</v>
      </c>
      <c r="V397" s="18">
        <v>39774.6</v>
      </c>
      <c r="W397" s="18">
        <v>505.2914</v>
      </c>
      <c r="X397" s="18">
        <v>6.6978614651E10</v>
      </c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8" t="s">
        <v>68</v>
      </c>
      <c r="T398" s="18" t="s">
        <v>74</v>
      </c>
      <c r="U398" s="18" t="s">
        <v>72</v>
      </c>
      <c r="V398" s="18">
        <v>2650.96</v>
      </c>
      <c r="W398" s="18">
        <v>467.0651</v>
      </c>
      <c r="X398" s="18">
        <v>4.126377833E9</v>
      </c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8" t="s">
        <v>68</v>
      </c>
      <c r="T399" s="18" t="s">
        <v>75</v>
      </c>
      <c r="U399" s="18" t="s">
        <v>72</v>
      </c>
      <c r="V399" s="18">
        <v>24102.48</v>
      </c>
      <c r="W399" s="18">
        <v>1526.6262</v>
      </c>
      <c r="X399" s="79">
        <v>1.22626E11</v>
      </c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8" t="s">
        <v>69</v>
      </c>
      <c r="T400" s="18" t="s">
        <v>31</v>
      </c>
      <c r="U400" s="18" t="s">
        <v>33</v>
      </c>
      <c r="V400" s="18">
        <v>532.56</v>
      </c>
      <c r="W400" s="18">
        <v>1362.6505</v>
      </c>
      <c r="X400" s="18">
        <v>3.087715432E9</v>
      </c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8" t="s">
        <v>69</v>
      </c>
      <c r="T401" s="18" t="s">
        <v>34</v>
      </c>
      <c r="U401" s="18" t="s">
        <v>33</v>
      </c>
      <c r="V401" s="18">
        <v>3138.76</v>
      </c>
      <c r="W401" s="18">
        <v>966.6815</v>
      </c>
      <c r="X401" s="18">
        <v>1.2909985436E10</v>
      </c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8" t="s">
        <v>69</v>
      </c>
      <c r="T402" s="18" t="s">
        <v>36</v>
      </c>
      <c r="U402" s="18" t="s">
        <v>33</v>
      </c>
      <c r="V402" s="18">
        <v>674.56</v>
      </c>
      <c r="W402" s="18">
        <v>397.4792</v>
      </c>
      <c r="X402" s="18">
        <v>1.140825433E9</v>
      </c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8" t="s">
        <v>69</v>
      </c>
      <c r="T403" s="18" t="s">
        <v>32</v>
      </c>
      <c r="U403" s="18" t="s">
        <v>33</v>
      </c>
      <c r="V403" s="18">
        <v>1413.28</v>
      </c>
      <c r="W403" s="18">
        <v>525.4495</v>
      </c>
      <c r="X403" s="18">
        <v>3.159682674E9</v>
      </c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8" t="s">
        <v>69</v>
      </c>
      <c r="T404" s="18" t="s">
        <v>38</v>
      </c>
      <c r="U404" s="18" t="s">
        <v>33</v>
      </c>
      <c r="V404" s="18">
        <v>185.28</v>
      </c>
      <c r="W404" s="18">
        <v>176.4669</v>
      </c>
      <c r="X404" s="18">
        <v>1.39115683E8</v>
      </c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8" t="s">
        <v>69</v>
      </c>
      <c r="T405" s="18" t="s">
        <v>33</v>
      </c>
      <c r="U405" s="18" t="s">
        <v>33</v>
      </c>
      <c r="V405" s="18">
        <v>1969.64</v>
      </c>
      <c r="W405" s="18">
        <v>0.0</v>
      </c>
      <c r="X405" s="18">
        <v>0.0</v>
      </c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8" t="s">
        <v>69</v>
      </c>
      <c r="T406" s="18" t="s">
        <v>39</v>
      </c>
      <c r="U406" s="18" t="s">
        <v>35</v>
      </c>
      <c r="V406" s="18">
        <v>935.16</v>
      </c>
      <c r="W406" s="18">
        <v>186.18</v>
      </c>
      <c r="X406" s="18">
        <v>7.408037402E8</v>
      </c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8" t="s">
        <v>69</v>
      </c>
      <c r="T407" s="18" t="s">
        <v>35</v>
      </c>
      <c r="U407" s="18" t="s">
        <v>35</v>
      </c>
      <c r="V407" s="18">
        <v>2016.96</v>
      </c>
      <c r="W407" s="18">
        <v>0.0</v>
      </c>
      <c r="X407" s="18">
        <v>0.0</v>
      </c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8" t="s">
        <v>69</v>
      </c>
      <c r="T408" s="18" t="s">
        <v>40</v>
      </c>
      <c r="U408" s="18" t="s">
        <v>35</v>
      </c>
      <c r="V408" s="18">
        <v>1771.52</v>
      </c>
      <c r="W408" s="18">
        <v>403.0102</v>
      </c>
      <c r="X408" s="18">
        <v>3.037710389E9</v>
      </c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8" t="s">
        <v>69</v>
      </c>
      <c r="T409" s="18" t="s">
        <v>37</v>
      </c>
      <c r="U409" s="18" t="s">
        <v>63</v>
      </c>
      <c r="V409" s="18">
        <v>1401.6</v>
      </c>
      <c r="W409" s="18">
        <v>478.0437</v>
      </c>
      <c r="X409" s="18">
        <v>3.329768156E9</v>
      </c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8" t="s">
        <v>69</v>
      </c>
      <c r="T410" s="18" t="s">
        <v>62</v>
      </c>
      <c r="U410" s="18" t="s">
        <v>33</v>
      </c>
      <c r="V410" s="18">
        <v>1111.6</v>
      </c>
      <c r="W410" s="18">
        <v>541.8429</v>
      </c>
      <c r="X410" s="18">
        <v>2.562749839E9</v>
      </c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8" t="s">
        <v>69</v>
      </c>
      <c r="T411" s="18" t="s">
        <v>64</v>
      </c>
      <c r="U411" s="18" t="s">
        <v>63</v>
      </c>
      <c r="V411" s="18">
        <v>4000.84</v>
      </c>
      <c r="W411" s="18">
        <v>197.4577</v>
      </c>
      <c r="X411" s="18">
        <v>3.925974628E9</v>
      </c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8" t="s">
        <v>69</v>
      </c>
      <c r="T412" s="18" t="s">
        <v>63</v>
      </c>
      <c r="U412" s="18" t="s">
        <v>63</v>
      </c>
      <c r="V412" s="18">
        <v>4996.6</v>
      </c>
      <c r="W412" s="18">
        <v>0.0</v>
      </c>
      <c r="X412" s="18">
        <v>0.0</v>
      </c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8" t="s">
        <v>69</v>
      </c>
      <c r="T413" s="18" t="s">
        <v>65</v>
      </c>
      <c r="U413" s="18" t="s">
        <v>66</v>
      </c>
      <c r="V413" s="18">
        <v>434.0</v>
      </c>
      <c r="W413" s="18">
        <v>79.8162</v>
      </c>
      <c r="X413" s="18">
        <v>1.154434688E8</v>
      </c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8" t="s">
        <v>69</v>
      </c>
      <c r="T414" s="18" t="s">
        <v>66</v>
      </c>
      <c r="U414" s="18" t="s">
        <v>66</v>
      </c>
      <c r="V414" s="18">
        <v>5484.04</v>
      </c>
      <c r="W414" s="18">
        <v>0.0</v>
      </c>
      <c r="X414" s="18">
        <v>0.0</v>
      </c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8" t="s">
        <v>69</v>
      </c>
      <c r="T415" s="18" t="s">
        <v>67</v>
      </c>
      <c r="U415" s="18" t="s">
        <v>66</v>
      </c>
      <c r="V415" s="18">
        <v>1206.56</v>
      </c>
      <c r="W415" s="18">
        <v>294.9322</v>
      </c>
      <c r="X415" s="18">
        <v>1.185931171E9</v>
      </c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8" t="s">
        <v>69</v>
      </c>
      <c r="T416" s="18" t="s">
        <v>68</v>
      </c>
      <c r="U416" s="18" t="s">
        <v>66</v>
      </c>
      <c r="V416" s="18">
        <v>6022.48</v>
      </c>
      <c r="W416" s="18">
        <v>561.9698</v>
      </c>
      <c r="X416" s="18">
        <v>1.1279159673E10</v>
      </c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8" t="s">
        <v>69</v>
      </c>
      <c r="T417" s="18" t="s">
        <v>70</v>
      </c>
      <c r="U417" s="18" t="s">
        <v>72</v>
      </c>
      <c r="V417" s="18">
        <v>1003.48</v>
      </c>
      <c r="W417" s="18">
        <v>255.0633</v>
      </c>
      <c r="X417" s="18">
        <v>8.529922181E8</v>
      </c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8" t="s">
        <v>69</v>
      </c>
      <c r="T418" s="18" t="s">
        <v>71</v>
      </c>
      <c r="U418" s="18" t="s">
        <v>66</v>
      </c>
      <c r="V418" s="18">
        <v>1652.4</v>
      </c>
      <c r="W418" s="18">
        <v>1278.2377</v>
      </c>
      <c r="X418" s="18">
        <v>7.039068668E9</v>
      </c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8" t="s">
        <v>69</v>
      </c>
      <c r="T419" s="18" t="s">
        <v>72</v>
      </c>
      <c r="U419" s="18" t="s">
        <v>72</v>
      </c>
      <c r="V419" s="18">
        <v>912.72</v>
      </c>
      <c r="W419" s="18">
        <v>0.0</v>
      </c>
      <c r="X419" s="18">
        <v>0.0</v>
      </c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8" t="s">
        <v>69</v>
      </c>
      <c r="T420" s="18" t="s">
        <v>73</v>
      </c>
      <c r="U420" s="18" t="s">
        <v>72</v>
      </c>
      <c r="V420" s="18">
        <v>1423.8</v>
      </c>
      <c r="W420" s="18">
        <v>505.2914</v>
      </c>
      <c r="X420" s="18">
        <v>2.397614345E9</v>
      </c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8" t="s">
        <v>69</v>
      </c>
      <c r="T421" s="18" t="s">
        <v>74</v>
      </c>
      <c r="U421" s="18" t="s">
        <v>72</v>
      </c>
      <c r="V421" s="18">
        <v>179.76</v>
      </c>
      <c r="W421" s="18">
        <v>467.0651</v>
      </c>
      <c r="X421" s="18">
        <v>2.798071941E8</v>
      </c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8" t="s">
        <v>69</v>
      </c>
      <c r="T422" s="18" t="s">
        <v>75</v>
      </c>
      <c r="U422" s="18" t="s">
        <v>72</v>
      </c>
      <c r="V422" s="18">
        <v>1224.0</v>
      </c>
      <c r="W422" s="18">
        <v>1526.6262</v>
      </c>
      <c r="X422" s="18">
        <v>6.227339391E9</v>
      </c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8" t="s">
        <v>70</v>
      </c>
      <c r="T423" s="18" t="s">
        <v>31</v>
      </c>
      <c r="U423" s="18" t="s">
        <v>33</v>
      </c>
      <c r="V423" s="18">
        <v>2743.84</v>
      </c>
      <c r="W423" s="18">
        <v>1362.6505</v>
      </c>
      <c r="X423" s="18">
        <v>1.5908436818E10</v>
      </c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8" t="s">
        <v>70</v>
      </c>
      <c r="T424" s="18" t="s">
        <v>34</v>
      </c>
      <c r="U424" s="18" t="s">
        <v>33</v>
      </c>
      <c r="V424" s="18">
        <v>1521.99</v>
      </c>
      <c r="W424" s="18">
        <v>966.6815</v>
      </c>
      <c r="X424" s="18">
        <v>6.260073639E9</v>
      </c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8" t="s">
        <v>70</v>
      </c>
      <c r="T425" s="18" t="s">
        <v>36</v>
      </c>
      <c r="U425" s="18" t="s">
        <v>33</v>
      </c>
      <c r="V425" s="18">
        <v>1912.4</v>
      </c>
      <c r="W425" s="18">
        <v>397.4792</v>
      </c>
      <c r="X425" s="18">
        <v>3.234277985E9</v>
      </c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8" t="s">
        <v>70</v>
      </c>
      <c r="T426" s="18" t="s">
        <v>32</v>
      </c>
      <c r="U426" s="18" t="s">
        <v>33</v>
      </c>
      <c r="V426" s="18">
        <v>8370.32</v>
      </c>
      <c r="W426" s="18">
        <v>525.4495</v>
      </c>
      <c r="X426" s="18">
        <v>1.8713598916E10</v>
      </c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8" t="s">
        <v>70</v>
      </c>
      <c r="T427" s="18" t="s">
        <v>38</v>
      </c>
      <c r="U427" s="18" t="s">
        <v>33</v>
      </c>
      <c r="V427" s="18">
        <v>2901.68</v>
      </c>
      <c r="W427" s="18">
        <v>176.4669</v>
      </c>
      <c r="X427" s="18">
        <v>2.178698159E9</v>
      </c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8" t="s">
        <v>70</v>
      </c>
      <c r="T428" s="18" t="s">
        <v>33</v>
      </c>
      <c r="U428" s="18" t="s">
        <v>33</v>
      </c>
      <c r="V428" s="18">
        <v>6658.56</v>
      </c>
      <c r="W428" s="18">
        <v>0.0</v>
      </c>
      <c r="X428" s="18">
        <v>0.0</v>
      </c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8" t="s">
        <v>70</v>
      </c>
      <c r="T429" s="18" t="s">
        <v>39</v>
      </c>
      <c r="U429" s="18" t="s">
        <v>35</v>
      </c>
      <c r="V429" s="18">
        <v>2519.24</v>
      </c>
      <c r="W429" s="18">
        <v>186.18</v>
      </c>
      <c r="X429" s="18">
        <v>1.995661079E9</v>
      </c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8" t="s">
        <v>70</v>
      </c>
      <c r="T430" s="18" t="s">
        <v>35</v>
      </c>
      <c r="U430" s="18" t="s">
        <v>35</v>
      </c>
      <c r="V430" s="18">
        <v>21592.4</v>
      </c>
      <c r="W430" s="18">
        <v>0.0</v>
      </c>
      <c r="X430" s="18">
        <v>0.0</v>
      </c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8" t="s">
        <v>70</v>
      </c>
      <c r="T431" s="18" t="s">
        <v>40</v>
      </c>
      <c r="U431" s="18" t="s">
        <v>35</v>
      </c>
      <c r="V431" s="18">
        <v>2193.25</v>
      </c>
      <c r="W431" s="18">
        <v>403.0102</v>
      </c>
      <c r="X431" s="18">
        <v>3.760871066E9</v>
      </c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8" t="s">
        <v>70</v>
      </c>
      <c r="T432" s="18" t="s">
        <v>37</v>
      </c>
      <c r="U432" s="18" t="s">
        <v>63</v>
      </c>
      <c r="V432" s="18">
        <v>9437.44</v>
      </c>
      <c r="W432" s="18">
        <v>478.0437</v>
      </c>
      <c r="X432" s="18">
        <v>2.2420438914E10</v>
      </c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8" t="s">
        <v>70</v>
      </c>
      <c r="T433" s="18" t="s">
        <v>62</v>
      </c>
      <c r="U433" s="18" t="s">
        <v>33</v>
      </c>
      <c r="V433" s="18">
        <v>4805.96</v>
      </c>
      <c r="W433" s="18">
        <v>541.8429</v>
      </c>
      <c r="X433" s="18">
        <v>1.1079950716E10</v>
      </c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8" t="s">
        <v>70</v>
      </c>
      <c r="T434" s="18" t="s">
        <v>64</v>
      </c>
      <c r="U434" s="18" t="s">
        <v>63</v>
      </c>
      <c r="V434" s="18">
        <v>14625.8</v>
      </c>
      <c r="W434" s="18">
        <v>197.4577</v>
      </c>
      <c r="X434" s="18">
        <v>1.4352115983E10</v>
      </c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8" t="s">
        <v>70</v>
      </c>
      <c r="T435" s="18" t="s">
        <v>63</v>
      </c>
      <c r="U435" s="18" t="s">
        <v>63</v>
      </c>
      <c r="V435" s="18">
        <v>22212.16</v>
      </c>
      <c r="W435" s="18">
        <v>0.0</v>
      </c>
      <c r="X435" s="18">
        <v>0.0</v>
      </c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8" t="s">
        <v>70</v>
      </c>
      <c r="T436" s="18" t="s">
        <v>65</v>
      </c>
      <c r="U436" s="18" t="s">
        <v>66</v>
      </c>
      <c r="V436" s="18">
        <v>1541.6</v>
      </c>
      <c r="W436" s="18">
        <v>79.8162</v>
      </c>
      <c r="X436" s="18">
        <v>4.100637133E8</v>
      </c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8" t="s">
        <v>70</v>
      </c>
      <c r="T437" s="18" t="s">
        <v>66</v>
      </c>
      <c r="U437" s="18" t="s">
        <v>66</v>
      </c>
      <c r="V437" s="18">
        <v>16023.76</v>
      </c>
      <c r="W437" s="18">
        <v>0.0</v>
      </c>
      <c r="X437" s="18">
        <v>0.0</v>
      </c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8" t="s">
        <v>70</v>
      </c>
      <c r="T438" s="18" t="s">
        <v>67</v>
      </c>
      <c r="U438" s="18" t="s">
        <v>66</v>
      </c>
      <c r="V438" s="18">
        <v>2183.28</v>
      </c>
      <c r="W438" s="18">
        <v>294.9322</v>
      </c>
      <c r="X438" s="18">
        <v>2.145951968E9</v>
      </c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8" t="s">
        <v>70</v>
      </c>
      <c r="T439" s="18" t="s">
        <v>68</v>
      </c>
      <c r="U439" s="18" t="s">
        <v>66</v>
      </c>
      <c r="V439" s="18">
        <v>14374.04</v>
      </c>
      <c r="W439" s="18">
        <v>561.9698</v>
      </c>
      <c r="X439" s="18">
        <v>2.6920320584E10</v>
      </c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8" t="s">
        <v>70</v>
      </c>
      <c r="T440" s="18" t="s">
        <v>69</v>
      </c>
      <c r="U440" s="18" t="s">
        <v>72</v>
      </c>
      <c r="V440" s="18">
        <v>732.12</v>
      </c>
      <c r="W440" s="18">
        <v>751.3306</v>
      </c>
      <c r="X440" s="18">
        <v>1.833165774E9</v>
      </c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8" t="s">
        <v>70</v>
      </c>
      <c r="T441" s="18" t="s">
        <v>71</v>
      </c>
      <c r="U441" s="18" t="s">
        <v>72</v>
      </c>
      <c r="V441" s="18">
        <v>4569.64</v>
      </c>
      <c r="W441" s="18">
        <v>1293.3731</v>
      </c>
      <c r="X441" s="18">
        <v>1.969673327E10</v>
      </c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8" t="s">
        <v>70</v>
      </c>
      <c r="T442" s="18" t="s">
        <v>72</v>
      </c>
      <c r="U442" s="18" t="s">
        <v>72</v>
      </c>
      <c r="V442" s="18">
        <v>3067.28</v>
      </c>
      <c r="W442" s="18">
        <v>0.0</v>
      </c>
      <c r="X442" s="18">
        <v>0.0</v>
      </c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8" t="s">
        <v>70</v>
      </c>
      <c r="T443" s="18" t="s">
        <v>73</v>
      </c>
      <c r="U443" s="18" t="s">
        <v>72</v>
      </c>
      <c r="V443" s="18">
        <v>3065.12</v>
      </c>
      <c r="W443" s="18">
        <v>505.2914</v>
      </c>
      <c r="X443" s="18">
        <v>5.161522463E9</v>
      </c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8" t="s">
        <v>70</v>
      </c>
      <c r="T444" s="18" t="s">
        <v>74</v>
      </c>
      <c r="U444" s="18" t="s">
        <v>72</v>
      </c>
      <c r="V444" s="18">
        <v>294.2</v>
      </c>
      <c r="W444" s="18">
        <v>467.0651</v>
      </c>
      <c r="X444" s="18">
        <v>4.579399005E8</v>
      </c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8" t="s">
        <v>70</v>
      </c>
      <c r="T445" s="18" t="s">
        <v>75</v>
      </c>
      <c r="U445" s="18" t="s">
        <v>72</v>
      </c>
      <c r="V445" s="18">
        <v>2489.28</v>
      </c>
      <c r="W445" s="18">
        <v>1526.6262</v>
      </c>
      <c r="X445" s="18">
        <v>1.2664698856E10</v>
      </c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8" t="s">
        <v>71</v>
      </c>
      <c r="T446" s="18" t="s">
        <v>31</v>
      </c>
      <c r="U446" s="18" t="s">
        <v>33</v>
      </c>
      <c r="V446" s="18">
        <v>3915.4</v>
      </c>
      <c r="W446" s="18">
        <v>1362.6505</v>
      </c>
      <c r="X446" s="18">
        <v>2.2700993323E10</v>
      </c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8" t="s">
        <v>71</v>
      </c>
      <c r="T447" s="18" t="s">
        <v>34</v>
      </c>
      <c r="U447" s="18" t="s">
        <v>33</v>
      </c>
      <c r="V447" s="18">
        <v>3564.87</v>
      </c>
      <c r="W447" s="18">
        <v>966.6815</v>
      </c>
      <c r="X447" s="18">
        <v>1.4662611917E10</v>
      </c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8" t="s">
        <v>71</v>
      </c>
      <c r="T448" s="18" t="s">
        <v>36</v>
      </c>
      <c r="U448" s="18" t="s">
        <v>33</v>
      </c>
      <c r="V448" s="18">
        <v>8240.0</v>
      </c>
      <c r="W448" s="18">
        <v>397.4792</v>
      </c>
      <c r="X448" s="18">
        <v>1.3935604789E10</v>
      </c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8" t="s">
        <v>71</v>
      </c>
      <c r="T449" s="18" t="s">
        <v>32</v>
      </c>
      <c r="U449" s="18" t="s">
        <v>33</v>
      </c>
      <c r="V449" s="18">
        <v>7625.56</v>
      </c>
      <c r="W449" s="18">
        <v>525.4495</v>
      </c>
      <c r="X449" s="18">
        <v>1.7048532356E10</v>
      </c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8" t="s">
        <v>71</v>
      </c>
      <c r="T450" s="18" t="s">
        <v>38</v>
      </c>
      <c r="U450" s="18" t="s">
        <v>33</v>
      </c>
      <c r="V450" s="18">
        <v>1786.0</v>
      </c>
      <c r="W450" s="18">
        <v>176.4669</v>
      </c>
      <c r="X450" s="18">
        <v>1.341000701E9</v>
      </c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8" t="s">
        <v>71</v>
      </c>
      <c r="T451" s="18" t="s">
        <v>33</v>
      </c>
      <c r="U451" s="18" t="s">
        <v>33</v>
      </c>
      <c r="V451" s="18">
        <v>13844.44</v>
      </c>
      <c r="W451" s="18">
        <v>0.0</v>
      </c>
      <c r="X451" s="18">
        <v>0.0</v>
      </c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8" t="s">
        <v>71</v>
      </c>
      <c r="T452" s="18" t="s">
        <v>39</v>
      </c>
      <c r="U452" s="18" t="s">
        <v>35</v>
      </c>
      <c r="V452" s="18">
        <v>9905.68</v>
      </c>
      <c r="W452" s="18">
        <v>186.18</v>
      </c>
      <c r="X452" s="18">
        <v>7.846961796E9</v>
      </c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8" t="s">
        <v>71</v>
      </c>
      <c r="T453" s="18" t="s">
        <v>35</v>
      </c>
      <c r="U453" s="18" t="s">
        <v>35</v>
      </c>
      <c r="V453" s="18">
        <v>19429.04</v>
      </c>
      <c r="W453" s="18">
        <v>0.0</v>
      </c>
      <c r="X453" s="18">
        <v>0.0</v>
      </c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8" t="s">
        <v>71</v>
      </c>
      <c r="T454" s="18" t="s">
        <v>40</v>
      </c>
      <c r="U454" s="18" t="s">
        <v>35</v>
      </c>
      <c r="V454" s="18">
        <v>4373.53</v>
      </c>
      <c r="W454" s="18">
        <v>403.0102</v>
      </c>
      <c r="X454" s="18">
        <v>7.499501851E9</v>
      </c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8" t="s">
        <v>71</v>
      </c>
      <c r="T455" s="18" t="s">
        <v>37</v>
      </c>
      <c r="U455" s="18" t="s">
        <v>63</v>
      </c>
      <c r="V455" s="18">
        <v>10738.48</v>
      </c>
      <c r="W455" s="18">
        <v>478.0437</v>
      </c>
      <c r="X455" s="18">
        <v>2.5511307608E10</v>
      </c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8" t="s">
        <v>71</v>
      </c>
      <c r="T456" s="18" t="s">
        <v>62</v>
      </c>
      <c r="U456" s="18" t="s">
        <v>33</v>
      </c>
      <c r="V456" s="18">
        <v>10047.88</v>
      </c>
      <c r="W456" s="18">
        <v>541.8429</v>
      </c>
      <c r="X456" s="18">
        <v>2.3164989971E10</v>
      </c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8" t="s">
        <v>71</v>
      </c>
      <c r="T457" s="18" t="s">
        <v>64</v>
      </c>
      <c r="U457" s="18" t="s">
        <v>63</v>
      </c>
      <c r="V457" s="18">
        <v>52584.88</v>
      </c>
      <c r="W457" s="18">
        <v>197.4577</v>
      </c>
      <c r="X457" s="18">
        <v>5.1600889983E10</v>
      </c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8" t="s">
        <v>71</v>
      </c>
      <c r="T458" s="18" t="s">
        <v>63</v>
      </c>
      <c r="U458" s="18" t="s">
        <v>63</v>
      </c>
      <c r="V458" s="18">
        <v>54368.68</v>
      </c>
      <c r="W458" s="18">
        <v>0.0</v>
      </c>
      <c r="X458" s="18">
        <v>0.0</v>
      </c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8" t="s">
        <v>71</v>
      </c>
      <c r="T459" s="18" t="s">
        <v>65</v>
      </c>
      <c r="U459" s="18" t="s">
        <v>66</v>
      </c>
      <c r="V459" s="18">
        <v>5501.44</v>
      </c>
      <c r="W459" s="18">
        <v>79.8162</v>
      </c>
      <c r="X459" s="18">
        <v>1.463376307E9</v>
      </c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8" t="s">
        <v>71</v>
      </c>
      <c r="T460" s="18" t="s">
        <v>66</v>
      </c>
      <c r="U460" s="18" t="s">
        <v>66</v>
      </c>
      <c r="V460" s="18">
        <v>69955.92</v>
      </c>
      <c r="W460" s="18">
        <v>0.0</v>
      </c>
      <c r="X460" s="18">
        <v>0.0</v>
      </c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8" t="s">
        <v>71</v>
      </c>
      <c r="T461" s="18" t="s">
        <v>67</v>
      </c>
      <c r="U461" s="18" t="s">
        <v>66</v>
      </c>
      <c r="V461" s="18">
        <v>4856.16</v>
      </c>
      <c r="W461" s="18">
        <v>294.9322</v>
      </c>
      <c r="X461" s="18">
        <v>4.773133134E9</v>
      </c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8" t="s">
        <v>71</v>
      </c>
      <c r="T462" s="18" t="s">
        <v>68</v>
      </c>
      <c r="U462" s="18" t="s">
        <v>63</v>
      </c>
      <c r="V462" s="18">
        <v>25965.12</v>
      </c>
      <c r="W462" s="18">
        <v>573.6388</v>
      </c>
      <c r="X462" s="18">
        <v>4.9638342692E10</v>
      </c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8" t="s">
        <v>71</v>
      </c>
      <c r="T463" s="18" t="s">
        <v>69</v>
      </c>
      <c r="U463" s="18" t="s">
        <v>66</v>
      </c>
      <c r="V463" s="18">
        <v>1582.48</v>
      </c>
      <c r="W463" s="18">
        <v>706.8772</v>
      </c>
      <c r="X463" s="18">
        <v>3.72795458E9</v>
      </c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8" t="s">
        <v>71</v>
      </c>
      <c r="T464" s="18" t="s">
        <v>70</v>
      </c>
      <c r="U464" s="18" t="s">
        <v>72</v>
      </c>
      <c r="V464" s="18">
        <v>6841.6</v>
      </c>
      <c r="W464" s="18">
        <v>255.0633</v>
      </c>
      <c r="X464" s="18">
        <v>5.815593295E9</v>
      </c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8" t="s">
        <v>71</v>
      </c>
      <c r="T465" s="18" t="s">
        <v>72</v>
      </c>
      <c r="U465" s="18" t="s">
        <v>72</v>
      </c>
      <c r="V465" s="18">
        <v>13174.6</v>
      </c>
      <c r="W465" s="18">
        <v>0.0</v>
      </c>
      <c r="X465" s="18">
        <v>0.0</v>
      </c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8" t="s">
        <v>71</v>
      </c>
      <c r="T466" s="18" t="s">
        <v>73</v>
      </c>
      <c r="U466" s="18" t="s">
        <v>72</v>
      </c>
      <c r="V466" s="18">
        <v>9211.32</v>
      </c>
      <c r="W466" s="18">
        <v>505.2914</v>
      </c>
      <c r="X466" s="18">
        <v>1.5511443301E10</v>
      </c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8" t="s">
        <v>71</v>
      </c>
      <c r="T467" s="18" t="s">
        <v>74</v>
      </c>
      <c r="U467" s="18" t="s">
        <v>72</v>
      </c>
      <c r="V467" s="18">
        <v>1167.72</v>
      </c>
      <c r="W467" s="18">
        <v>467.0651</v>
      </c>
      <c r="X467" s="18">
        <v>1.817626039E9</v>
      </c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8" t="s">
        <v>71</v>
      </c>
      <c r="T468" s="18" t="s">
        <v>75</v>
      </c>
      <c r="U468" s="18" t="s">
        <v>72</v>
      </c>
      <c r="V468" s="18">
        <v>13688.84</v>
      </c>
      <c r="W468" s="18">
        <v>1526.6262</v>
      </c>
      <c r="X468" s="18">
        <v>6.9644650778E10</v>
      </c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8" t="s">
        <v>72</v>
      </c>
      <c r="T469" s="18" t="s">
        <v>31</v>
      </c>
      <c r="U469" s="18" t="s">
        <v>33</v>
      </c>
      <c r="V469" s="18">
        <v>3298.92</v>
      </c>
      <c r="W469" s="18">
        <v>1362.6505</v>
      </c>
      <c r="X469" s="18">
        <v>1.9126720359E10</v>
      </c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8" t="s">
        <v>72</v>
      </c>
      <c r="T470" s="18" t="s">
        <v>34</v>
      </c>
      <c r="U470" s="18" t="s">
        <v>33</v>
      </c>
      <c r="V470" s="18">
        <v>1679.63</v>
      </c>
      <c r="W470" s="18">
        <v>966.6815</v>
      </c>
      <c r="X470" s="18">
        <v>6.908460296E9</v>
      </c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8" t="s">
        <v>72</v>
      </c>
      <c r="T471" s="18" t="s">
        <v>36</v>
      </c>
      <c r="U471" s="18" t="s">
        <v>33</v>
      </c>
      <c r="V471" s="18">
        <v>2857.96</v>
      </c>
      <c r="W471" s="18">
        <v>397.4792</v>
      </c>
      <c r="X471" s="18">
        <v>4.833422459E9</v>
      </c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8" t="s">
        <v>72</v>
      </c>
      <c r="T472" s="18" t="s">
        <v>32</v>
      </c>
      <c r="U472" s="18" t="s">
        <v>33</v>
      </c>
      <c r="V472" s="18">
        <v>5676.84</v>
      </c>
      <c r="W472" s="18">
        <v>525.4495</v>
      </c>
      <c r="X472" s="18">
        <v>1.2691761709E10</v>
      </c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8" t="s">
        <v>72</v>
      </c>
      <c r="T473" s="18" t="s">
        <v>38</v>
      </c>
      <c r="U473" s="18" t="s">
        <v>33</v>
      </c>
      <c r="V473" s="18">
        <v>1302.4</v>
      </c>
      <c r="W473" s="18">
        <v>176.4669</v>
      </c>
      <c r="X473" s="18">
        <v>9.778943518E8</v>
      </c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8" t="s">
        <v>72</v>
      </c>
      <c r="T474" s="18" t="s">
        <v>33</v>
      </c>
      <c r="U474" s="18" t="s">
        <v>33</v>
      </c>
      <c r="V474" s="18">
        <v>9510.24</v>
      </c>
      <c r="W474" s="18">
        <v>0.0</v>
      </c>
      <c r="X474" s="18">
        <v>0.0</v>
      </c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8" t="s">
        <v>72</v>
      </c>
      <c r="T475" s="18" t="s">
        <v>39</v>
      </c>
      <c r="U475" s="18" t="s">
        <v>35</v>
      </c>
      <c r="V475" s="18">
        <v>3415.52</v>
      </c>
      <c r="W475" s="18">
        <v>186.18</v>
      </c>
      <c r="X475" s="18">
        <v>2.705665331E9</v>
      </c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8" t="s">
        <v>72</v>
      </c>
      <c r="T476" s="18" t="s">
        <v>35</v>
      </c>
      <c r="U476" s="18" t="s">
        <v>35</v>
      </c>
      <c r="V476" s="18">
        <v>15738.24</v>
      </c>
      <c r="W476" s="18">
        <v>0.0</v>
      </c>
      <c r="X476" s="18">
        <v>0.0</v>
      </c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8" t="s">
        <v>72</v>
      </c>
      <c r="T477" s="18" t="s">
        <v>40</v>
      </c>
      <c r="U477" s="18" t="s">
        <v>35</v>
      </c>
      <c r="V477" s="18">
        <v>3637.17</v>
      </c>
      <c r="W477" s="18">
        <v>403.0102</v>
      </c>
      <c r="X477" s="18">
        <v>6.236830009E9</v>
      </c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8" t="s">
        <v>72</v>
      </c>
      <c r="T478" s="18" t="s">
        <v>37</v>
      </c>
      <c r="U478" s="18" t="s">
        <v>63</v>
      </c>
      <c r="V478" s="18">
        <v>9738.96</v>
      </c>
      <c r="W478" s="18">
        <v>478.0437</v>
      </c>
      <c r="X478" s="18">
        <v>2.3136757189E10</v>
      </c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8" t="s">
        <v>72</v>
      </c>
      <c r="T479" s="18" t="s">
        <v>62</v>
      </c>
      <c r="U479" s="18" t="s">
        <v>33</v>
      </c>
      <c r="V479" s="18">
        <v>7137.88</v>
      </c>
      <c r="W479" s="18">
        <v>541.8429</v>
      </c>
      <c r="X479" s="18">
        <v>1.6456100054E10</v>
      </c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8" t="s">
        <v>72</v>
      </c>
      <c r="T480" s="18" t="s">
        <v>64</v>
      </c>
      <c r="U480" s="18" t="s">
        <v>63</v>
      </c>
      <c r="V480" s="18">
        <v>26959.48</v>
      </c>
      <c r="W480" s="18">
        <v>197.4577</v>
      </c>
      <c r="X480" s="18">
        <v>2.6455003063E10</v>
      </c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8" t="s">
        <v>72</v>
      </c>
      <c r="T481" s="18" t="s">
        <v>63</v>
      </c>
      <c r="U481" s="18" t="s">
        <v>63</v>
      </c>
      <c r="V481" s="18">
        <v>35081.52</v>
      </c>
      <c r="W481" s="18">
        <v>0.0</v>
      </c>
      <c r="X481" s="18">
        <v>0.0</v>
      </c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8" t="s">
        <v>72</v>
      </c>
      <c r="T482" s="18" t="s">
        <v>65</v>
      </c>
      <c r="U482" s="18" t="s">
        <v>66</v>
      </c>
      <c r="V482" s="18">
        <v>2755.0</v>
      </c>
      <c r="W482" s="18">
        <v>79.8162</v>
      </c>
      <c r="X482" s="18">
        <v>7.328266283E8</v>
      </c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8" t="s">
        <v>72</v>
      </c>
      <c r="T483" s="18" t="s">
        <v>66</v>
      </c>
      <c r="U483" s="18" t="s">
        <v>66</v>
      </c>
      <c r="V483" s="18">
        <v>28096.96</v>
      </c>
      <c r="W483" s="18">
        <v>0.0</v>
      </c>
      <c r="X483" s="18">
        <v>0.0</v>
      </c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8" t="s">
        <v>72</v>
      </c>
      <c r="T484" s="18" t="s">
        <v>67</v>
      </c>
      <c r="U484" s="18" t="s">
        <v>66</v>
      </c>
      <c r="V484" s="18">
        <v>1764.0</v>
      </c>
      <c r="W484" s="18">
        <v>294.9322</v>
      </c>
      <c r="X484" s="18">
        <v>1.733840493E9</v>
      </c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8" t="s">
        <v>72</v>
      </c>
      <c r="T485" s="18" t="s">
        <v>68</v>
      </c>
      <c r="U485" s="18" t="s">
        <v>66</v>
      </c>
      <c r="V485" s="18">
        <v>8339.4</v>
      </c>
      <c r="W485" s="18">
        <v>561.9698</v>
      </c>
      <c r="X485" s="18">
        <v>1.5618387139E10</v>
      </c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8" t="s">
        <v>72</v>
      </c>
      <c r="T486" s="18" t="s">
        <v>69</v>
      </c>
      <c r="U486" s="18" t="s">
        <v>72</v>
      </c>
      <c r="V486" s="18">
        <v>664.36</v>
      </c>
      <c r="W486" s="18">
        <v>751.3306</v>
      </c>
      <c r="X486" s="18">
        <v>1.663500538E9</v>
      </c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8" t="s">
        <v>72</v>
      </c>
      <c r="T487" s="18" t="s">
        <v>70</v>
      </c>
      <c r="U487" s="18" t="s">
        <v>72</v>
      </c>
      <c r="V487" s="18">
        <v>4006.08</v>
      </c>
      <c r="W487" s="18">
        <v>255.0633</v>
      </c>
      <c r="X487" s="18">
        <v>3.405304605E9</v>
      </c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8" t="s">
        <v>72</v>
      </c>
      <c r="T488" s="18" t="s">
        <v>71</v>
      </c>
      <c r="U488" s="18" t="s">
        <v>72</v>
      </c>
      <c r="V488" s="18">
        <v>10607.92</v>
      </c>
      <c r="W488" s="18">
        <v>1293.3731</v>
      </c>
      <c r="X488" s="18">
        <v>4.5723814304E10</v>
      </c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8" t="s">
        <v>72</v>
      </c>
      <c r="T489" s="18" t="s">
        <v>73</v>
      </c>
      <c r="U489" s="18" t="s">
        <v>72</v>
      </c>
      <c r="V489" s="18">
        <v>3631.28</v>
      </c>
      <c r="W489" s="18">
        <v>505.2914</v>
      </c>
      <c r="X489" s="18">
        <v>6.114910114E9</v>
      </c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8" t="s">
        <v>72</v>
      </c>
      <c r="T490" s="18" t="s">
        <v>74</v>
      </c>
      <c r="U490" s="18" t="s">
        <v>72</v>
      </c>
      <c r="V490" s="18">
        <v>604.96</v>
      </c>
      <c r="W490" s="18">
        <v>467.0651</v>
      </c>
      <c r="X490" s="18">
        <v>9.416564316E8</v>
      </c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8" t="s">
        <v>72</v>
      </c>
      <c r="T491" s="18" t="s">
        <v>75</v>
      </c>
      <c r="U491" s="18" t="s">
        <v>72</v>
      </c>
      <c r="V491" s="18">
        <v>4032.44</v>
      </c>
      <c r="W491" s="18">
        <v>1526.6262</v>
      </c>
      <c r="X491" s="18">
        <v>2.0515827169E10</v>
      </c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8" t="s">
        <v>73</v>
      </c>
      <c r="T492" s="18" t="s">
        <v>31</v>
      </c>
      <c r="U492" s="18" t="s">
        <v>33</v>
      </c>
      <c r="V492" s="18">
        <v>2284.36</v>
      </c>
      <c r="W492" s="18">
        <v>1362.6505</v>
      </c>
      <c r="X492" s="18">
        <v>1.3244429971E10</v>
      </c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8" t="s">
        <v>73</v>
      </c>
      <c r="T493" s="18" t="s">
        <v>34</v>
      </c>
      <c r="U493" s="18" t="s">
        <v>33</v>
      </c>
      <c r="V493" s="18">
        <v>3287.42</v>
      </c>
      <c r="W493" s="18">
        <v>966.6815</v>
      </c>
      <c r="X493" s="18">
        <v>1.3521436594E10</v>
      </c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8" t="s">
        <v>73</v>
      </c>
      <c r="T494" s="18" t="s">
        <v>36</v>
      </c>
      <c r="U494" s="18" t="s">
        <v>33</v>
      </c>
      <c r="V494" s="18">
        <v>6230.28</v>
      </c>
      <c r="W494" s="18">
        <v>397.4792</v>
      </c>
      <c r="X494" s="18">
        <v>1.0536737841E10</v>
      </c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8" t="s">
        <v>73</v>
      </c>
      <c r="T495" s="18" t="s">
        <v>32</v>
      </c>
      <c r="U495" s="18" t="s">
        <v>33</v>
      </c>
      <c r="V495" s="18">
        <v>6443.92</v>
      </c>
      <c r="W495" s="18">
        <v>525.4495</v>
      </c>
      <c r="X495" s="18">
        <v>1.4406729292E10</v>
      </c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8" t="s">
        <v>73</v>
      </c>
      <c r="T496" s="18" t="s">
        <v>38</v>
      </c>
      <c r="U496" s="18" t="s">
        <v>33</v>
      </c>
      <c r="V496" s="18">
        <v>1107.56</v>
      </c>
      <c r="W496" s="18">
        <v>176.4669</v>
      </c>
      <c r="X496" s="18">
        <v>8.31600636E8</v>
      </c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8" t="s">
        <v>73</v>
      </c>
      <c r="T497" s="18" t="s">
        <v>33</v>
      </c>
      <c r="U497" s="18" t="s">
        <v>33</v>
      </c>
      <c r="V497" s="18">
        <v>9485.76</v>
      </c>
      <c r="W497" s="18">
        <v>0.0</v>
      </c>
      <c r="X497" s="18">
        <v>0.0</v>
      </c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8" t="s">
        <v>73</v>
      </c>
      <c r="T498" s="18" t="s">
        <v>39</v>
      </c>
      <c r="U498" s="18" t="s">
        <v>35</v>
      </c>
      <c r="V498" s="18">
        <v>10450.04</v>
      </c>
      <c r="W498" s="18">
        <v>186.18</v>
      </c>
      <c r="X498" s="18">
        <v>8.278186318E9</v>
      </c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8" t="s">
        <v>73</v>
      </c>
      <c r="T499" s="18" t="s">
        <v>35</v>
      </c>
      <c r="U499" s="18" t="s">
        <v>35</v>
      </c>
      <c r="V499" s="18">
        <v>12467.32</v>
      </c>
      <c r="W499" s="18">
        <v>0.0</v>
      </c>
      <c r="X499" s="18">
        <v>0.0</v>
      </c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8" t="s">
        <v>73</v>
      </c>
      <c r="T500" s="18" t="s">
        <v>40</v>
      </c>
      <c r="U500" s="18" t="s">
        <v>35</v>
      </c>
      <c r="V500" s="18">
        <v>2745.98</v>
      </c>
      <c r="W500" s="18">
        <v>403.0102</v>
      </c>
      <c r="X500" s="18">
        <v>4.708663732E9</v>
      </c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8" t="s">
        <v>73</v>
      </c>
      <c r="T501" s="18" t="s">
        <v>37</v>
      </c>
      <c r="U501" s="18" t="s">
        <v>63</v>
      </c>
      <c r="V501" s="18">
        <v>7319.0</v>
      </c>
      <c r="W501" s="18">
        <v>478.0437</v>
      </c>
      <c r="X501" s="18">
        <v>1.7387680601E10</v>
      </c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8" t="s">
        <v>73</v>
      </c>
      <c r="T502" s="18" t="s">
        <v>62</v>
      </c>
      <c r="U502" s="18" t="s">
        <v>33</v>
      </c>
      <c r="V502" s="18">
        <v>6868.04</v>
      </c>
      <c r="W502" s="18">
        <v>541.8429</v>
      </c>
      <c r="X502" s="18">
        <v>1.5833994606E10</v>
      </c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8" t="s">
        <v>73</v>
      </c>
      <c r="T503" s="18" t="s">
        <v>64</v>
      </c>
      <c r="U503" s="18" t="s">
        <v>63</v>
      </c>
      <c r="V503" s="18">
        <v>28703.6</v>
      </c>
      <c r="W503" s="18">
        <v>197.4577</v>
      </c>
      <c r="X503" s="18">
        <v>2.8166486369E10</v>
      </c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8" t="s">
        <v>73</v>
      </c>
      <c r="T504" s="18" t="s">
        <v>63</v>
      </c>
      <c r="U504" s="18" t="s">
        <v>63</v>
      </c>
      <c r="V504" s="18">
        <v>33017.52</v>
      </c>
      <c r="W504" s="18">
        <v>0.0</v>
      </c>
      <c r="X504" s="18">
        <v>0.0</v>
      </c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8" t="s">
        <v>73</v>
      </c>
      <c r="T505" s="18" t="s">
        <v>65</v>
      </c>
      <c r="U505" s="18" t="s">
        <v>66</v>
      </c>
      <c r="V505" s="18">
        <v>3218.88</v>
      </c>
      <c r="W505" s="18">
        <v>79.8162</v>
      </c>
      <c r="X505" s="18">
        <v>8.562181405E8</v>
      </c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8" t="s">
        <v>73</v>
      </c>
      <c r="T506" s="18" t="s">
        <v>66</v>
      </c>
      <c r="U506" s="18" t="s">
        <v>66</v>
      </c>
      <c r="V506" s="18">
        <v>40677.28</v>
      </c>
      <c r="W506" s="18">
        <v>0.0</v>
      </c>
      <c r="X506" s="18">
        <v>0.0</v>
      </c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8" t="s">
        <v>73</v>
      </c>
      <c r="T507" s="18" t="s">
        <v>67</v>
      </c>
      <c r="U507" s="18" t="s">
        <v>66</v>
      </c>
      <c r="V507" s="18">
        <v>6113.92</v>
      </c>
      <c r="W507" s="18">
        <v>294.9322</v>
      </c>
      <c r="X507" s="18">
        <v>6.009388926E9</v>
      </c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8" t="s">
        <v>73</v>
      </c>
      <c r="T508" s="18" t="s">
        <v>68</v>
      </c>
      <c r="U508" s="18" t="s">
        <v>66</v>
      </c>
      <c r="V508" s="18">
        <v>20481.6</v>
      </c>
      <c r="W508" s="18">
        <v>561.9698</v>
      </c>
      <c r="X508" s="18">
        <v>3.8358821742E10</v>
      </c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8" t="s">
        <v>73</v>
      </c>
      <c r="T509" s="18" t="s">
        <v>69</v>
      </c>
      <c r="U509" s="18" t="s">
        <v>72</v>
      </c>
      <c r="V509" s="18">
        <v>1242.12</v>
      </c>
      <c r="W509" s="18">
        <v>751.3306</v>
      </c>
      <c r="X509" s="18">
        <v>3.110162092E9</v>
      </c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8" t="s">
        <v>73</v>
      </c>
      <c r="T510" s="18" t="s">
        <v>70</v>
      </c>
      <c r="U510" s="18" t="s">
        <v>72</v>
      </c>
      <c r="V510" s="18">
        <v>3976.6</v>
      </c>
      <c r="W510" s="18">
        <v>255.0633</v>
      </c>
      <c r="X510" s="18">
        <v>3.3802456E9</v>
      </c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8" t="s">
        <v>73</v>
      </c>
      <c r="T511" s="18" t="s">
        <v>71</v>
      </c>
      <c r="U511" s="18" t="s">
        <v>72</v>
      </c>
      <c r="V511" s="18">
        <v>7293.24</v>
      </c>
      <c r="W511" s="18">
        <v>1293.3731</v>
      </c>
      <c r="X511" s="18">
        <v>3.1436393886E10</v>
      </c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8" t="s">
        <v>73</v>
      </c>
      <c r="T512" s="18" t="s">
        <v>72</v>
      </c>
      <c r="U512" s="18" t="s">
        <v>72</v>
      </c>
      <c r="V512" s="18">
        <v>3904.28</v>
      </c>
      <c r="W512" s="18">
        <v>0.0</v>
      </c>
      <c r="X512" s="18">
        <v>0.0</v>
      </c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8" t="s">
        <v>73</v>
      </c>
      <c r="T513" s="18" t="s">
        <v>74</v>
      </c>
      <c r="U513" s="18" t="s">
        <v>72</v>
      </c>
      <c r="V513" s="18">
        <v>409.88</v>
      </c>
      <c r="W513" s="18">
        <v>467.0651</v>
      </c>
      <c r="X513" s="18">
        <v>6.38002741E8</v>
      </c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8" t="s">
        <v>73</v>
      </c>
      <c r="T514" s="18" t="s">
        <v>75</v>
      </c>
      <c r="U514" s="18" t="s">
        <v>72</v>
      </c>
      <c r="V514" s="18">
        <v>3357.04</v>
      </c>
      <c r="W514" s="18">
        <v>1526.6262</v>
      </c>
      <c r="X514" s="18">
        <v>1.7079597574E10</v>
      </c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8" t="s">
        <v>74</v>
      </c>
      <c r="T515" s="18" t="s">
        <v>31</v>
      </c>
      <c r="U515" s="18" t="s">
        <v>33</v>
      </c>
      <c r="V515" s="18">
        <v>554.88</v>
      </c>
      <c r="W515" s="18">
        <v>1362.6505</v>
      </c>
      <c r="X515" s="18">
        <v>3.217123966E9</v>
      </c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8" t="s">
        <v>74</v>
      </c>
      <c r="T516" s="18" t="s">
        <v>34</v>
      </c>
      <c r="U516" s="18" t="s">
        <v>33</v>
      </c>
      <c r="V516" s="18">
        <v>662.52</v>
      </c>
      <c r="W516" s="18">
        <v>966.6815</v>
      </c>
      <c r="X516" s="18">
        <v>2.725000813E9</v>
      </c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8" t="s">
        <v>74</v>
      </c>
      <c r="T517" s="18" t="s">
        <v>36</v>
      </c>
      <c r="U517" s="18" t="s">
        <v>33</v>
      </c>
      <c r="V517" s="18">
        <v>623.92</v>
      </c>
      <c r="W517" s="18">
        <v>397.4792</v>
      </c>
      <c r="X517" s="18">
        <v>1.055182347E9</v>
      </c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8" t="s">
        <v>74</v>
      </c>
      <c r="T518" s="18" t="s">
        <v>32</v>
      </c>
      <c r="U518" s="18" t="s">
        <v>33</v>
      </c>
      <c r="V518" s="18">
        <v>1044.88</v>
      </c>
      <c r="W518" s="18">
        <v>525.4495</v>
      </c>
      <c r="X518" s="18">
        <v>2.336047515E9</v>
      </c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8" t="s">
        <v>74</v>
      </c>
      <c r="T519" s="18" t="s">
        <v>38</v>
      </c>
      <c r="U519" s="18" t="s">
        <v>33</v>
      </c>
      <c r="V519" s="18">
        <v>215.04</v>
      </c>
      <c r="W519" s="18">
        <v>176.4669</v>
      </c>
      <c r="X519" s="18">
        <v>1.61460689E8</v>
      </c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8" t="s">
        <v>74</v>
      </c>
      <c r="T520" s="18" t="s">
        <v>33</v>
      </c>
      <c r="U520" s="18" t="s">
        <v>33</v>
      </c>
      <c r="V520" s="18">
        <v>1648.92</v>
      </c>
      <c r="W520" s="18">
        <v>0.0</v>
      </c>
      <c r="X520" s="18">
        <v>0.0</v>
      </c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8" t="s">
        <v>74</v>
      </c>
      <c r="T521" s="18" t="s">
        <v>39</v>
      </c>
      <c r="U521" s="18" t="s">
        <v>35</v>
      </c>
      <c r="V521" s="18">
        <v>763.52</v>
      </c>
      <c r="W521" s="18">
        <v>186.18</v>
      </c>
      <c r="X521" s="18">
        <v>6.048360406E8</v>
      </c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8" t="s">
        <v>74</v>
      </c>
      <c r="T522" s="18" t="s">
        <v>35</v>
      </c>
      <c r="U522" s="18" t="s">
        <v>35</v>
      </c>
      <c r="V522" s="18">
        <v>2510.0</v>
      </c>
      <c r="W522" s="18">
        <v>0.0</v>
      </c>
      <c r="X522" s="18">
        <v>0.0</v>
      </c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8" t="s">
        <v>74</v>
      </c>
      <c r="T523" s="18" t="s">
        <v>40</v>
      </c>
      <c r="U523" s="18" t="s">
        <v>35</v>
      </c>
      <c r="V523" s="18">
        <v>456.12</v>
      </c>
      <c r="W523" s="18">
        <v>403.0102</v>
      </c>
      <c r="X523" s="18">
        <v>7.82130861E8</v>
      </c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8" t="s">
        <v>74</v>
      </c>
      <c r="T524" s="18" t="s">
        <v>37</v>
      </c>
      <c r="U524" s="18" t="s">
        <v>63</v>
      </c>
      <c r="V524" s="18">
        <v>1734.52</v>
      </c>
      <c r="W524" s="18">
        <v>478.0437</v>
      </c>
      <c r="X524" s="18">
        <v>4.12068312E9</v>
      </c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8" t="s">
        <v>74</v>
      </c>
      <c r="T525" s="18" t="s">
        <v>62</v>
      </c>
      <c r="U525" s="18" t="s">
        <v>33</v>
      </c>
      <c r="V525" s="18">
        <v>1215.0</v>
      </c>
      <c r="W525" s="18">
        <v>541.8429</v>
      </c>
      <c r="X525" s="18">
        <v>2.80113445E9</v>
      </c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8" t="s">
        <v>74</v>
      </c>
      <c r="T526" s="18" t="s">
        <v>64</v>
      </c>
      <c r="U526" s="18" t="s">
        <v>63</v>
      </c>
      <c r="V526" s="18">
        <v>4621.84</v>
      </c>
      <c r="W526" s="18">
        <v>197.4577</v>
      </c>
      <c r="X526" s="18">
        <v>4.535354219E9</v>
      </c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8" t="s">
        <v>74</v>
      </c>
      <c r="T527" s="18" t="s">
        <v>63</v>
      </c>
      <c r="U527" s="18" t="s">
        <v>63</v>
      </c>
      <c r="V527" s="18">
        <v>5734.16</v>
      </c>
      <c r="W527" s="18">
        <v>0.0</v>
      </c>
      <c r="X527" s="18">
        <v>0.0</v>
      </c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8" t="s">
        <v>74</v>
      </c>
      <c r="T528" s="18" t="s">
        <v>65</v>
      </c>
      <c r="U528" s="18" t="s">
        <v>66</v>
      </c>
      <c r="V528" s="18">
        <v>489.88</v>
      </c>
      <c r="W528" s="18">
        <v>79.8162</v>
      </c>
      <c r="X528" s="18">
        <v>1.303074805E8</v>
      </c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8" t="s">
        <v>74</v>
      </c>
      <c r="T529" s="18" t="s">
        <v>66</v>
      </c>
      <c r="U529" s="18" t="s">
        <v>66</v>
      </c>
      <c r="V529" s="18">
        <v>5626.88</v>
      </c>
      <c r="W529" s="18">
        <v>0.0</v>
      </c>
      <c r="X529" s="18">
        <v>0.0</v>
      </c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8" t="s">
        <v>74</v>
      </c>
      <c r="T530" s="18" t="s">
        <v>67</v>
      </c>
      <c r="U530" s="18" t="s">
        <v>66</v>
      </c>
      <c r="V530" s="18">
        <v>542.44</v>
      </c>
      <c r="W530" s="18">
        <v>294.9322</v>
      </c>
      <c r="X530" s="18">
        <v>5.331657806E8</v>
      </c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8" t="s">
        <v>74</v>
      </c>
      <c r="T531" s="18" t="s">
        <v>68</v>
      </c>
      <c r="U531" s="18" t="s">
        <v>66</v>
      </c>
      <c r="V531" s="18">
        <v>2881.44</v>
      </c>
      <c r="W531" s="18">
        <v>561.9698</v>
      </c>
      <c r="X531" s="18">
        <v>5.396484812E9</v>
      </c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8" t="s">
        <v>74</v>
      </c>
      <c r="T532" s="18" t="s">
        <v>69</v>
      </c>
      <c r="U532" s="18" t="s">
        <v>72</v>
      </c>
      <c r="V532" s="18">
        <v>306.56</v>
      </c>
      <c r="W532" s="18">
        <v>751.3306</v>
      </c>
      <c r="X532" s="18">
        <v>7.675999831E8</v>
      </c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8" t="s">
        <v>74</v>
      </c>
      <c r="T533" s="18" t="s">
        <v>70</v>
      </c>
      <c r="U533" s="18" t="s">
        <v>72</v>
      </c>
      <c r="V533" s="18">
        <v>780.24</v>
      </c>
      <c r="W533" s="18">
        <v>255.0633</v>
      </c>
      <c r="X533" s="18">
        <v>6.632306057E8</v>
      </c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8" t="s">
        <v>74</v>
      </c>
      <c r="T534" s="18" t="s">
        <v>71</v>
      </c>
      <c r="U534" s="18" t="s">
        <v>72</v>
      </c>
      <c r="V534" s="18">
        <v>1940.48</v>
      </c>
      <c r="W534" s="18">
        <v>1293.3731</v>
      </c>
      <c r="X534" s="18">
        <v>8.364141809E9</v>
      </c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8" t="s">
        <v>74</v>
      </c>
      <c r="T535" s="18" t="s">
        <v>72</v>
      </c>
      <c r="U535" s="18" t="s">
        <v>72</v>
      </c>
      <c r="V535" s="18">
        <v>1326.68</v>
      </c>
      <c r="W535" s="18">
        <v>0.0</v>
      </c>
      <c r="X535" s="18">
        <v>0.0</v>
      </c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8" t="s">
        <v>74</v>
      </c>
      <c r="T536" s="18" t="s">
        <v>73</v>
      </c>
      <c r="U536" s="18" t="s">
        <v>72</v>
      </c>
      <c r="V536" s="18">
        <v>830.56</v>
      </c>
      <c r="W536" s="18">
        <v>505.2914</v>
      </c>
      <c r="X536" s="18">
        <v>1.398625208E9</v>
      </c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8" t="s">
        <v>74</v>
      </c>
      <c r="T537" s="18" t="s">
        <v>75</v>
      </c>
      <c r="U537" s="18" t="s">
        <v>72</v>
      </c>
      <c r="V537" s="18">
        <v>1951.36</v>
      </c>
      <c r="W537" s="18">
        <v>1526.6262</v>
      </c>
      <c r="X537" s="18">
        <v>9.927925649E9</v>
      </c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8" t="s">
        <v>75</v>
      </c>
      <c r="T538" s="18" t="s">
        <v>31</v>
      </c>
      <c r="U538" s="18" t="s">
        <v>33</v>
      </c>
      <c r="V538" s="18">
        <v>2253.68</v>
      </c>
      <c r="W538" s="18">
        <v>1362.6505</v>
      </c>
      <c r="X538" s="18">
        <v>1.3066551216E10</v>
      </c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8" t="s">
        <v>75</v>
      </c>
      <c r="T539" s="18" t="s">
        <v>34</v>
      </c>
      <c r="U539" s="18" t="s">
        <v>33</v>
      </c>
      <c r="V539" s="18">
        <v>2398.56</v>
      </c>
      <c r="W539" s="18">
        <v>966.6815</v>
      </c>
      <c r="X539" s="18">
        <v>9.865480211E9</v>
      </c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8" t="s">
        <v>75</v>
      </c>
      <c r="T540" s="18" t="s">
        <v>36</v>
      </c>
      <c r="U540" s="18" t="s">
        <v>33</v>
      </c>
      <c r="V540" s="18">
        <v>1932.96</v>
      </c>
      <c r="W540" s="18">
        <v>397.4792</v>
      </c>
      <c r="X540" s="18">
        <v>3.269049349E9</v>
      </c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8" t="s">
        <v>75</v>
      </c>
      <c r="T541" s="18" t="s">
        <v>32</v>
      </c>
      <c r="U541" s="18" t="s">
        <v>33</v>
      </c>
      <c r="V541" s="18">
        <v>4835.36</v>
      </c>
      <c r="W541" s="18">
        <v>525.4495</v>
      </c>
      <c r="X541" s="18">
        <v>1.0810457385E10</v>
      </c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8" t="s">
        <v>75</v>
      </c>
      <c r="T542" s="18" t="s">
        <v>38</v>
      </c>
      <c r="U542" s="18" t="s">
        <v>33</v>
      </c>
      <c r="V542" s="18">
        <v>906.92</v>
      </c>
      <c r="W542" s="18">
        <v>176.4669</v>
      </c>
      <c r="X542" s="18">
        <v>6.809520467E8</v>
      </c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8" t="s">
        <v>75</v>
      </c>
      <c r="T543" s="18" t="s">
        <v>33</v>
      </c>
      <c r="U543" s="18" t="s">
        <v>33</v>
      </c>
      <c r="V543" s="18">
        <v>4472.8</v>
      </c>
      <c r="W543" s="18">
        <v>0.0</v>
      </c>
      <c r="X543" s="18">
        <v>0.0</v>
      </c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8" t="s">
        <v>75</v>
      </c>
      <c r="T544" s="18" t="s">
        <v>39</v>
      </c>
      <c r="U544" s="18" t="s">
        <v>35</v>
      </c>
      <c r="V544" s="18">
        <v>4010.08</v>
      </c>
      <c r="W544" s="18">
        <v>186.18</v>
      </c>
      <c r="X544" s="18">
        <v>3.176656682E9</v>
      </c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8" t="s">
        <v>75</v>
      </c>
      <c r="T545" s="18" t="s">
        <v>35</v>
      </c>
      <c r="U545" s="18" t="s">
        <v>35</v>
      </c>
      <c r="V545" s="18">
        <v>12362.4</v>
      </c>
      <c r="W545" s="18">
        <v>0.0</v>
      </c>
      <c r="X545" s="18">
        <v>0.0</v>
      </c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8" t="s">
        <v>75</v>
      </c>
      <c r="T546" s="18" t="s">
        <v>40</v>
      </c>
      <c r="U546" s="18" t="s">
        <v>35</v>
      </c>
      <c r="V546" s="18">
        <v>1068.4</v>
      </c>
      <c r="W546" s="18">
        <v>403.0102</v>
      </c>
      <c r="X546" s="18">
        <v>1.832036771E9</v>
      </c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8" t="s">
        <v>75</v>
      </c>
      <c r="T547" s="18" t="s">
        <v>37</v>
      </c>
      <c r="U547" s="18" t="s">
        <v>63</v>
      </c>
      <c r="V547" s="18">
        <v>4619.68</v>
      </c>
      <c r="W547" s="18">
        <v>478.0437</v>
      </c>
      <c r="X547" s="18">
        <v>1.0974931045E10</v>
      </c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8" t="s">
        <v>75</v>
      </c>
      <c r="T548" s="18" t="s">
        <v>62</v>
      </c>
      <c r="U548" s="18" t="s">
        <v>33</v>
      </c>
      <c r="V548" s="18">
        <v>1460.24</v>
      </c>
      <c r="W548" s="18">
        <v>541.8429</v>
      </c>
      <c r="X548" s="18">
        <v>3.366525571E9</v>
      </c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8" t="s">
        <v>75</v>
      </c>
      <c r="T549" s="18" t="s">
        <v>64</v>
      </c>
      <c r="U549" s="18" t="s">
        <v>63</v>
      </c>
      <c r="V549" s="18">
        <v>16223.88</v>
      </c>
      <c r="W549" s="18">
        <v>197.4577</v>
      </c>
      <c r="X549" s="18">
        <v>1.5920292049E10</v>
      </c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8" t="s">
        <v>75</v>
      </c>
      <c r="T550" s="18" t="s">
        <v>63</v>
      </c>
      <c r="U550" s="18" t="s">
        <v>63</v>
      </c>
      <c r="V550" s="18">
        <v>14771.84</v>
      </c>
      <c r="W550" s="18">
        <v>0.0</v>
      </c>
      <c r="X550" s="18">
        <v>0.0</v>
      </c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8" t="s">
        <v>75</v>
      </c>
      <c r="T551" s="18" t="s">
        <v>65</v>
      </c>
      <c r="U551" s="18" t="s">
        <v>66</v>
      </c>
      <c r="V551" s="18">
        <v>999.48</v>
      </c>
      <c r="W551" s="18">
        <v>79.8162</v>
      </c>
      <c r="X551" s="18">
        <v>2.658604568E8</v>
      </c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8" t="s">
        <v>75</v>
      </c>
      <c r="T552" s="18" t="s">
        <v>66</v>
      </c>
      <c r="U552" s="18" t="s">
        <v>66</v>
      </c>
      <c r="V552" s="18">
        <v>21924.12</v>
      </c>
      <c r="W552" s="18">
        <v>0.0</v>
      </c>
      <c r="X552" s="18">
        <v>0.0</v>
      </c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8" t="s">
        <v>75</v>
      </c>
      <c r="T553" s="18" t="s">
        <v>67</v>
      </c>
      <c r="U553" s="18" t="s">
        <v>66</v>
      </c>
      <c r="V553" s="18">
        <v>2733.48</v>
      </c>
      <c r="W553" s="18">
        <v>294.9322</v>
      </c>
      <c r="X553" s="18">
        <v>2.686745074E9</v>
      </c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8" t="s">
        <v>75</v>
      </c>
      <c r="T554" s="18" t="s">
        <v>68</v>
      </c>
      <c r="U554" s="18" t="s">
        <v>66</v>
      </c>
      <c r="V554" s="18">
        <v>22593.12</v>
      </c>
      <c r="W554" s="18">
        <v>561.9698</v>
      </c>
      <c r="X554" s="18">
        <v>4.231336725E10</v>
      </c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8" t="s">
        <v>75</v>
      </c>
      <c r="T555" s="18" t="s">
        <v>69</v>
      </c>
      <c r="U555" s="18" t="s">
        <v>72</v>
      </c>
      <c r="V555" s="18">
        <v>1369.96</v>
      </c>
      <c r="W555" s="18">
        <v>751.3306</v>
      </c>
      <c r="X555" s="18">
        <v>3.430262503E9</v>
      </c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8" t="s">
        <v>75</v>
      </c>
      <c r="T556" s="18" t="s">
        <v>70</v>
      </c>
      <c r="U556" s="18" t="s">
        <v>72</v>
      </c>
      <c r="V556" s="18">
        <v>4125.76</v>
      </c>
      <c r="W556" s="18">
        <v>255.0633</v>
      </c>
      <c r="X556" s="18">
        <v>3.507036686E9</v>
      </c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8" t="s">
        <v>75</v>
      </c>
      <c r="T557" s="18" t="s">
        <v>71</v>
      </c>
      <c r="U557" s="18" t="s">
        <v>72</v>
      </c>
      <c r="V557" s="18">
        <v>17274.08</v>
      </c>
      <c r="W557" s="18">
        <v>1293.3731</v>
      </c>
      <c r="X557" s="18">
        <v>7.4457275902E10</v>
      </c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8" t="s">
        <v>75</v>
      </c>
      <c r="T558" s="18" t="s">
        <v>72</v>
      </c>
      <c r="U558" s="18" t="s">
        <v>72</v>
      </c>
      <c r="V558" s="18">
        <v>5132.36</v>
      </c>
      <c r="W558" s="18">
        <v>0.0</v>
      </c>
      <c r="X558" s="18">
        <v>0.0</v>
      </c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8" t="s">
        <v>75</v>
      </c>
      <c r="T559" s="18" t="s">
        <v>73</v>
      </c>
      <c r="U559" s="18" t="s">
        <v>72</v>
      </c>
      <c r="V559" s="18">
        <v>3277.36</v>
      </c>
      <c r="W559" s="18">
        <v>505.2914</v>
      </c>
      <c r="X559" s="18">
        <v>5.518924955E9</v>
      </c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8" t="s">
        <v>75</v>
      </c>
      <c r="T560" s="18" t="s">
        <v>74</v>
      </c>
      <c r="U560" s="18" t="s">
        <v>72</v>
      </c>
      <c r="V560" s="18">
        <v>682.6</v>
      </c>
      <c r="W560" s="18">
        <v>467.0651</v>
      </c>
      <c r="X560" s="18">
        <v>1.062507736E9</v>
      </c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</row>
    <row r="100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16"/>
      <c r="AK1001" s="16"/>
      <c r="AL1001" s="16"/>
    </row>
    <row r="1002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6"/>
      <c r="AH1002" s="16"/>
      <c r="AI1002" s="16"/>
      <c r="AJ1002" s="16"/>
      <c r="AK1002" s="16"/>
      <c r="AL1002" s="16"/>
    </row>
    <row r="1003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16"/>
      <c r="AK1003" s="16"/>
      <c r="AL1003" s="16"/>
    </row>
  </sheetData>
  <mergeCells count="5">
    <mergeCell ref="A7:B7"/>
    <mergeCell ref="E7:G7"/>
    <mergeCell ref="L7:O7"/>
    <mergeCell ref="S7:V7"/>
    <mergeCell ref="Z7:AE7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/>
      <c r="B1" s="16"/>
      <c r="C1" s="16"/>
      <c r="D1" s="18"/>
      <c r="E1" s="18" t="s">
        <v>23</v>
      </c>
      <c r="F1" s="18" t="s">
        <v>112</v>
      </c>
      <c r="G1" s="18" t="s">
        <v>30</v>
      </c>
      <c r="H1" s="16"/>
      <c r="I1" s="16"/>
      <c r="J1" s="16"/>
      <c r="K1" s="16"/>
      <c r="L1" s="16"/>
      <c r="M1" s="16"/>
      <c r="N1" s="16"/>
      <c r="O1" s="16"/>
      <c r="P1" s="16"/>
      <c r="Q1" s="25" t="s">
        <v>41</v>
      </c>
      <c r="R1" s="26"/>
      <c r="S1" s="26"/>
      <c r="T1" s="26"/>
      <c r="U1" s="26"/>
      <c r="V1" s="6"/>
      <c r="W1" s="16"/>
      <c r="X1" s="16"/>
      <c r="Y1" s="16"/>
      <c r="Z1" s="16"/>
      <c r="AA1" s="16"/>
      <c r="AB1" s="16"/>
      <c r="AC1" s="16"/>
      <c r="AD1" s="16"/>
      <c r="AE1" s="16"/>
    </row>
    <row r="2">
      <c r="A2" s="16"/>
      <c r="B2" s="16"/>
      <c r="C2" s="16"/>
      <c r="D2" s="18" t="s">
        <v>113</v>
      </c>
      <c r="E2" s="16">
        <f>SUM(N12:N111)</f>
        <v>1416293523</v>
      </c>
      <c r="F2" s="16">
        <f>sum(Y12:Y95)</f>
        <v>9379598635</v>
      </c>
      <c r="G2" s="16">
        <f>SUM(O12:O111)</f>
        <v>2284505770</v>
      </c>
      <c r="H2" s="16">
        <f>SUM(E2:G2)</f>
        <v>13080397928</v>
      </c>
      <c r="I2" s="16"/>
      <c r="J2" s="15">
        <v>1.3080397914E10</v>
      </c>
      <c r="K2" s="16"/>
      <c r="L2" s="82">
        <f>H2-J2</f>
        <v>13.50632477</v>
      </c>
      <c r="M2" s="16"/>
      <c r="N2" s="16"/>
      <c r="O2" s="16"/>
      <c r="P2" s="16"/>
      <c r="Q2" s="27" t="s">
        <v>42</v>
      </c>
      <c r="R2" s="27" t="s">
        <v>43</v>
      </c>
      <c r="S2" s="27" t="s">
        <v>44</v>
      </c>
      <c r="T2" s="27" t="s">
        <v>45</v>
      </c>
      <c r="U2" s="27" t="s">
        <v>46</v>
      </c>
      <c r="V2" s="27" t="s">
        <v>47</v>
      </c>
      <c r="W2" s="16"/>
      <c r="X2" s="16"/>
      <c r="Y2" s="16"/>
      <c r="Z2" s="16"/>
      <c r="AA2" s="16"/>
      <c r="AB2" s="16"/>
      <c r="AC2" s="16"/>
      <c r="AD2" s="16"/>
      <c r="AE2" s="16"/>
    </row>
    <row r="3">
      <c r="A3" s="18" t="s">
        <v>15</v>
      </c>
      <c r="B3" s="18">
        <v>15.0</v>
      </c>
      <c r="C3" s="16"/>
      <c r="D3" s="16"/>
      <c r="E3" s="83"/>
      <c r="F3" s="16"/>
      <c r="G3" s="20"/>
      <c r="H3" s="16"/>
      <c r="I3" s="16"/>
      <c r="J3" s="18" t="s">
        <v>49</v>
      </c>
      <c r="K3" s="16"/>
      <c r="L3" s="16"/>
      <c r="M3" s="16"/>
      <c r="N3" s="16"/>
      <c r="O3" s="16"/>
      <c r="P3" s="16"/>
      <c r="Q3" s="27" t="s">
        <v>31</v>
      </c>
      <c r="R3" s="27" t="s">
        <v>37</v>
      </c>
      <c r="S3" s="27" t="s">
        <v>31</v>
      </c>
      <c r="T3" s="27" t="s">
        <v>114</v>
      </c>
      <c r="U3" s="27" t="s">
        <v>35</v>
      </c>
      <c r="V3" s="27" t="s">
        <v>49</v>
      </c>
      <c r="W3" s="16"/>
      <c r="X3" s="16"/>
      <c r="Y3" s="16"/>
      <c r="Z3" s="16"/>
      <c r="AA3" s="16"/>
      <c r="AB3" s="16"/>
      <c r="AC3" s="16"/>
      <c r="AD3" s="16"/>
      <c r="AE3" s="16"/>
    </row>
    <row r="4">
      <c r="A4" s="18" t="s">
        <v>115</v>
      </c>
      <c r="B4" s="18">
        <v>0.75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27" t="s">
        <v>36</v>
      </c>
      <c r="R4" s="27" t="s">
        <v>35</v>
      </c>
      <c r="S4" s="27" t="s">
        <v>33</v>
      </c>
      <c r="T4" s="27" t="s">
        <v>116</v>
      </c>
      <c r="U4" s="27" t="s">
        <v>35</v>
      </c>
      <c r="V4" s="27" t="s">
        <v>49</v>
      </c>
      <c r="W4" s="16"/>
      <c r="X4" s="16"/>
      <c r="Y4" s="16"/>
      <c r="Z4" s="16"/>
      <c r="AA4" s="16"/>
      <c r="AB4" s="16"/>
      <c r="AC4" s="16"/>
      <c r="AD4" s="16"/>
      <c r="AE4" s="16"/>
    </row>
    <row r="5">
      <c r="A5" s="18"/>
      <c r="B5" s="18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27" t="s">
        <v>38</v>
      </c>
      <c r="R5" s="27" t="s">
        <v>33</v>
      </c>
      <c r="S5" s="27" t="s">
        <v>33</v>
      </c>
      <c r="T5" s="27" t="s">
        <v>60</v>
      </c>
      <c r="U5" s="27" t="s">
        <v>33</v>
      </c>
      <c r="V5" s="27" t="s">
        <v>49</v>
      </c>
      <c r="W5" s="16"/>
      <c r="X5" s="16"/>
      <c r="Y5" s="16"/>
      <c r="Z5" s="16"/>
      <c r="AA5" s="16"/>
      <c r="AB5" s="16"/>
      <c r="AC5" s="16"/>
      <c r="AD5" s="16"/>
      <c r="AE5" s="16"/>
    </row>
    <row r="6">
      <c r="A6" s="18"/>
      <c r="B6" s="18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27" t="s">
        <v>39</v>
      </c>
      <c r="R6" s="27" t="s">
        <v>32</v>
      </c>
      <c r="S6" s="27" t="s">
        <v>35</v>
      </c>
      <c r="T6" s="27" t="s">
        <v>117</v>
      </c>
      <c r="U6" s="27" t="s">
        <v>33</v>
      </c>
      <c r="V6" s="27" t="s">
        <v>49</v>
      </c>
      <c r="W6" s="16"/>
      <c r="X6" s="16"/>
      <c r="Y6" s="16"/>
      <c r="Z6" s="16"/>
      <c r="AA6" s="16"/>
      <c r="AB6" s="16"/>
      <c r="AC6" s="16"/>
      <c r="AD6" s="16"/>
      <c r="AE6" s="16"/>
    </row>
    <row r="7">
      <c r="A7" s="18"/>
      <c r="B7" s="18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27" t="s">
        <v>40</v>
      </c>
      <c r="R7" s="27" t="s">
        <v>34</v>
      </c>
      <c r="S7" s="27" t="s">
        <v>35</v>
      </c>
      <c r="T7" s="27" t="s">
        <v>117</v>
      </c>
      <c r="U7" s="27" t="s">
        <v>33</v>
      </c>
      <c r="V7" s="27" t="s">
        <v>49</v>
      </c>
      <c r="W7" s="16"/>
      <c r="X7" s="16"/>
      <c r="Y7" s="16"/>
      <c r="Z7" s="16"/>
      <c r="AA7" s="16"/>
      <c r="AB7" s="16"/>
      <c r="AC7" s="16"/>
      <c r="AD7" s="16"/>
      <c r="AE7" s="16"/>
    </row>
    <row r="8">
      <c r="A8" s="18"/>
      <c r="B8" s="18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</row>
    <row r="9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</row>
    <row r="10">
      <c r="A10" s="18" t="s">
        <v>118</v>
      </c>
      <c r="C10" s="16"/>
      <c r="D10" s="18" t="s">
        <v>119</v>
      </c>
      <c r="G10" s="16"/>
      <c r="H10" s="18" t="s">
        <v>120</v>
      </c>
      <c r="K10" s="18"/>
      <c r="L10" s="18"/>
      <c r="M10" s="18"/>
      <c r="N10" s="18"/>
      <c r="O10" s="18"/>
      <c r="P10" s="16"/>
      <c r="Q10" s="18" t="s">
        <v>121</v>
      </c>
      <c r="Z10" s="16"/>
      <c r="AA10" s="16"/>
      <c r="AB10" s="16"/>
      <c r="AC10" s="16"/>
      <c r="AD10" s="16"/>
      <c r="AE10" s="16"/>
    </row>
    <row r="11">
      <c r="A11" s="71" t="s">
        <v>21</v>
      </c>
      <c r="B11" s="71" t="s">
        <v>22</v>
      </c>
      <c r="C11" s="16"/>
      <c r="D11" s="27" t="s">
        <v>110</v>
      </c>
      <c r="E11" s="27" t="s">
        <v>111</v>
      </c>
      <c r="F11" s="27" t="s">
        <v>93</v>
      </c>
      <c r="G11" s="16"/>
      <c r="H11" s="27" t="s">
        <v>21</v>
      </c>
      <c r="I11" s="27" t="s">
        <v>17</v>
      </c>
      <c r="J11" s="27" t="s">
        <v>24</v>
      </c>
      <c r="K11" s="18" t="s">
        <v>28</v>
      </c>
      <c r="L11" s="18" t="s">
        <v>23</v>
      </c>
      <c r="M11" s="18" t="s">
        <v>30</v>
      </c>
      <c r="N11" s="18" t="s">
        <v>122</v>
      </c>
      <c r="O11" s="18" t="s">
        <v>123</v>
      </c>
      <c r="P11" s="16"/>
      <c r="Q11" s="27" t="s">
        <v>97</v>
      </c>
      <c r="R11" s="27" t="s">
        <v>124</v>
      </c>
      <c r="S11" s="27" t="s">
        <v>98</v>
      </c>
      <c r="T11" s="27" t="s">
        <v>99</v>
      </c>
      <c r="U11" s="27" t="s">
        <v>125</v>
      </c>
      <c r="V11" s="27" t="s">
        <v>101</v>
      </c>
      <c r="W11" s="27" t="s">
        <v>126</v>
      </c>
      <c r="X11" s="27" t="s">
        <v>108</v>
      </c>
      <c r="Y11" s="18" t="s">
        <v>127</v>
      </c>
      <c r="Z11" s="16"/>
      <c r="AA11" s="16"/>
      <c r="AB11" s="16"/>
      <c r="AC11" s="16"/>
      <c r="AD11" s="16"/>
      <c r="AE11" s="16"/>
    </row>
    <row r="12">
      <c r="A12" s="72" t="s">
        <v>31</v>
      </c>
      <c r="B12" s="72">
        <v>1.0</v>
      </c>
      <c r="C12" s="16"/>
      <c r="D12" s="27" t="s">
        <v>31</v>
      </c>
      <c r="E12" s="27" t="s">
        <v>34</v>
      </c>
      <c r="F12" s="27">
        <v>0.0</v>
      </c>
      <c r="G12" s="16"/>
      <c r="H12" s="27" t="s">
        <v>31</v>
      </c>
      <c r="I12" s="27" t="s">
        <v>31</v>
      </c>
      <c r="J12" s="27">
        <v>1.0</v>
      </c>
      <c r="K12" s="76">
        <f t="array" ref="K12">XLOOKUP(H12, 'Data jarak '!$A$2:$A$11, XLOOKUP(I12, 'Data jarak '!$B$1:$K$1, 'Data jarak '!$B$2:$K$11))</f>
        <v>0</v>
      </c>
      <c r="L12" s="16">
        <f>vlookup(H12,Sheet4!$G$1:$I$11,2,false)</f>
        <v>125092.16</v>
      </c>
      <c r="M12" s="16">
        <f>vlookup(H12,Sheet4!$G$1:$I$11,3,false)</f>
        <v>73644.52</v>
      </c>
      <c r="N12" s="18">
        <f t="shared" ref="N12:N111" si="1">$B$3*K12*L12*J12</f>
        <v>0</v>
      </c>
      <c r="O12" s="18">
        <f t="shared" ref="O12:O111" si="2">$B$3*K12*M12*J12</f>
        <v>0</v>
      </c>
      <c r="P12" s="16"/>
      <c r="Q12" s="27" t="s">
        <v>31</v>
      </c>
      <c r="R12" s="27" t="s">
        <v>34</v>
      </c>
      <c r="S12" s="27" t="s">
        <v>31</v>
      </c>
      <c r="T12" s="27" t="s">
        <v>33</v>
      </c>
      <c r="U12" s="27">
        <v>1.0</v>
      </c>
      <c r="V12" s="27">
        <v>1362.65047</v>
      </c>
      <c r="W12" s="27">
        <v>1460.8</v>
      </c>
      <c r="X12" s="27">
        <v>2.239379782E7</v>
      </c>
      <c r="Y12" s="16">
        <f t="shared" ref="Y12:Y95" si="3">$B$3*$B$4*V12*W12</f>
        <v>22393797.82</v>
      </c>
      <c r="Z12" s="16">
        <f t="shared" ref="Z12:Z95" si="4">Y12-X12</f>
        <v>0.003979999572</v>
      </c>
      <c r="AA12" s="16"/>
      <c r="AB12" s="16"/>
      <c r="AC12" s="16"/>
      <c r="AD12" s="16"/>
      <c r="AE12" s="16"/>
    </row>
    <row r="13">
      <c r="A13" s="72" t="s">
        <v>34</v>
      </c>
      <c r="B13" s="72">
        <v>0.0</v>
      </c>
      <c r="C13" s="16"/>
      <c r="D13" s="27" t="s">
        <v>31</v>
      </c>
      <c r="E13" s="27" t="s">
        <v>36</v>
      </c>
      <c r="F13" s="27">
        <v>0.0</v>
      </c>
      <c r="G13" s="16"/>
      <c r="H13" s="27" t="s">
        <v>31</v>
      </c>
      <c r="I13" s="27" t="s">
        <v>34</v>
      </c>
      <c r="J13" s="27">
        <v>0.0</v>
      </c>
      <c r="K13" s="76">
        <f t="array" ref="K13">XLOOKUP(H13, 'Data jarak '!$A$2:$A$11, XLOOKUP(I13, 'Data jarak '!$B$1:$K$1, 'Data jarak '!$B$2:$K$11))</f>
        <v>404.8972</v>
      </c>
      <c r="L13" s="16">
        <f>vlookup(H13,Sheet4!$G$1:$I$11,2,false)</f>
        <v>125092.16</v>
      </c>
      <c r="M13" s="16">
        <f>vlookup(H13,Sheet4!$G$1:$I$11,3,false)</f>
        <v>73644.52</v>
      </c>
      <c r="N13" s="18">
        <f t="shared" si="1"/>
        <v>0</v>
      </c>
      <c r="O13" s="18">
        <f t="shared" si="2"/>
        <v>0</v>
      </c>
      <c r="P13" s="16"/>
      <c r="Q13" s="27" t="s">
        <v>31</v>
      </c>
      <c r="R13" s="27" t="s">
        <v>36</v>
      </c>
      <c r="S13" s="27" t="s">
        <v>31</v>
      </c>
      <c r="T13" s="27" t="s">
        <v>33</v>
      </c>
      <c r="U13" s="27">
        <v>1.0</v>
      </c>
      <c r="V13" s="27">
        <v>1362.65047</v>
      </c>
      <c r="W13" s="27">
        <v>1864.4</v>
      </c>
      <c r="X13" s="27">
        <v>2.858091228E7</v>
      </c>
      <c r="Y13" s="16">
        <f t="shared" si="3"/>
        <v>28580912.28</v>
      </c>
      <c r="Z13" s="16">
        <f t="shared" si="4"/>
        <v>0.003015000373</v>
      </c>
      <c r="AA13" s="16"/>
      <c r="AB13" s="16"/>
      <c r="AC13" s="16"/>
      <c r="AD13" s="16"/>
      <c r="AE13" s="16"/>
    </row>
    <row r="14">
      <c r="A14" s="72" t="s">
        <v>36</v>
      </c>
      <c r="B14" s="72">
        <v>0.0</v>
      </c>
      <c r="C14" s="16"/>
      <c r="D14" s="27" t="s">
        <v>31</v>
      </c>
      <c r="E14" s="27" t="s">
        <v>32</v>
      </c>
      <c r="F14" s="27">
        <v>0.0</v>
      </c>
      <c r="G14" s="16"/>
      <c r="H14" s="27" t="s">
        <v>31</v>
      </c>
      <c r="I14" s="27" t="s">
        <v>36</v>
      </c>
      <c r="J14" s="27">
        <v>0.0</v>
      </c>
      <c r="K14" s="76">
        <f t="array" ref="K14">XLOOKUP(H14, 'Data jarak '!$A$2:$A$11, XLOOKUP(I14, 'Data jarak '!$B$1:$K$1, 'Data jarak '!$B$2:$K$11))</f>
        <v>1061.869</v>
      </c>
      <c r="L14" s="16">
        <f>vlookup(H14,Sheet4!$G$1:$I$11,2,false)</f>
        <v>125092.16</v>
      </c>
      <c r="M14" s="16">
        <f>vlookup(H14,Sheet4!$G$1:$I$11,3,false)</f>
        <v>73644.52</v>
      </c>
      <c r="N14" s="18">
        <f t="shared" si="1"/>
        <v>0</v>
      </c>
      <c r="O14" s="18">
        <f t="shared" si="2"/>
        <v>0</v>
      </c>
      <c r="P14" s="16"/>
      <c r="Q14" s="27" t="s">
        <v>31</v>
      </c>
      <c r="R14" s="27" t="s">
        <v>32</v>
      </c>
      <c r="S14" s="27" t="s">
        <v>31</v>
      </c>
      <c r="T14" s="27" t="s">
        <v>33</v>
      </c>
      <c r="U14" s="27">
        <v>1.0</v>
      </c>
      <c r="V14" s="27">
        <v>1362.65047</v>
      </c>
      <c r="W14" s="27">
        <v>11535.68</v>
      </c>
      <c r="X14" s="27">
        <v>1.768398724E8</v>
      </c>
      <c r="Y14" s="16">
        <f t="shared" si="3"/>
        <v>176839872.5</v>
      </c>
      <c r="Z14" s="16">
        <f t="shared" si="4"/>
        <v>0.05490800738</v>
      </c>
      <c r="AA14" s="16"/>
      <c r="AB14" s="16"/>
      <c r="AC14" s="16"/>
      <c r="AD14" s="16"/>
      <c r="AE14" s="16"/>
    </row>
    <row r="15">
      <c r="A15" s="72" t="s">
        <v>32</v>
      </c>
      <c r="B15" s="72">
        <v>0.0</v>
      </c>
      <c r="C15" s="16"/>
      <c r="D15" s="27" t="s">
        <v>31</v>
      </c>
      <c r="E15" s="27" t="s">
        <v>38</v>
      </c>
      <c r="F15" s="27">
        <v>0.0</v>
      </c>
      <c r="G15" s="16"/>
      <c r="H15" s="27" t="s">
        <v>31</v>
      </c>
      <c r="I15" s="27" t="s">
        <v>32</v>
      </c>
      <c r="J15" s="27">
        <v>0.0</v>
      </c>
      <c r="K15" s="76">
        <f t="array" ref="K15">XLOOKUP(H15, 'Data jarak '!$A$2:$A$11, XLOOKUP(I15, 'Data jarak '!$B$1:$K$1, 'Data jarak '!$B$2:$K$11))</f>
        <v>909.2041</v>
      </c>
      <c r="L15" s="16">
        <f>vlookup(H15,Sheet4!$G$1:$I$11,2,false)</f>
        <v>125092.16</v>
      </c>
      <c r="M15" s="16">
        <f>vlookup(H15,Sheet4!$G$1:$I$11,3,false)</f>
        <v>73644.52</v>
      </c>
      <c r="N15" s="18">
        <f t="shared" si="1"/>
        <v>0</v>
      </c>
      <c r="O15" s="18">
        <f t="shared" si="2"/>
        <v>0</v>
      </c>
      <c r="P15" s="16"/>
      <c r="Q15" s="27" t="s">
        <v>31</v>
      </c>
      <c r="R15" s="27" t="s">
        <v>38</v>
      </c>
      <c r="S15" s="27" t="s">
        <v>31</v>
      </c>
      <c r="T15" s="27" t="s">
        <v>33</v>
      </c>
      <c r="U15" s="27">
        <v>1.0</v>
      </c>
      <c r="V15" s="27">
        <v>1362.65047</v>
      </c>
      <c r="W15" s="27">
        <v>2464.44</v>
      </c>
      <c r="X15" s="27">
        <v>3.777941615E7</v>
      </c>
      <c r="Y15" s="16">
        <f t="shared" si="3"/>
        <v>37779416.15</v>
      </c>
      <c r="Z15" s="16">
        <f t="shared" si="4"/>
        <v>-0.001773498952</v>
      </c>
      <c r="AA15" s="16"/>
      <c r="AB15" s="16"/>
      <c r="AC15" s="16"/>
      <c r="AD15" s="16"/>
      <c r="AE15" s="16"/>
    </row>
    <row r="16">
      <c r="A16" s="72" t="s">
        <v>38</v>
      </c>
      <c r="B16" s="72">
        <v>0.0</v>
      </c>
      <c r="C16" s="16"/>
      <c r="D16" s="27" t="s">
        <v>31</v>
      </c>
      <c r="E16" s="27" t="s">
        <v>33</v>
      </c>
      <c r="F16" s="27">
        <v>1.0</v>
      </c>
      <c r="G16" s="16"/>
      <c r="H16" s="27" t="s">
        <v>31</v>
      </c>
      <c r="I16" s="27" t="s">
        <v>38</v>
      </c>
      <c r="J16" s="27">
        <v>0.0</v>
      </c>
      <c r="K16" s="76">
        <f t="array" ref="K16">XLOOKUP(H16, 'Data jarak '!$A$2:$A$11, XLOOKUP(I16, 'Data jarak '!$B$1:$K$1, 'Data jarak '!$B$2:$K$11))</f>
        <v>1187.826</v>
      </c>
      <c r="L16" s="16">
        <f>vlookup(H16,Sheet4!$G$1:$I$11,2,false)</f>
        <v>125092.16</v>
      </c>
      <c r="M16" s="16">
        <f>vlookup(H16,Sheet4!$G$1:$I$11,3,false)</f>
        <v>73644.52</v>
      </c>
      <c r="N16" s="18">
        <f t="shared" si="1"/>
        <v>0</v>
      </c>
      <c r="O16" s="18">
        <f t="shared" si="2"/>
        <v>0</v>
      </c>
      <c r="P16" s="16"/>
      <c r="Q16" s="27" t="s">
        <v>31</v>
      </c>
      <c r="R16" s="27" t="s">
        <v>33</v>
      </c>
      <c r="S16" s="27" t="s">
        <v>31</v>
      </c>
      <c r="T16" s="27" t="s">
        <v>33</v>
      </c>
      <c r="U16" s="27">
        <v>1.0</v>
      </c>
      <c r="V16" s="27">
        <v>1362.65047</v>
      </c>
      <c r="W16" s="27">
        <v>7952.0</v>
      </c>
      <c r="X16" s="27">
        <v>1.21902711E8</v>
      </c>
      <c r="Y16" s="16">
        <f t="shared" si="3"/>
        <v>121902711</v>
      </c>
      <c r="Z16" s="16">
        <f t="shared" si="4"/>
        <v>0.0462000072</v>
      </c>
      <c r="AA16" s="16"/>
      <c r="AB16" s="16"/>
      <c r="AC16" s="16"/>
      <c r="AD16" s="16"/>
      <c r="AE16" s="16"/>
    </row>
    <row r="17">
      <c r="A17" s="72" t="s">
        <v>33</v>
      </c>
      <c r="B17" s="72">
        <v>1.0</v>
      </c>
      <c r="C17" s="16"/>
      <c r="D17" s="27" t="s">
        <v>31</v>
      </c>
      <c r="E17" s="27" t="s">
        <v>39</v>
      </c>
      <c r="F17" s="27">
        <v>0.0</v>
      </c>
      <c r="G17" s="16"/>
      <c r="H17" s="27" t="s">
        <v>31</v>
      </c>
      <c r="I17" s="27" t="s">
        <v>33</v>
      </c>
      <c r="J17" s="27">
        <v>0.0</v>
      </c>
      <c r="K17" s="76">
        <f t="array" ref="K17">XLOOKUP(H17, 'Data jarak '!$A$2:$A$11, XLOOKUP(I17, 'Data jarak '!$B$1:$K$1, 'Data jarak '!$B$2:$K$11))</f>
        <v>1362.65</v>
      </c>
      <c r="L17" s="16">
        <f>vlookup(H17,Sheet4!$G$1:$I$11,2,false)</f>
        <v>125092.16</v>
      </c>
      <c r="M17" s="16">
        <f>vlookup(H17,Sheet4!$G$1:$I$11,3,false)</f>
        <v>73644.52</v>
      </c>
      <c r="N17" s="18">
        <f t="shared" si="1"/>
        <v>0</v>
      </c>
      <c r="O17" s="18">
        <f t="shared" si="2"/>
        <v>0</v>
      </c>
      <c r="P17" s="16"/>
      <c r="Q17" s="27" t="s">
        <v>31</v>
      </c>
      <c r="R17" s="27" t="s">
        <v>39</v>
      </c>
      <c r="S17" s="27" t="s">
        <v>31</v>
      </c>
      <c r="T17" s="27" t="s">
        <v>33</v>
      </c>
      <c r="U17" s="27">
        <v>1.0</v>
      </c>
      <c r="V17" s="27">
        <v>1362.65047</v>
      </c>
      <c r="W17" s="27">
        <v>2382.68</v>
      </c>
      <c r="X17" s="27">
        <v>3.652605024E7</v>
      </c>
      <c r="Y17" s="16">
        <f t="shared" si="3"/>
        <v>36526050.25</v>
      </c>
      <c r="Z17" s="16">
        <f t="shared" si="4"/>
        <v>0.005920492113</v>
      </c>
      <c r="AA17" s="16"/>
      <c r="AB17" s="16"/>
      <c r="AC17" s="16"/>
      <c r="AD17" s="16"/>
      <c r="AE17" s="16"/>
    </row>
    <row r="18">
      <c r="A18" s="72" t="s">
        <v>39</v>
      </c>
      <c r="B18" s="72">
        <v>0.0</v>
      </c>
      <c r="C18" s="16"/>
      <c r="D18" s="27" t="s">
        <v>31</v>
      </c>
      <c r="E18" s="27" t="s">
        <v>35</v>
      </c>
      <c r="F18" s="27">
        <v>0.0</v>
      </c>
      <c r="G18" s="16"/>
      <c r="H18" s="27" t="s">
        <v>31</v>
      </c>
      <c r="I18" s="27" t="s">
        <v>39</v>
      </c>
      <c r="J18" s="27">
        <v>0.0</v>
      </c>
      <c r="K18" s="76">
        <f t="array" ref="K18">XLOOKUP(H18, 'Data jarak '!$A$2:$A$11, XLOOKUP(I18, 'Data jarak '!$B$1:$K$1, 'Data jarak '!$B$2:$K$11))</f>
        <v>1641.94</v>
      </c>
      <c r="L18" s="16">
        <f>vlookup(H18,Sheet4!$G$1:$I$11,2,false)</f>
        <v>125092.16</v>
      </c>
      <c r="M18" s="16">
        <f>vlookup(H18,Sheet4!$G$1:$I$11,3,false)</f>
        <v>73644.52</v>
      </c>
      <c r="N18" s="18">
        <f t="shared" si="1"/>
        <v>0</v>
      </c>
      <c r="O18" s="18">
        <f t="shared" si="2"/>
        <v>0</v>
      </c>
      <c r="P18" s="16"/>
      <c r="Q18" s="27" t="s">
        <v>31</v>
      </c>
      <c r="R18" s="27" t="s">
        <v>39</v>
      </c>
      <c r="S18" s="27" t="s">
        <v>33</v>
      </c>
      <c r="T18" s="27" t="s">
        <v>35</v>
      </c>
      <c r="U18" s="27">
        <v>1.0</v>
      </c>
      <c r="V18" s="27">
        <v>475.5077631</v>
      </c>
      <c r="W18" s="27">
        <v>2382.68</v>
      </c>
      <c r="X18" s="27">
        <v>1.274605692E7</v>
      </c>
      <c r="Y18" s="16">
        <f t="shared" si="3"/>
        <v>12746056.92</v>
      </c>
      <c r="Z18" s="16">
        <f t="shared" si="4"/>
        <v>-0.003940034658</v>
      </c>
      <c r="AA18" s="16"/>
      <c r="AB18" s="16"/>
      <c r="AC18" s="16"/>
      <c r="AD18" s="16"/>
      <c r="AE18" s="16"/>
    </row>
    <row r="19">
      <c r="A19" s="72" t="s">
        <v>35</v>
      </c>
      <c r="B19" s="72">
        <v>1.0</v>
      </c>
      <c r="C19" s="16"/>
      <c r="D19" s="27" t="s">
        <v>31</v>
      </c>
      <c r="E19" s="27" t="s">
        <v>40</v>
      </c>
      <c r="F19" s="27">
        <v>0.0</v>
      </c>
      <c r="G19" s="16"/>
      <c r="H19" s="27" t="s">
        <v>31</v>
      </c>
      <c r="I19" s="27" t="s">
        <v>35</v>
      </c>
      <c r="J19" s="27">
        <v>0.0</v>
      </c>
      <c r="K19" s="76">
        <f t="array" ref="K19">XLOOKUP(H19, 'Data jarak '!$A$2:$A$11, XLOOKUP(I19, 'Data jarak '!$B$1:$K$1, 'Data jarak '!$B$2:$K$11))</f>
        <v>1810.495</v>
      </c>
      <c r="L19" s="16">
        <f>vlookup(H19,Sheet4!$G$1:$I$11,2,false)</f>
        <v>125092.16</v>
      </c>
      <c r="M19" s="16">
        <f>vlookup(H19,Sheet4!$G$1:$I$11,3,false)</f>
        <v>73644.52</v>
      </c>
      <c r="N19" s="18">
        <f t="shared" si="1"/>
        <v>0</v>
      </c>
      <c r="O19" s="18">
        <f t="shared" si="2"/>
        <v>0</v>
      </c>
      <c r="P19" s="16"/>
      <c r="Q19" s="27" t="s">
        <v>31</v>
      </c>
      <c r="R19" s="27" t="s">
        <v>35</v>
      </c>
      <c r="S19" s="27" t="s">
        <v>31</v>
      </c>
      <c r="T19" s="27" t="s">
        <v>33</v>
      </c>
      <c r="U19" s="27">
        <v>1.0</v>
      </c>
      <c r="V19" s="27">
        <v>1362.65047</v>
      </c>
      <c r="W19" s="27">
        <v>24726.24</v>
      </c>
      <c r="X19" s="27">
        <v>3.790487538E8</v>
      </c>
      <c r="Y19" s="16">
        <f t="shared" si="3"/>
        <v>379048753.8</v>
      </c>
      <c r="Z19" s="16">
        <f t="shared" si="4"/>
        <v>-0.03000599146</v>
      </c>
      <c r="AA19" s="16"/>
      <c r="AB19" s="16"/>
      <c r="AC19" s="16"/>
      <c r="AD19" s="16"/>
      <c r="AE19" s="16"/>
    </row>
    <row r="20">
      <c r="A20" s="72" t="s">
        <v>40</v>
      </c>
      <c r="B20" s="72">
        <v>0.0</v>
      </c>
      <c r="C20" s="16"/>
      <c r="D20" s="27" t="s">
        <v>31</v>
      </c>
      <c r="E20" s="27" t="s">
        <v>37</v>
      </c>
      <c r="F20" s="27">
        <v>0.0</v>
      </c>
      <c r="G20" s="16"/>
      <c r="H20" s="27" t="s">
        <v>31</v>
      </c>
      <c r="I20" s="27" t="s">
        <v>40</v>
      </c>
      <c r="J20" s="27">
        <v>0.0</v>
      </c>
      <c r="K20" s="76">
        <f t="array" ref="K20">XLOOKUP(H20, 'Data jarak '!$A$2:$A$11, XLOOKUP(I20, 'Data jarak '!$B$1:$K$1, 'Data jarak '!$B$2:$K$11))</f>
        <v>2163.425</v>
      </c>
      <c r="L20" s="16">
        <f>vlookup(H20,Sheet4!$G$1:$I$11,2,false)</f>
        <v>125092.16</v>
      </c>
      <c r="M20" s="16">
        <f>vlookup(H20,Sheet4!$G$1:$I$11,3,false)</f>
        <v>73644.52</v>
      </c>
      <c r="N20" s="18">
        <f t="shared" si="1"/>
        <v>0</v>
      </c>
      <c r="O20" s="18">
        <f t="shared" si="2"/>
        <v>0</v>
      </c>
      <c r="P20" s="16"/>
      <c r="Q20" s="27" t="s">
        <v>31</v>
      </c>
      <c r="R20" s="27" t="s">
        <v>35</v>
      </c>
      <c r="S20" s="27" t="s">
        <v>33</v>
      </c>
      <c r="T20" s="27" t="s">
        <v>35</v>
      </c>
      <c r="U20" s="27">
        <v>1.0</v>
      </c>
      <c r="V20" s="27">
        <v>475.5077631</v>
      </c>
      <c r="W20" s="27">
        <v>24726.24</v>
      </c>
      <c r="X20" s="27">
        <v>1.322720896E8</v>
      </c>
      <c r="Y20" s="16">
        <f t="shared" si="3"/>
        <v>132272089.6</v>
      </c>
      <c r="Z20" s="16">
        <f t="shared" si="4"/>
        <v>-0.03692036867</v>
      </c>
      <c r="AA20" s="16"/>
      <c r="AB20" s="16"/>
      <c r="AC20" s="16"/>
      <c r="AD20" s="16"/>
      <c r="AE20" s="16"/>
    </row>
    <row r="21">
      <c r="A21" s="72" t="s">
        <v>37</v>
      </c>
      <c r="B21" s="72">
        <v>1.0</v>
      </c>
      <c r="C21" s="16"/>
      <c r="D21" s="27" t="s">
        <v>34</v>
      </c>
      <c r="E21" s="27" t="s">
        <v>36</v>
      </c>
      <c r="F21" s="27">
        <v>0.0</v>
      </c>
      <c r="G21" s="16"/>
      <c r="H21" s="27" t="s">
        <v>31</v>
      </c>
      <c r="I21" s="27" t="s">
        <v>37</v>
      </c>
      <c r="J21" s="27">
        <v>0.0</v>
      </c>
      <c r="K21" s="76">
        <f t="array" ref="K21">XLOOKUP(H21, 'Data jarak '!$A$2:$A$11, XLOOKUP(I21, 'Data jarak '!$B$1:$K$1, 'Data jarak '!$B$2:$K$11))</f>
        <v>2382.411</v>
      </c>
      <c r="L21" s="16">
        <f>vlookup(H21,Sheet4!$G$1:$I$11,2,false)</f>
        <v>125092.16</v>
      </c>
      <c r="M21" s="16">
        <f>vlookup(H21,Sheet4!$G$1:$I$11,3,false)</f>
        <v>73644.52</v>
      </c>
      <c r="N21" s="18">
        <f t="shared" si="1"/>
        <v>0</v>
      </c>
      <c r="O21" s="18">
        <f t="shared" si="2"/>
        <v>0</v>
      </c>
      <c r="P21" s="16"/>
      <c r="Q21" s="27" t="s">
        <v>31</v>
      </c>
      <c r="R21" s="27" t="s">
        <v>40</v>
      </c>
      <c r="S21" s="27" t="s">
        <v>31</v>
      </c>
      <c r="T21" s="27" t="s">
        <v>33</v>
      </c>
      <c r="U21" s="27">
        <v>1.0</v>
      </c>
      <c r="V21" s="27">
        <v>1362.65047</v>
      </c>
      <c r="W21" s="27">
        <v>2266.6</v>
      </c>
      <c r="X21" s="27">
        <v>3.4746565E7</v>
      </c>
      <c r="Y21" s="16">
        <f t="shared" si="3"/>
        <v>34746565</v>
      </c>
      <c r="Z21" s="16">
        <f t="shared" si="4"/>
        <v>-0.002852499485</v>
      </c>
      <c r="AA21" s="16"/>
      <c r="AB21" s="16"/>
      <c r="AC21" s="16"/>
      <c r="AD21" s="16"/>
      <c r="AE21" s="16"/>
    </row>
    <row r="22">
      <c r="A22" s="16"/>
      <c r="B22" s="16"/>
      <c r="C22" s="16"/>
      <c r="D22" s="27" t="s">
        <v>34</v>
      </c>
      <c r="E22" s="27" t="s">
        <v>32</v>
      </c>
      <c r="F22" s="27">
        <v>0.0</v>
      </c>
      <c r="G22" s="16"/>
      <c r="H22" s="27" t="s">
        <v>34</v>
      </c>
      <c r="I22" s="27" t="s">
        <v>31</v>
      </c>
      <c r="J22" s="27">
        <v>0.0</v>
      </c>
      <c r="K22" s="76">
        <f t="array" ref="K22">XLOOKUP(H22, 'Data jarak '!$A$2:$A$11, XLOOKUP(I22, 'Data jarak '!$B$1:$K$1, 'Data jarak '!$B$2:$K$11))</f>
        <v>404.8972</v>
      </c>
      <c r="L22" s="16">
        <f>vlookup(H22,Sheet4!$G$1:$I$11,2,false)</f>
        <v>30992.74</v>
      </c>
      <c r="M22" s="16">
        <f>vlookup(H22,Sheet4!$G$1:$I$11,3,false)</f>
        <v>21308.78</v>
      </c>
      <c r="N22" s="18">
        <f t="shared" si="1"/>
        <v>0</v>
      </c>
      <c r="O22" s="18">
        <f t="shared" si="2"/>
        <v>0</v>
      </c>
      <c r="P22" s="16"/>
      <c r="Q22" s="27" t="s">
        <v>31</v>
      </c>
      <c r="R22" s="27" t="s">
        <v>40</v>
      </c>
      <c r="S22" s="27" t="s">
        <v>33</v>
      </c>
      <c r="T22" s="27" t="s">
        <v>35</v>
      </c>
      <c r="U22" s="27">
        <v>1.0</v>
      </c>
      <c r="V22" s="27">
        <v>475.5077631</v>
      </c>
      <c r="W22" s="27">
        <v>2266.6</v>
      </c>
      <c r="X22" s="27">
        <v>1.212509133E7</v>
      </c>
      <c r="Y22" s="16">
        <f t="shared" si="3"/>
        <v>12125091.33</v>
      </c>
      <c r="Z22" s="16">
        <f t="shared" si="4"/>
        <v>-0.001772325486</v>
      </c>
      <c r="AA22" s="16"/>
      <c r="AB22" s="16"/>
      <c r="AC22" s="16"/>
      <c r="AD22" s="16"/>
      <c r="AE22" s="16"/>
    </row>
    <row r="23">
      <c r="A23" s="16"/>
      <c r="B23" s="16"/>
      <c r="C23" s="16"/>
      <c r="D23" s="27" t="s">
        <v>34</v>
      </c>
      <c r="E23" s="27" t="s">
        <v>38</v>
      </c>
      <c r="F23" s="27">
        <v>0.0</v>
      </c>
      <c r="G23" s="16"/>
      <c r="H23" s="27" t="s">
        <v>34</v>
      </c>
      <c r="I23" s="27" t="s">
        <v>34</v>
      </c>
      <c r="J23" s="27">
        <v>0.0</v>
      </c>
      <c r="K23" s="76">
        <f t="array" ref="K23">XLOOKUP(H23, 'Data jarak '!$A$2:$A$11, XLOOKUP(I23, 'Data jarak '!$B$1:$K$1, 'Data jarak '!$B$2:$K$11))</f>
        <v>0</v>
      </c>
      <c r="L23" s="16">
        <f>vlookup(H23,Sheet4!$G$1:$I$11,2,false)</f>
        <v>30992.74</v>
      </c>
      <c r="M23" s="16">
        <f>vlookup(H23,Sheet4!$G$1:$I$11,3,false)</f>
        <v>21308.78</v>
      </c>
      <c r="N23" s="18">
        <f t="shared" si="1"/>
        <v>0</v>
      </c>
      <c r="O23" s="18">
        <f t="shared" si="2"/>
        <v>0</v>
      </c>
      <c r="P23" s="16"/>
      <c r="Q23" s="27" t="s">
        <v>31</v>
      </c>
      <c r="R23" s="27" t="s">
        <v>37</v>
      </c>
      <c r="S23" s="27" t="s">
        <v>31</v>
      </c>
      <c r="T23" s="27" t="s">
        <v>33</v>
      </c>
      <c r="U23" s="27">
        <v>1.0</v>
      </c>
      <c r="V23" s="27">
        <v>1362.65047</v>
      </c>
      <c r="W23" s="27">
        <v>70439.32</v>
      </c>
      <c r="X23" s="27">
        <v>1.079821941E9</v>
      </c>
      <c r="Y23" s="16">
        <f t="shared" si="3"/>
        <v>1079821941</v>
      </c>
      <c r="Z23" s="16">
        <f t="shared" si="4"/>
        <v>-0.3245954514</v>
      </c>
      <c r="AA23" s="16"/>
      <c r="AB23" s="16"/>
      <c r="AC23" s="16"/>
      <c r="AD23" s="16"/>
      <c r="AE23" s="16"/>
    </row>
    <row r="24">
      <c r="A24" s="16"/>
      <c r="B24" s="16"/>
      <c r="C24" s="16"/>
      <c r="D24" s="27" t="s">
        <v>34</v>
      </c>
      <c r="E24" s="27" t="s">
        <v>33</v>
      </c>
      <c r="F24" s="27">
        <v>0.0</v>
      </c>
      <c r="G24" s="16"/>
      <c r="H24" s="27" t="s">
        <v>34</v>
      </c>
      <c r="I24" s="27" t="s">
        <v>36</v>
      </c>
      <c r="J24" s="27">
        <v>0.0</v>
      </c>
      <c r="K24" s="76">
        <f t="array" ref="K24">XLOOKUP(H24, 'Data jarak '!$A$2:$A$11, XLOOKUP(I24, 'Data jarak '!$B$1:$K$1, 'Data jarak '!$B$2:$K$11))</f>
        <v>657.5094</v>
      </c>
      <c r="L24" s="16">
        <f>vlookup(H24,Sheet4!$G$1:$I$11,2,false)</f>
        <v>30992.74</v>
      </c>
      <c r="M24" s="16">
        <f>vlookup(H24,Sheet4!$G$1:$I$11,3,false)</f>
        <v>21308.78</v>
      </c>
      <c r="N24" s="18">
        <f t="shared" si="1"/>
        <v>0</v>
      </c>
      <c r="O24" s="18">
        <f t="shared" si="2"/>
        <v>0</v>
      </c>
      <c r="P24" s="16"/>
      <c r="Q24" s="27" t="s">
        <v>31</v>
      </c>
      <c r="R24" s="27" t="s">
        <v>37</v>
      </c>
      <c r="S24" s="27" t="s">
        <v>33</v>
      </c>
      <c r="T24" s="27" t="s">
        <v>35</v>
      </c>
      <c r="U24" s="27">
        <v>1.0</v>
      </c>
      <c r="V24" s="27">
        <v>475.5077631</v>
      </c>
      <c r="W24" s="27">
        <v>70439.32</v>
      </c>
      <c r="X24" s="27">
        <v>3.768124893E8</v>
      </c>
      <c r="Y24" s="16">
        <f t="shared" si="3"/>
        <v>376812489.2</v>
      </c>
      <c r="Z24" s="16">
        <f t="shared" si="4"/>
        <v>-0.06579267979</v>
      </c>
      <c r="AA24" s="16"/>
      <c r="AB24" s="16"/>
      <c r="AC24" s="16"/>
      <c r="AD24" s="16"/>
      <c r="AE24" s="16"/>
    </row>
    <row r="25">
      <c r="A25" s="16"/>
      <c r="B25" s="16"/>
      <c r="C25" s="16"/>
      <c r="D25" s="27" t="s">
        <v>34</v>
      </c>
      <c r="E25" s="27" t="s">
        <v>39</v>
      </c>
      <c r="F25" s="27">
        <v>0.0</v>
      </c>
      <c r="G25" s="16"/>
      <c r="H25" s="27" t="s">
        <v>34</v>
      </c>
      <c r="I25" s="27" t="s">
        <v>32</v>
      </c>
      <c r="J25" s="27">
        <v>0.0</v>
      </c>
      <c r="K25" s="76">
        <f t="array" ref="K25">XLOOKUP(H25, 'Data jarak '!$A$2:$A$11, XLOOKUP(I25, 'Data jarak '!$B$1:$K$1, 'Data jarak '!$B$2:$K$11))</f>
        <v>563.3406</v>
      </c>
      <c r="L25" s="16">
        <f>vlookup(H25,Sheet4!$G$1:$I$11,2,false)</f>
        <v>30992.74</v>
      </c>
      <c r="M25" s="16">
        <f>vlookup(H25,Sheet4!$G$1:$I$11,3,false)</f>
        <v>21308.78</v>
      </c>
      <c r="N25" s="18">
        <f t="shared" si="1"/>
        <v>0</v>
      </c>
      <c r="O25" s="18">
        <f t="shared" si="2"/>
        <v>0</v>
      </c>
      <c r="P25" s="16"/>
      <c r="Q25" s="27" t="s">
        <v>31</v>
      </c>
      <c r="R25" s="27" t="s">
        <v>37</v>
      </c>
      <c r="S25" s="27" t="s">
        <v>35</v>
      </c>
      <c r="T25" s="27" t="s">
        <v>37</v>
      </c>
      <c r="U25" s="27">
        <v>1.0</v>
      </c>
      <c r="V25" s="27">
        <v>658.2451157</v>
      </c>
      <c r="W25" s="27">
        <v>70439.32</v>
      </c>
      <c r="X25" s="27">
        <v>5.216213064E8</v>
      </c>
      <c r="Y25" s="16">
        <f t="shared" si="3"/>
        <v>521621306.4</v>
      </c>
      <c r="Z25" s="16">
        <f t="shared" si="4"/>
        <v>-0.03866994381</v>
      </c>
      <c r="AA25" s="16"/>
      <c r="AB25" s="16"/>
      <c r="AC25" s="16"/>
      <c r="AD25" s="16"/>
      <c r="AE25" s="16"/>
    </row>
    <row r="26">
      <c r="A26" s="16"/>
      <c r="B26" s="16"/>
      <c r="C26" s="16"/>
      <c r="D26" s="27" t="s">
        <v>34</v>
      </c>
      <c r="E26" s="27" t="s">
        <v>35</v>
      </c>
      <c r="F26" s="27">
        <v>0.0</v>
      </c>
      <c r="G26" s="16"/>
      <c r="H26" s="27" t="s">
        <v>34</v>
      </c>
      <c r="I26" s="27" t="s">
        <v>38</v>
      </c>
      <c r="J26" s="27">
        <v>0.0</v>
      </c>
      <c r="K26" s="76">
        <f t="array" ref="K26">XLOOKUP(H26, 'Data jarak '!$A$2:$A$11, XLOOKUP(I26, 'Data jarak '!$B$1:$K$1, 'Data jarak '!$B$2:$K$11))</f>
        <v>790.5225</v>
      </c>
      <c r="L26" s="16">
        <f>vlookup(H26,Sheet4!$G$1:$I$11,2,false)</f>
        <v>30992.74</v>
      </c>
      <c r="M26" s="16">
        <f>vlookup(H26,Sheet4!$G$1:$I$11,3,false)</f>
        <v>21308.78</v>
      </c>
      <c r="N26" s="18">
        <f t="shared" si="1"/>
        <v>0</v>
      </c>
      <c r="O26" s="18">
        <f t="shared" si="2"/>
        <v>0</v>
      </c>
      <c r="P26" s="16"/>
      <c r="Q26" s="27" t="s">
        <v>34</v>
      </c>
      <c r="R26" s="27" t="s">
        <v>31</v>
      </c>
      <c r="S26" s="27" t="s">
        <v>33</v>
      </c>
      <c r="T26" s="27" t="s">
        <v>31</v>
      </c>
      <c r="U26" s="27">
        <v>1.0</v>
      </c>
      <c r="V26" s="27">
        <v>1362.65047</v>
      </c>
      <c r="W26" s="27">
        <v>1517.87</v>
      </c>
      <c r="X26" s="27">
        <v>2.326867052E7</v>
      </c>
      <c r="Y26" s="16">
        <f t="shared" si="3"/>
        <v>23268670.53</v>
      </c>
      <c r="Z26" s="16">
        <f t="shared" si="4"/>
        <v>0.005112625659</v>
      </c>
      <c r="AA26" s="16"/>
      <c r="AB26" s="16"/>
      <c r="AC26" s="16"/>
      <c r="AD26" s="16"/>
      <c r="AE26" s="16"/>
    </row>
    <row r="27">
      <c r="A27" s="16"/>
      <c r="B27" s="16"/>
      <c r="C27" s="16"/>
      <c r="D27" s="27" t="s">
        <v>34</v>
      </c>
      <c r="E27" s="27" t="s">
        <v>40</v>
      </c>
      <c r="F27" s="27">
        <v>0.0</v>
      </c>
      <c r="G27" s="16"/>
      <c r="H27" s="27" t="s">
        <v>34</v>
      </c>
      <c r="I27" s="27" t="s">
        <v>33</v>
      </c>
      <c r="J27" s="27">
        <v>1.0</v>
      </c>
      <c r="K27" s="76">
        <f t="array" ref="K27">XLOOKUP(H27, 'Data jarak '!$A$2:$A$11, XLOOKUP(I27, 'Data jarak '!$B$1:$K$1, 'Data jarak '!$B$2:$K$11))</f>
        <v>966.6815</v>
      </c>
      <c r="L27" s="16">
        <f>vlookup(H27,Sheet4!$G$1:$I$11,2,false)</f>
        <v>30992.74</v>
      </c>
      <c r="M27" s="16">
        <f>vlookup(H27,Sheet4!$G$1:$I$11,3,false)</f>
        <v>21308.78</v>
      </c>
      <c r="N27" s="18">
        <f t="shared" si="1"/>
        <v>449401625.9</v>
      </c>
      <c r="O27" s="18">
        <f t="shared" si="2"/>
        <v>308982051.2</v>
      </c>
      <c r="P27" s="16"/>
      <c r="Q27" s="27" t="s">
        <v>34</v>
      </c>
      <c r="R27" s="27" t="s">
        <v>39</v>
      </c>
      <c r="S27" s="27" t="s">
        <v>33</v>
      </c>
      <c r="T27" s="27" t="s">
        <v>35</v>
      </c>
      <c r="U27" s="27">
        <v>1.0</v>
      </c>
      <c r="V27" s="27">
        <v>475.5077631</v>
      </c>
      <c r="W27" s="27">
        <v>2635.73</v>
      </c>
      <c r="X27" s="27">
        <v>1.409973836E7</v>
      </c>
      <c r="Y27" s="16">
        <f t="shared" si="3"/>
        <v>14099738.36</v>
      </c>
      <c r="Z27" s="16">
        <f t="shared" si="4"/>
        <v>-0.0000999160111</v>
      </c>
      <c r="AA27" s="16"/>
      <c r="AB27" s="16"/>
      <c r="AC27" s="16"/>
      <c r="AD27" s="16"/>
      <c r="AE27" s="16"/>
    </row>
    <row r="28">
      <c r="A28" s="16"/>
      <c r="B28" s="16"/>
      <c r="C28" s="16"/>
      <c r="D28" s="27" t="s">
        <v>34</v>
      </c>
      <c r="E28" s="27" t="s">
        <v>37</v>
      </c>
      <c r="F28" s="27">
        <v>0.0</v>
      </c>
      <c r="G28" s="16"/>
      <c r="H28" s="27" t="s">
        <v>34</v>
      </c>
      <c r="I28" s="27" t="s">
        <v>39</v>
      </c>
      <c r="J28" s="27">
        <v>0.0</v>
      </c>
      <c r="K28" s="76">
        <f t="array" ref="K28">XLOOKUP(H28, 'Data jarak '!$A$2:$A$11, XLOOKUP(I28, 'Data jarak '!$B$1:$K$1, 'Data jarak '!$B$2:$K$11))</f>
        <v>1264.945</v>
      </c>
      <c r="L28" s="16">
        <f>vlookup(H28,Sheet4!$G$1:$I$11,2,false)</f>
        <v>30992.74</v>
      </c>
      <c r="M28" s="16">
        <f>vlookup(H28,Sheet4!$G$1:$I$11,3,false)</f>
        <v>21308.78</v>
      </c>
      <c r="N28" s="18">
        <f t="shared" si="1"/>
        <v>0</v>
      </c>
      <c r="O28" s="18">
        <f t="shared" si="2"/>
        <v>0</v>
      </c>
      <c r="P28" s="16"/>
      <c r="Q28" s="27" t="s">
        <v>34</v>
      </c>
      <c r="R28" s="27" t="s">
        <v>35</v>
      </c>
      <c r="S28" s="27" t="s">
        <v>33</v>
      </c>
      <c r="T28" s="27" t="s">
        <v>35</v>
      </c>
      <c r="U28" s="27">
        <v>1.0</v>
      </c>
      <c r="V28" s="27">
        <v>475.5077631</v>
      </c>
      <c r="W28" s="27">
        <v>6039.82</v>
      </c>
      <c r="X28" s="27">
        <v>3.23097896E7</v>
      </c>
      <c r="Y28" s="16">
        <f t="shared" si="3"/>
        <v>32309789.6</v>
      </c>
      <c r="Z28" s="16">
        <f t="shared" si="4"/>
        <v>-0.0005752779543</v>
      </c>
      <c r="AA28" s="16"/>
      <c r="AB28" s="16"/>
      <c r="AC28" s="16"/>
      <c r="AD28" s="16"/>
      <c r="AE28" s="16"/>
    </row>
    <row r="29">
      <c r="A29" s="16"/>
      <c r="B29" s="16"/>
      <c r="C29" s="16"/>
      <c r="D29" s="27" t="s">
        <v>36</v>
      </c>
      <c r="E29" s="27" t="s">
        <v>32</v>
      </c>
      <c r="F29" s="27">
        <v>0.0</v>
      </c>
      <c r="G29" s="16"/>
      <c r="H29" s="27" t="s">
        <v>34</v>
      </c>
      <c r="I29" s="27" t="s">
        <v>35</v>
      </c>
      <c r="J29" s="27">
        <v>0.0</v>
      </c>
      <c r="K29" s="76">
        <f t="array" ref="K29">XLOOKUP(H29, 'Data jarak '!$A$2:$A$11, XLOOKUP(I29, 'Data jarak '!$B$1:$K$1, 'Data jarak '!$B$2:$K$11))</f>
        <v>1425.636</v>
      </c>
      <c r="L29" s="16">
        <f>vlookup(H29,Sheet4!$G$1:$I$11,2,false)</f>
        <v>30992.74</v>
      </c>
      <c r="M29" s="16">
        <f>vlookup(H29,Sheet4!$G$1:$I$11,3,false)</f>
        <v>21308.78</v>
      </c>
      <c r="N29" s="18">
        <f t="shared" si="1"/>
        <v>0</v>
      </c>
      <c r="O29" s="18">
        <f t="shared" si="2"/>
        <v>0</v>
      </c>
      <c r="P29" s="16"/>
      <c r="Q29" s="27" t="s">
        <v>34</v>
      </c>
      <c r="R29" s="27" t="s">
        <v>40</v>
      </c>
      <c r="S29" s="27" t="s">
        <v>33</v>
      </c>
      <c r="T29" s="27" t="s">
        <v>35</v>
      </c>
      <c r="U29" s="27">
        <v>1.0</v>
      </c>
      <c r="V29" s="27">
        <v>475.5077631</v>
      </c>
      <c r="W29" s="27">
        <v>3678.83</v>
      </c>
      <c r="X29" s="27">
        <v>1.967976252E7</v>
      </c>
      <c r="Y29" s="16">
        <f t="shared" si="3"/>
        <v>19679762.52</v>
      </c>
      <c r="Z29" s="16">
        <f t="shared" si="4"/>
        <v>0.001408196986</v>
      </c>
      <c r="AA29" s="16"/>
      <c r="AB29" s="16"/>
      <c r="AC29" s="16"/>
      <c r="AD29" s="16"/>
      <c r="AE29" s="16"/>
    </row>
    <row r="30">
      <c r="A30" s="16"/>
      <c r="B30" s="16"/>
      <c r="C30" s="16"/>
      <c r="D30" s="27" t="s">
        <v>36</v>
      </c>
      <c r="E30" s="27" t="s">
        <v>38</v>
      </c>
      <c r="F30" s="27">
        <v>0.0</v>
      </c>
      <c r="G30" s="16"/>
      <c r="H30" s="27" t="s">
        <v>34</v>
      </c>
      <c r="I30" s="27" t="s">
        <v>40</v>
      </c>
      <c r="J30" s="27">
        <v>0.0</v>
      </c>
      <c r="K30" s="76">
        <f t="array" ref="K30">XLOOKUP(H30, 'Data jarak '!$A$2:$A$11, XLOOKUP(I30, 'Data jarak '!$B$1:$K$1, 'Data jarak '!$B$2:$K$11))</f>
        <v>1766.499</v>
      </c>
      <c r="L30" s="16">
        <f>vlookup(H30,Sheet4!$G$1:$I$11,2,false)</f>
        <v>30992.74</v>
      </c>
      <c r="M30" s="16">
        <f>vlookup(H30,Sheet4!$G$1:$I$11,3,false)</f>
        <v>21308.78</v>
      </c>
      <c r="N30" s="18">
        <f t="shared" si="1"/>
        <v>0</v>
      </c>
      <c r="O30" s="18">
        <f t="shared" si="2"/>
        <v>0</v>
      </c>
      <c r="P30" s="16"/>
      <c r="Q30" s="27" t="s">
        <v>34</v>
      </c>
      <c r="R30" s="27" t="s">
        <v>37</v>
      </c>
      <c r="S30" s="27" t="s">
        <v>33</v>
      </c>
      <c r="T30" s="27" t="s">
        <v>35</v>
      </c>
      <c r="U30" s="27">
        <v>1.0</v>
      </c>
      <c r="V30" s="27">
        <v>475.5077631</v>
      </c>
      <c r="W30" s="27">
        <v>4136.76</v>
      </c>
      <c r="X30" s="27">
        <v>2.212944181E7</v>
      </c>
      <c r="Y30" s="16">
        <f t="shared" si="3"/>
        <v>22129441.81</v>
      </c>
      <c r="Z30" s="16">
        <f t="shared" si="4"/>
        <v>-0.001582492143</v>
      </c>
      <c r="AA30" s="16"/>
      <c r="AB30" s="16"/>
      <c r="AC30" s="16"/>
      <c r="AD30" s="16"/>
      <c r="AE30" s="16"/>
    </row>
    <row r="31">
      <c r="A31" s="16"/>
      <c r="B31" s="16"/>
      <c r="C31" s="16"/>
      <c r="D31" s="27" t="s">
        <v>36</v>
      </c>
      <c r="E31" s="27" t="s">
        <v>33</v>
      </c>
      <c r="F31" s="27">
        <v>0.0</v>
      </c>
      <c r="G31" s="16"/>
      <c r="H31" s="27" t="s">
        <v>34</v>
      </c>
      <c r="I31" s="27" t="s">
        <v>37</v>
      </c>
      <c r="J31" s="27">
        <v>0.0</v>
      </c>
      <c r="K31" s="76">
        <f t="array" ref="K31">XLOOKUP(H31, 'Data jarak '!$A$2:$A$11, XLOOKUP(I31, 'Data jarak '!$B$1:$K$1, 'Data jarak '!$B$2:$K$11))</f>
        <v>1980.994</v>
      </c>
      <c r="L31" s="16">
        <f>vlookup(H31,Sheet4!$G$1:$I$11,2,false)</f>
        <v>30992.74</v>
      </c>
      <c r="M31" s="16">
        <f>vlookup(H31,Sheet4!$G$1:$I$11,3,false)</f>
        <v>21308.78</v>
      </c>
      <c r="N31" s="18">
        <f t="shared" si="1"/>
        <v>0</v>
      </c>
      <c r="O31" s="18">
        <f t="shared" si="2"/>
        <v>0</v>
      </c>
      <c r="P31" s="16"/>
      <c r="Q31" s="27" t="s">
        <v>34</v>
      </c>
      <c r="R31" s="27" t="s">
        <v>37</v>
      </c>
      <c r="S31" s="27" t="s">
        <v>35</v>
      </c>
      <c r="T31" s="27" t="s">
        <v>37</v>
      </c>
      <c r="U31" s="27">
        <v>1.0</v>
      </c>
      <c r="V31" s="27">
        <v>658.2451157</v>
      </c>
      <c r="W31" s="27">
        <v>4136.76</v>
      </c>
      <c r="X31" s="27">
        <v>3.063377323E7</v>
      </c>
      <c r="Y31" s="16">
        <f t="shared" si="3"/>
        <v>30633773.23</v>
      </c>
      <c r="Z31" s="16">
        <f t="shared" si="4"/>
        <v>-0.0007397606969</v>
      </c>
      <c r="AA31" s="16"/>
      <c r="AB31" s="16"/>
      <c r="AC31" s="16"/>
      <c r="AD31" s="16"/>
      <c r="AE31" s="16"/>
    </row>
    <row r="32">
      <c r="A32" s="16"/>
      <c r="B32" s="16"/>
      <c r="C32" s="16"/>
      <c r="D32" s="27" t="s">
        <v>36</v>
      </c>
      <c r="E32" s="27" t="s">
        <v>39</v>
      </c>
      <c r="F32" s="27">
        <v>0.0</v>
      </c>
      <c r="G32" s="16"/>
      <c r="H32" s="27" t="s">
        <v>36</v>
      </c>
      <c r="I32" s="27" t="s">
        <v>31</v>
      </c>
      <c r="J32" s="27">
        <v>0.0</v>
      </c>
      <c r="K32" s="76">
        <f t="array" ref="K32">XLOOKUP(H32, 'Data jarak '!$A$2:$A$11, XLOOKUP(I32, 'Data jarak '!$B$1:$K$1, 'Data jarak '!$B$2:$K$11))</f>
        <v>1061.869</v>
      </c>
      <c r="L32" s="16">
        <f>vlookup(H32,Sheet4!$G$1:$I$11,2,false)</f>
        <v>27365.36</v>
      </c>
      <c r="M32" s="16">
        <f>vlookup(H32,Sheet4!$G$1:$I$11,3,false)</f>
        <v>48760.24</v>
      </c>
      <c r="N32" s="18">
        <f t="shared" si="1"/>
        <v>0</v>
      </c>
      <c r="O32" s="18">
        <f t="shared" si="2"/>
        <v>0</v>
      </c>
      <c r="P32" s="16"/>
      <c r="Q32" s="27" t="s">
        <v>36</v>
      </c>
      <c r="R32" s="27" t="s">
        <v>31</v>
      </c>
      <c r="S32" s="27" t="s">
        <v>33</v>
      </c>
      <c r="T32" s="27" t="s">
        <v>31</v>
      </c>
      <c r="U32" s="27">
        <v>1.0</v>
      </c>
      <c r="V32" s="27">
        <v>1362.65047</v>
      </c>
      <c r="W32" s="27">
        <v>881.92</v>
      </c>
      <c r="X32" s="27">
        <v>1.35196729E7</v>
      </c>
      <c r="Y32" s="16">
        <f t="shared" si="3"/>
        <v>13519672.9</v>
      </c>
      <c r="Z32" s="16">
        <f t="shared" si="4"/>
        <v>0.003151999786</v>
      </c>
      <c r="AA32" s="16"/>
      <c r="AB32" s="16"/>
      <c r="AC32" s="16"/>
      <c r="AD32" s="16"/>
      <c r="AE32" s="16"/>
    </row>
    <row r="33">
      <c r="A33" s="16"/>
      <c r="B33" s="16"/>
      <c r="C33" s="16"/>
      <c r="D33" s="27" t="s">
        <v>36</v>
      </c>
      <c r="E33" s="27" t="s">
        <v>35</v>
      </c>
      <c r="F33" s="27">
        <v>0.0</v>
      </c>
      <c r="G33" s="16"/>
      <c r="H33" s="27" t="s">
        <v>36</v>
      </c>
      <c r="I33" s="27" t="s">
        <v>34</v>
      </c>
      <c r="J33" s="27">
        <v>0.0</v>
      </c>
      <c r="K33" s="76">
        <f t="array" ref="K33">XLOOKUP(H33, 'Data jarak '!$A$2:$A$11, XLOOKUP(I33, 'Data jarak '!$B$1:$K$1, 'Data jarak '!$B$2:$K$11))</f>
        <v>657.5094</v>
      </c>
      <c r="L33" s="16">
        <f>vlookup(H33,Sheet4!$G$1:$I$11,2,false)</f>
        <v>27365.36</v>
      </c>
      <c r="M33" s="16">
        <f>vlookup(H33,Sheet4!$G$1:$I$11,3,false)</f>
        <v>48760.24</v>
      </c>
      <c r="N33" s="18">
        <f t="shared" si="1"/>
        <v>0</v>
      </c>
      <c r="O33" s="18">
        <f t="shared" si="2"/>
        <v>0</v>
      </c>
      <c r="P33" s="16"/>
      <c r="Q33" s="27" t="s">
        <v>36</v>
      </c>
      <c r="R33" s="27" t="s">
        <v>39</v>
      </c>
      <c r="S33" s="27" t="s">
        <v>33</v>
      </c>
      <c r="T33" s="27" t="s">
        <v>35</v>
      </c>
      <c r="U33" s="27">
        <v>1.0</v>
      </c>
      <c r="V33" s="27">
        <v>475.5077631</v>
      </c>
      <c r="W33" s="27">
        <v>10479.28</v>
      </c>
      <c r="X33" s="27">
        <v>5.605851366E7</v>
      </c>
      <c r="Y33" s="16">
        <f t="shared" si="3"/>
        <v>56058513.66</v>
      </c>
      <c r="Z33" s="16">
        <f t="shared" si="4"/>
        <v>-0.003391101956</v>
      </c>
      <c r="AA33" s="16"/>
      <c r="AB33" s="16"/>
      <c r="AC33" s="16"/>
      <c r="AD33" s="16"/>
      <c r="AE33" s="16"/>
    </row>
    <row r="34">
      <c r="A34" s="16"/>
      <c r="B34" s="16"/>
      <c r="C34" s="16"/>
      <c r="D34" s="27" t="s">
        <v>36</v>
      </c>
      <c r="E34" s="27" t="s">
        <v>40</v>
      </c>
      <c r="F34" s="27">
        <v>0.0</v>
      </c>
      <c r="G34" s="16"/>
      <c r="H34" s="27" t="s">
        <v>36</v>
      </c>
      <c r="I34" s="27" t="s">
        <v>36</v>
      </c>
      <c r="J34" s="27">
        <v>0.0</v>
      </c>
      <c r="K34" s="76">
        <f t="array" ref="K34">XLOOKUP(H34, 'Data jarak '!$A$2:$A$11, XLOOKUP(I34, 'Data jarak '!$B$1:$K$1, 'Data jarak '!$B$2:$K$11))</f>
        <v>0</v>
      </c>
      <c r="L34" s="16">
        <f>vlookup(H34,Sheet4!$G$1:$I$11,2,false)</f>
        <v>27365.36</v>
      </c>
      <c r="M34" s="16">
        <f>vlookup(H34,Sheet4!$G$1:$I$11,3,false)</f>
        <v>48760.24</v>
      </c>
      <c r="N34" s="18">
        <f t="shared" si="1"/>
        <v>0</v>
      </c>
      <c r="O34" s="18">
        <f t="shared" si="2"/>
        <v>0</v>
      </c>
      <c r="P34" s="16"/>
      <c r="Q34" s="27" t="s">
        <v>36</v>
      </c>
      <c r="R34" s="27" t="s">
        <v>35</v>
      </c>
      <c r="S34" s="27" t="s">
        <v>33</v>
      </c>
      <c r="T34" s="27" t="s">
        <v>35</v>
      </c>
      <c r="U34" s="27">
        <v>1.0</v>
      </c>
      <c r="V34" s="27">
        <v>475.5077631</v>
      </c>
      <c r="W34" s="27">
        <v>5041.36</v>
      </c>
      <c r="X34" s="27">
        <v>2.696856544E7</v>
      </c>
      <c r="Y34" s="16">
        <f t="shared" si="3"/>
        <v>26968565.44</v>
      </c>
      <c r="Z34" s="16">
        <f t="shared" si="4"/>
        <v>-0.003454573452</v>
      </c>
      <c r="AA34" s="16"/>
      <c r="AB34" s="16"/>
      <c r="AC34" s="16"/>
      <c r="AD34" s="16"/>
      <c r="AE34" s="16"/>
    </row>
    <row r="35">
      <c r="A35" s="16"/>
      <c r="B35" s="16"/>
      <c r="C35" s="16"/>
      <c r="D35" s="27" t="s">
        <v>36</v>
      </c>
      <c r="E35" s="27" t="s">
        <v>37</v>
      </c>
      <c r="F35" s="27">
        <v>0.0</v>
      </c>
      <c r="G35" s="16"/>
      <c r="H35" s="27" t="s">
        <v>36</v>
      </c>
      <c r="I35" s="27" t="s">
        <v>32</v>
      </c>
      <c r="J35" s="27">
        <v>0.0</v>
      </c>
      <c r="K35" s="76">
        <f t="array" ref="K35">XLOOKUP(H35, 'Data jarak '!$A$2:$A$11, XLOOKUP(I35, 'Data jarak '!$B$1:$K$1, 'Data jarak '!$B$2:$K$11))</f>
        <v>469.9265</v>
      </c>
      <c r="L35" s="16">
        <f>vlookup(H35,Sheet4!$G$1:$I$11,2,false)</f>
        <v>27365.36</v>
      </c>
      <c r="M35" s="16">
        <f>vlookup(H35,Sheet4!$G$1:$I$11,3,false)</f>
        <v>48760.24</v>
      </c>
      <c r="N35" s="18">
        <f t="shared" si="1"/>
        <v>0</v>
      </c>
      <c r="O35" s="18">
        <f t="shared" si="2"/>
        <v>0</v>
      </c>
      <c r="P35" s="16"/>
      <c r="Q35" s="27" t="s">
        <v>36</v>
      </c>
      <c r="R35" s="27" t="s">
        <v>40</v>
      </c>
      <c r="S35" s="27" t="s">
        <v>33</v>
      </c>
      <c r="T35" s="27" t="s">
        <v>35</v>
      </c>
      <c r="U35" s="27">
        <v>1.0</v>
      </c>
      <c r="V35" s="27">
        <v>475.5077631</v>
      </c>
      <c r="W35" s="27">
        <v>841.95</v>
      </c>
      <c r="X35" s="27">
        <v>4503979.813</v>
      </c>
      <c r="Y35" s="16">
        <f t="shared" si="3"/>
        <v>4503979.813</v>
      </c>
      <c r="Z35" s="16">
        <f t="shared" si="4"/>
        <v>-0.0001519937068</v>
      </c>
      <c r="AA35" s="16"/>
      <c r="AB35" s="16"/>
      <c r="AC35" s="16"/>
      <c r="AD35" s="16"/>
      <c r="AE35" s="16"/>
    </row>
    <row r="36">
      <c r="A36" s="16"/>
      <c r="B36" s="16"/>
      <c r="C36" s="16"/>
      <c r="D36" s="27" t="s">
        <v>32</v>
      </c>
      <c r="E36" s="27" t="s">
        <v>38</v>
      </c>
      <c r="F36" s="27">
        <v>0.0</v>
      </c>
      <c r="G36" s="16"/>
      <c r="H36" s="27" t="s">
        <v>36</v>
      </c>
      <c r="I36" s="27" t="s">
        <v>38</v>
      </c>
      <c r="J36" s="27">
        <v>0.0</v>
      </c>
      <c r="K36" s="76">
        <f t="array" ref="K36">XLOOKUP(H36, 'Data jarak '!$A$2:$A$11, XLOOKUP(I36, 'Data jarak '!$B$1:$K$1, 'Data jarak '!$B$2:$K$11))</f>
        <v>254.9509</v>
      </c>
      <c r="L36" s="16">
        <f>vlookup(H36,Sheet4!$G$1:$I$11,2,false)</f>
        <v>27365.36</v>
      </c>
      <c r="M36" s="16">
        <f>vlookup(H36,Sheet4!$G$1:$I$11,3,false)</f>
        <v>48760.24</v>
      </c>
      <c r="N36" s="18">
        <f t="shared" si="1"/>
        <v>0</v>
      </c>
      <c r="O36" s="18">
        <f t="shared" si="2"/>
        <v>0</v>
      </c>
      <c r="P36" s="16"/>
      <c r="Q36" s="27" t="s">
        <v>36</v>
      </c>
      <c r="R36" s="27" t="s">
        <v>37</v>
      </c>
      <c r="S36" s="27" t="s">
        <v>33</v>
      </c>
      <c r="T36" s="27" t="s">
        <v>35</v>
      </c>
      <c r="U36" s="27">
        <v>1.0</v>
      </c>
      <c r="V36" s="27">
        <v>475.5077631</v>
      </c>
      <c r="W36" s="27">
        <v>2415.04</v>
      </c>
      <c r="X36" s="27">
        <v>1.291916552E7</v>
      </c>
      <c r="Y36" s="16">
        <f t="shared" si="3"/>
        <v>12919165.52</v>
      </c>
      <c r="Z36" s="16">
        <f t="shared" si="4"/>
        <v>-0.002783479169</v>
      </c>
      <c r="AA36" s="16"/>
      <c r="AB36" s="16"/>
      <c r="AC36" s="16"/>
      <c r="AD36" s="16"/>
      <c r="AE36" s="16"/>
    </row>
    <row r="37">
      <c r="A37" s="16"/>
      <c r="B37" s="16"/>
      <c r="C37" s="16"/>
      <c r="D37" s="27" t="s">
        <v>32</v>
      </c>
      <c r="E37" s="27" t="s">
        <v>33</v>
      </c>
      <c r="F37" s="27">
        <v>0.0</v>
      </c>
      <c r="G37" s="16"/>
      <c r="H37" s="27" t="s">
        <v>36</v>
      </c>
      <c r="I37" s="27" t="s">
        <v>33</v>
      </c>
      <c r="J37" s="27">
        <v>1.0</v>
      </c>
      <c r="K37" s="76">
        <f t="array" ref="K37">XLOOKUP(H37, 'Data jarak '!$A$2:$A$11, XLOOKUP(I37, 'Data jarak '!$B$1:$K$1, 'Data jarak '!$B$2:$K$11))</f>
        <v>397.4792</v>
      </c>
      <c r="L37" s="16">
        <f>vlookup(H37,Sheet4!$G$1:$I$11,2,false)</f>
        <v>27365.36</v>
      </c>
      <c r="M37" s="16">
        <f>vlookup(H37,Sheet4!$G$1:$I$11,3,false)</f>
        <v>48760.24</v>
      </c>
      <c r="N37" s="18">
        <f t="shared" si="1"/>
        <v>163157421</v>
      </c>
      <c r="O37" s="18">
        <f t="shared" si="2"/>
        <v>290717717.8</v>
      </c>
      <c r="P37" s="16"/>
      <c r="Q37" s="27" t="s">
        <v>36</v>
      </c>
      <c r="R37" s="27" t="s">
        <v>37</v>
      </c>
      <c r="S37" s="27" t="s">
        <v>35</v>
      </c>
      <c r="T37" s="27" t="s">
        <v>37</v>
      </c>
      <c r="U37" s="27">
        <v>1.0</v>
      </c>
      <c r="V37" s="27">
        <v>658.2451157</v>
      </c>
      <c r="W37" s="27">
        <v>2415.04</v>
      </c>
      <c r="X37" s="27">
        <v>1.78839932E7</v>
      </c>
      <c r="Y37" s="16">
        <f t="shared" si="3"/>
        <v>17883993.2</v>
      </c>
      <c r="Z37" s="16">
        <f t="shared" si="4"/>
        <v>-0.002523556352</v>
      </c>
      <c r="AA37" s="16"/>
      <c r="AB37" s="16"/>
      <c r="AC37" s="16"/>
      <c r="AD37" s="16"/>
      <c r="AE37" s="16"/>
    </row>
    <row r="38">
      <c r="A38" s="16"/>
      <c r="B38" s="16"/>
      <c r="C38" s="16"/>
      <c r="D38" s="27" t="s">
        <v>32</v>
      </c>
      <c r="E38" s="27" t="s">
        <v>39</v>
      </c>
      <c r="F38" s="27">
        <v>0.0</v>
      </c>
      <c r="G38" s="16"/>
      <c r="H38" s="27" t="s">
        <v>36</v>
      </c>
      <c r="I38" s="27" t="s">
        <v>39</v>
      </c>
      <c r="J38" s="27">
        <v>0.0</v>
      </c>
      <c r="K38" s="76">
        <f t="array" ref="K38">XLOOKUP(H38, 'Data jarak '!$A$2:$A$11, XLOOKUP(I38, 'Data jarak '!$B$1:$K$1, 'Data jarak '!$B$2:$K$11))</f>
        <v>751.9781</v>
      </c>
      <c r="L38" s="16">
        <f>vlookup(H38,Sheet4!$G$1:$I$11,2,false)</f>
        <v>27365.36</v>
      </c>
      <c r="M38" s="16">
        <f>vlookup(H38,Sheet4!$G$1:$I$11,3,false)</f>
        <v>48760.24</v>
      </c>
      <c r="N38" s="18">
        <f t="shared" si="1"/>
        <v>0</v>
      </c>
      <c r="O38" s="18">
        <f t="shared" si="2"/>
        <v>0</v>
      </c>
      <c r="P38" s="16"/>
      <c r="Q38" s="27" t="s">
        <v>32</v>
      </c>
      <c r="R38" s="27" t="s">
        <v>31</v>
      </c>
      <c r="S38" s="27" t="s">
        <v>33</v>
      </c>
      <c r="T38" s="27" t="s">
        <v>31</v>
      </c>
      <c r="U38" s="27">
        <v>1.0</v>
      </c>
      <c r="V38" s="27">
        <v>1362.65047</v>
      </c>
      <c r="W38" s="27">
        <v>2877.88</v>
      </c>
      <c r="X38" s="27">
        <v>4.411737601E7</v>
      </c>
      <c r="Y38" s="16">
        <f t="shared" si="3"/>
        <v>44117376.01</v>
      </c>
      <c r="Z38" s="16">
        <f t="shared" si="4"/>
        <v>0.004290506244</v>
      </c>
      <c r="AA38" s="16"/>
      <c r="AB38" s="16"/>
      <c r="AC38" s="16"/>
      <c r="AD38" s="16"/>
      <c r="AE38" s="16"/>
    </row>
    <row r="39">
      <c r="A39" s="16"/>
      <c r="B39" s="16"/>
      <c r="C39" s="16"/>
      <c r="D39" s="27" t="s">
        <v>32</v>
      </c>
      <c r="E39" s="27" t="s">
        <v>35</v>
      </c>
      <c r="F39" s="27">
        <v>0.0</v>
      </c>
      <c r="G39" s="16"/>
      <c r="H39" s="27" t="s">
        <v>36</v>
      </c>
      <c r="I39" s="27" t="s">
        <v>35</v>
      </c>
      <c r="J39" s="27">
        <v>0.0</v>
      </c>
      <c r="K39" s="76">
        <f t="array" ref="K39">XLOOKUP(H39, 'Data jarak '!$A$2:$A$11, XLOOKUP(I39, 'Data jarak '!$B$1:$K$1, 'Data jarak '!$B$2:$K$11))</f>
        <v>867.9308</v>
      </c>
      <c r="L39" s="16">
        <f>vlookup(H39,Sheet4!$G$1:$I$11,2,false)</f>
        <v>27365.36</v>
      </c>
      <c r="M39" s="16">
        <f>vlookup(H39,Sheet4!$G$1:$I$11,3,false)</f>
        <v>48760.24</v>
      </c>
      <c r="N39" s="18">
        <f t="shared" si="1"/>
        <v>0</v>
      </c>
      <c r="O39" s="18">
        <f t="shared" si="2"/>
        <v>0</v>
      </c>
      <c r="P39" s="16"/>
      <c r="Q39" s="27" t="s">
        <v>32</v>
      </c>
      <c r="R39" s="27" t="s">
        <v>39</v>
      </c>
      <c r="S39" s="27" t="s">
        <v>33</v>
      </c>
      <c r="T39" s="27" t="s">
        <v>35</v>
      </c>
      <c r="U39" s="27">
        <v>1.0</v>
      </c>
      <c r="V39" s="27">
        <v>475.5077631</v>
      </c>
      <c r="W39" s="27">
        <v>3023.8</v>
      </c>
      <c r="X39" s="27">
        <v>1.617570421E7</v>
      </c>
      <c r="Y39" s="16">
        <f t="shared" si="3"/>
        <v>16175704.21</v>
      </c>
      <c r="Z39" s="16">
        <f t="shared" si="4"/>
        <v>-0.00180497393</v>
      </c>
      <c r="AA39" s="16"/>
      <c r="AB39" s="16"/>
      <c r="AC39" s="16"/>
      <c r="AD39" s="16"/>
      <c r="AE39" s="16"/>
    </row>
    <row r="40">
      <c r="A40" s="16"/>
      <c r="B40" s="16"/>
      <c r="C40" s="16"/>
      <c r="D40" s="27" t="s">
        <v>32</v>
      </c>
      <c r="E40" s="27" t="s">
        <v>40</v>
      </c>
      <c r="F40" s="27">
        <v>0.0</v>
      </c>
      <c r="G40" s="16"/>
      <c r="H40" s="27" t="s">
        <v>36</v>
      </c>
      <c r="I40" s="27" t="s">
        <v>40</v>
      </c>
      <c r="J40" s="27">
        <v>0.0</v>
      </c>
      <c r="K40" s="76">
        <f t="array" ref="K40">XLOOKUP(H40, 'Data jarak '!$A$2:$A$11, XLOOKUP(I40, 'Data jarak '!$B$1:$K$1, 'Data jarak '!$B$2:$K$11))</f>
        <v>1150.091</v>
      </c>
      <c r="L40" s="16">
        <f>vlookup(H40,Sheet4!$G$1:$I$11,2,false)</f>
        <v>27365.36</v>
      </c>
      <c r="M40" s="16">
        <f>vlookup(H40,Sheet4!$G$1:$I$11,3,false)</f>
        <v>48760.24</v>
      </c>
      <c r="N40" s="18">
        <f t="shared" si="1"/>
        <v>0</v>
      </c>
      <c r="O40" s="18">
        <f t="shared" si="2"/>
        <v>0</v>
      </c>
      <c r="P40" s="16"/>
      <c r="Q40" s="27" t="s">
        <v>32</v>
      </c>
      <c r="R40" s="27" t="s">
        <v>35</v>
      </c>
      <c r="S40" s="27" t="s">
        <v>33</v>
      </c>
      <c r="T40" s="27" t="s">
        <v>35</v>
      </c>
      <c r="U40" s="27">
        <v>1.0</v>
      </c>
      <c r="V40" s="27">
        <v>475.5077631</v>
      </c>
      <c r="W40" s="27">
        <v>15699.2</v>
      </c>
      <c r="X40" s="27">
        <v>8.39822791E7</v>
      </c>
      <c r="Y40" s="16">
        <f t="shared" si="3"/>
        <v>83982279.09</v>
      </c>
      <c r="Z40" s="16">
        <f t="shared" si="4"/>
        <v>-0.01233038306</v>
      </c>
      <c r="AA40" s="16"/>
      <c r="AB40" s="16"/>
      <c r="AC40" s="16"/>
      <c r="AD40" s="16"/>
      <c r="AE40" s="16"/>
    </row>
    <row r="41">
      <c r="A41" s="16"/>
      <c r="B41" s="16"/>
      <c r="C41" s="16"/>
      <c r="D41" s="27" t="s">
        <v>32</v>
      </c>
      <c r="E41" s="27" t="s">
        <v>37</v>
      </c>
      <c r="F41" s="27">
        <v>0.0</v>
      </c>
      <c r="G41" s="16"/>
      <c r="H41" s="27" t="s">
        <v>36</v>
      </c>
      <c r="I41" s="27" t="s">
        <v>37</v>
      </c>
      <c r="J41" s="27">
        <v>0.0</v>
      </c>
      <c r="K41" s="76">
        <f t="array" ref="K41">XLOOKUP(H41, 'Data jarak '!$A$2:$A$11, XLOOKUP(I41, 'Data jarak '!$B$1:$K$1, 'Data jarak '!$B$2:$K$11))</f>
        <v>1344.494</v>
      </c>
      <c r="L41" s="16">
        <f>vlookup(H41,Sheet4!$G$1:$I$11,2,false)</f>
        <v>27365.36</v>
      </c>
      <c r="M41" s="16">
        <f>vlookup(H41,Sheet4!$G$1:$I$11,3,false)</f>
        <v>48760.24</v>
      </c>
      <c r="N41" s="18">
        <f t="shared" si="1"/>
        <v>0</v>
      </c>
      <c r="O41" s="18">
        <f t="shared" si="2"/>
        <v>0</v>
      </c>
      <c r="P41" s="16"/>
      <c r="Q41" s="27" t="s">
        <v>32</v>
      </c>
      <c r="R41" s="27" t="s">
        <v>40</v>
      </c>
      <c r="S41" s="27" t="s">
        <v>33</v>
      </c>
      <c r="T41" s="27" t="s">
        <v>35</v>
      </c>
      <c r="U41" s="27">
        <v>1.0</v>
      </c>
      <c r="V41" s="27">
        <v>475.5077631</v>
      </c>
      <c r="W41" s="27">
        <v>2504.17</v>
      </c>
      <c r="X41" s="27">
        <v>1.33959631E7</v>
      </c>
      <c r="Y41" s="16">
        <f t="shared" si="3"/>
        <v>13395963.1</v>
      </c>
      <c r="Z41" s="16">
        <f t="shared" si="4"/>
        <v>-0.004876069725</v>
      </c>
      <c r="AA41" s="16"/>
      <c r="AB41" s="16"/>
      <c r="AC41" s="16"/>
      <c r="AD41" s="16"/>
      <c r="AE41" s="16"/>
    </row>
    <row r="42">
      <c r="A42" s="16"/>
      <c r="B42" s="16"/>
      <c r="C42" s="16"/>
      <c r="D42" s="27" t="s">
        <v>38</v>
      </c>
      <c r="E42" s="27" t="s">
        <v>33</v>
      </c>
      <c r="F42" s="27">
        <v>0.0</v>
      </c>
      <c r="G42" s="16"/>
      <c r="H42" s="27" t="s">
        <v>32</v>
      </c>
      <c r="I42" s="27" t="s">
        <v>31</v>
      </c>
      <c r="J42" s="27">
        <v>0.0</v>
      </c>
      <c r="K42" s="76">
        <f t="array" ref="K42">XLOOKUP(H42, 'Data jarak '!$A$2:$A$11, XLOOKUP(I42, 'Data jarak '!$B$1:$K$1, 'Data jarak '!$B$2:$K$11))</f>
        <v>909.2041</v>
      </c>
      <c r="L42" s="16">
        <f>vlookup(H42,Sheet4!$G$1:$I$11,2,false)</f>
        <v>50914.96</v>
      </c>
      <c r="M42" s="16">
        <f>vlookup(H42,Sheet4!$G$1:$I$11,3,false)</f>
        <v>147517.64</v>
      </c>
      <c r="N42" s="18">
        <f t="shared" si="1"/>
        <v>0</v>
      </c>
      <c r="O42" s="18">
        <f t="shared" si="2"/>
        <v>0</v>
      </c>
      <c r="P42" s="16"/>
      <c r="Q42" s="27" t="s">
        <v>32</v>
      </c>
      <c r="R42" s="27" t="s">
        <v>37</v>
      </c>
      <c r="S42" s="27" t="s">
        <v>33</v>
      </c>
      <c r="T42" s="27" t="s">
        <v>35</v>
      </c>
      <c r="U42" s="27">
        <v>1.0</v>
      </c>
      <c r="V42" s="27">
        <v>475.5077631</v>
      </c>
      <c r="W42" s="27">
        <v>12387.4</v>
      </c>
      <c r="X42" s="27">
        <v>6.626592973E7</v>
      </c>
      <c r="Y42" s="16">
        <f t="shared" si="3"/>
        <v>66265929.73</v>
      </c>
      <c r="Z42" s="16">
        <f t="shared" si="4"/>
        <v>-0.002969421446</v>
      </c>
      <c r="AA42" s="16"/>
      <c r="AB42" s="16"/>
      <c r="AC42" s="16"/>
      <c r="AD42" s="16"/>
      <c r="AE42" s="16"/>
    </row>
    <row r="43">
      <c r="A43" s="16"/>
      <c r="B43" s="16"/>
      <c r="C43" s="16"/>
      <c r="D43" s="27" t="s">
        <v>38</v>
      </c>
      <c r="E43" s="27" t="s">
        <v>39</v>
      </c>
      <c r="F43" s="27">
        <v>0.0</v>
      </c>
      <c r="G43" s="16"/>
      <c r="H43" s="27" t="s">
        <v>32</v>
      </c>
      <c r="I43" s="27" t="s">
        <v>34</v>
      </c>
      <c r="J43" s="27">
        <v>0.0</v>
      </c>
      <c r="K43" s="76">
        <f t="array" ref="K43">XLOOKUP(H43, 'Data jarak '!$A$2:$A$11, XLOOKUP(I43, 'Data jarak '!$B$1:$K$1, 'Data jarak '!$B$2:$K$11))</f>
        <v>563.3406</v>
      </c>
      <c r="L43" s="16">
        <f>vlookup(H43,Sheet4!$G$1:$I$11,2,false)</f>
        <v>50914.96</v>
      </c>
      <c r="M43" s="16">
        <f>vlookup(H43,Sheet4!$G$1:$I$11,3,false)</f>
        <v>147517.64</v>
      </c>
      <c r="N43" s="18">
        <f t="shared" si="1"/>
        <v>0</v>
      </c>
      <c r="O43" s="18">
        <f t="shared" si="2"/>
        <v>0</v>
      </c>
      <c r="P43" s="16"/>
      <c r="Q43" s="27" t="s">
        <v>32</v>
      </c>
      <c r="R43" s="27" t="s">
        <v>37</v>
      </c>
      <c r="S43" s="27" t="s">
        <v>35</v>
      </c>
      <c r="T43" s="27" t="s">
        <v>37</v>
      </c>
      <c r="U43" s="27">
        <v>1.0</v>
      </c>
      <c r="V43" s="27">
        <v>658.2451157</v>
      </c>
      <c r="W43" s="27">
        <v>12387.4</v>
      </c>
      <c r="X43" s="27">
        <v>9.17318874E7</v>
      </c>
      <c r="Y43" s="16">
        <f t="shared" si="3"/>
        <v>91731887.39</v>
      </c>
      <c r="Z43" s="16">
        <f t="shared" si="4"/>
        <v>-0.005000472069</v>
      </c>
      <c r="AA43" s="16"/>
      <c r="AB43" s="16"/>
      <c r="AC43" s="16"/>
      <c r="AD43" s="16"/>
      <c r="AE43" s="16"/>
    </row>
    <row r="44">
      <c r="A44" s="16"/>
      <c r="B44" s="16"/>
      <c r="C44" s="16"/>
      <c r="D44" s="27" t="s">
        <v>38</v>
      </c>
      <c r="E44" s="27" t="s">
        <v>35</v>
      </c>
      <c r="F44" s="27">
        <v>0.0</v>
      </c>
      <c r="G44" s="16"/>
      <c r="H44" s="27" t="s">
        <v>32</v>
      </c>
      <c r="I44" s="27" t="s">
        <v>36</v>
      </c>
      <c r="J44" s="27">
        <v>0.0</v>
      </c>
      <c r="K44" s="76">
        <f t="array" ref="K44">XLOOKUP(H44, 'Data jarak '!$A$2:$A$11, XLOOKUP(I44, 'Data jarak '!$B$1:$K$1, 'Data jarak '!$B$2:$K$11))</f>
        <v>469.9265</v>
      </c>
      <c r="L44" s="16">
        <f>vlookup(H44,Sheet4!$G$1:$I$11,2,false)</f>
        <v>50914.96</v>
      </c>
      <c r="M44" s="16">
        <f>vlookup(H44,Sheet4!$G$1:$I$11,3,false)</f>
        <v>147517.64</v>
      </c>
      <c r="N44" s="18">
        <f t="shared" si="1"/>
        <v>0</v>
      </c>
      <c r="O44" s="18">
        <f t="shared" si="2"/>
        <v>0</v>
      </c>
      <c r="P44" s="16"/>
      <c r="Q44" s="27" t="s">
        <v>38</v>
      </c>
      <c r="R44" s="27" t="s">
        <v>31</v>
      </c>
      <c r="S44" s="27" t="s">
        <v>33</v>
      </c>
      <c r="T44" s="27" t="s">
        <v>31</v>
      </c>
      <c r="U44" s="27">
        <v>1.0</v>
      </c>
      <c r="V44" s="27">
        <v>1362.65047</v>
      </c>
      <c r="W44" s="27">
        <v>1916.56</v>
      </c>
      <c r="X44" s="27">
        <v>2.938051558E7</v>
      </c>
      <c r="Y44" s="16">
        <f t="shared" si="3"/>
        <v>29380515.58</v>
      </c>
      <c r="Z44" s="16">
        <f t="shared" si="4"/>
        <v>-0.001188997179</v>
      </c>
      <c r="AA44" s="16"/>
      <c r="AB44" s="16"/>
      <c r="AC44" s="16"/>
      <c r="AD44" s="16"/>
      <c r="AE44" s="16"/>
    </row>
    <row r="45">
      <c r="A45" s="16"/>
      <c r="B45" s="16"/>
      <c r="C45" s="16"/>
      <c r="D45" s="27" t="s">
        <v>38</v>
      </c>
      <c r="E45" s="27" t="s">
        <v>40</v>
      </c>
      <c r="F45" s="27">
        <v>0.0</v>
      </c>
      <c r="G45" s="16"/>
      <c r="H45" s="27" t="s">
        <v>32</v>
      </c>
      <c r="I45" s="27" t="s">
        <v>32</v>
      </c>
      <c r="J45" s="27">
        <v>0.0</v>
      </c>
      <c r="K45" s="76">
        <f t="array" ref="K45">XLOOKUP(H45, 'Data jarak '!$A$2:$A$11, XLOOKUP(I45, 'Data jarak '!$B$1:$K$1, 'Data jarak '!$B$2:$K$11))</f>
        <v>0</v>
      </c>
      <c r="L45" s="16">
        <f>vlookup(H45,Sheet4!$G$1:$I$11,2,false)</f>
        <v>50914.96</v>
      </c>
      <c r="M45" s="16">
        <f>vlookup(H45,Sheet4!$G$1:$I$11,3,false)</f>
        <v>147517.64</v>
      </c>
      <c r="N45" s="18">
        <f t="shared" si="1"/>
        <v>0</v>
      </c>
      <c r="O45" s="18">
        <f t="shared" si="2"/>
        <v>0</v>
      </c>
      <c r="P45" s="16"/>
      <c r="Q45" s="27" t="s">
        <v>38</v>
      </c>
      <c r="R45" s="27" t="s">
        <v>39</v>
      </c>
      <c r="S45" s="27" t="s">
        <v>33</v>
      </c>
      <c r="T45" s="27" t="s">
        <v>35</v>
      </c>
      <c r="U45" s="27">
        <v>1.0</v>
      </c>
      <c r="V45" s="27">
        <v>475.5077631</v>
      </c>
      <c r="W45" s="27">
        <v>977.52</v>
      </c>
      <c r="X45" s="27">
        <v>5229206.422</v>
      </c>
      <c r="Y45" s="16">
        <f t="shared" si="3"/>
        <v>5229206.422</v>
      </c>
      <c r="Z45" s="16">
        <f t="shared" si="4"/>
        <v>-0.0004129903391</v>
      </c>
      <c r="AA45" s="16"/>
      <c r="AB45" s="16"/>
      <c r="AC45" s="16"/>
      <c r="AD45" s="16"/>
      <c r="AE45" s="16"/>
    </row>
    <row r="46">
      <c r="A46" s="16"/>
      <c r="B46" s="16"/>
      <c r="C46" s="16"/>
      <c r="D46" s="27" t="s">
        <v>38</v>
      </c>
      <c r="E46" s="27" t="s">
        <v>37</v>
      </c>
      <c r="F46" s="27">
        <v>0.0</v>
      </c>
      <c r="G46" s="16"/>
      <c r="H46" s="27" t="s">
        <v>32</v>
      </c>
      <c r="I46" s="27" t="s">
        <v>38</v>
      </c>
      <c r="J46" s="27">
        <v>0.0</v>
      </c>
      <c r="K46" s="76">
        <f t="array" ref="K46">XLOOKUP(H46, 'Data jarak '!$A$2:$A$11, XLOOKUP(I46, 'Data jarak '!$B$1:$K$1, 'Data jarak '!$B$2:$K$11))</f>
        <v>386.2807</v>
      </c>
      <c r="L46" s="16">
        <f>vlookup(H46,Sheet4!$G$1:$I$11,2,false)</f>
        <v>50914.96</v>
      </c>
      <c r="M46" s="16">
        <f>vlookup(H46,Sheet4!$G$1:$I$11,3,false)</f>
        <v>147517.64</v>
      </c>
      <c r="N46" s="18">
        <f t="shared" si="1"/>
        <v>0</v>
      </c>
      <c r="O46" s="18">
        <f t="shared" si="2"/>
        <v>0</v>
      </c>
      <c r="P46" s="16"/>
      <c r="Q46" s="27" t="s">
        <v>38</v>
      </c>
      <c r="R46" s="27" t="s">
        <v>35</v>
      </c>
      <c r="S46" s="27" t="s">
        <v>33</v>
      </c>
      <c r="T46" s="27" t="s">
        <v>35</v>
      </c>
      <c r="U46" s="27">
        <v>1.0</v>
      </c>
      <c r="V46" s="27">
        <v>475.5077631</v>
      </c>
      <c r="W46" s="27">
        <v>20364.36</v>
      </c>
      <c r="X46" s="27">
        <v>1.089383768E8</v>
      </c>
      <c r="Y46" s="16">
        <f t="shared" si="3"/>
        <v>108938376.8</v>
      </c>
      <c r="Z46" s="16">
        <f t="shared" si="4"/>
        <v>-0.006164938211</v>
      </c>
      <c r="AA46" s="16"/>
      <c r="AB46" s="16"/>
      <c r="AC46" s="16"/>
      <c r="AD46" s="16"/>
      <c r="AE46" s="16"/>
    </row>
    <row r="47">
      <c r="A47" s="16"/>
      <c r="B47" s="16"/>
      <c r="C47" s="16"/>
      <c r="D47" s="27" t="s">
        <v>33</v>
      </c>
      <c r="E47" s="27" t="s">
        <v>39</v>
      </c>
      <c r="F47" s="27">
        <v>0.0</v>
      </c>
      <c r="G47" s="16"/>
      <c r="H47" s="27" t="s">
        <v>32</v>
      </c>
      <c r="I47" s="27" t="s">
        <v>33</v>
      </c>
      <c r="J47" s="27">
        <v>1.0</v>
      </c>
      <c r="K47" s="76">
        <f t="array" ref="K47">XLOOKUP(H47, 'Data jarak '!$A$2:$A$11, XLOOKUP(I47, 'Data jarak '!$B$1:$K$1, 'Data jarak '!$B$2:$K$11))</f>
        <v>525.4495</v>
      </c>
      <c r="L47" s="16">
        <f>vlookup(H47,Sheet4!$G$1:$I$11,2,false)</f>
        <v>50914.96</v>
      </c>
      <c r="M47" s="16">
        <f>vlookup(H47,Sheet4!$G$1:$I$11,3,false)</f>
        <v>147517.64</v>
      </c>
      <c r="N47" s="18">
        <f t="shared" si="1"/>
        <v>401298604.1</v>
      </c>
      <c r="O47" s="18">
        <f t="shared" si="2"/>
        <v>1162696053</v>
      </c>
      <c r="P47" s="16"/>
      <c r="Q47" s="27" t="s">
        <v>38</v>
      </c>
      <c r="R47" s="27" t="s">
        <v>40</v>
      </c>
      <c r="S47" s="27" t="s">
        <v>33</v>
      </c>
      <c r="T47" s="27" t="s">
        <v>35</v>
      </c>
      <c r="U47" s="27">
        <v>1.0</v>
      </c>
      <c r="V47" s="27">
        <v>475.5077631</v>
      </c>
      <c r="W47" s="27">
        <v>1191.2</v>
      </c>
      <c r="X47" s="27">
        <v>6372279.534</v>
      </c>
      <c r="Y47" s="16">
        <f t="shared" si="3"/>
        <v>6372279.533</v>
      </c>
      <c r="Z47" s="16">
        <f t="shared" si="4"/>
        <v>-0.0006968993694</v>
      </c>
      <c r="AA47" s="16"/>
      <c r="AB47" s="16"/>
      <c r="AC47" s="16"/>
      <c r="AD47" s="16"/>
      <c r="AE47" s="16"/>
    </row>
    <row r="48">
      <c r="A48" s="16"/>
      <c r="B48" s="16"/>
      <c r="C48" s="16"/>
      <c r="D48" s="27" t="s">
        <v>33</v>
      </c>
      <c r="E48" s="27" t="s">
        <v>35</v>
      </c>
      <c r="F48" s="27">
        <v>1.0</v>
      </c>
      <c r="G48" s="16"/>
      <c r="H48" s="27" t="s">
        <v>32</v>
      </c>
      <c r="I48" s="27" t="s">
        <v>39</v>
      </c>
      <c r="J48" s="27">
        <v>0.0</v>
      </c>
      <c r="K48" s="76">
        <f t="array" ref="K48">XLOOKUP(H48, 'Data jarak '!$A$2:$A$11, XLOOKUP(I48, 'Data jarak '!$B$1:$K$1, 'Data jarak '!$B$2:$K$11))</f>
        <v>741.0224</v>
      </c>
      <c r="L48" s="16">
        <f>vlookup(H48,Sheet4!$G$1:$I$11,2,false)</f>
        <v>50914.96</v>
      </c>
      <c r="M48" s="16">
        <f>vlookup(H48,Sheet4!$G$1:$I$11,3,false)</f>
        <v>147517.64</v>
      </c>
      <c r="N48" s="18">
        <f t="shared" si="1"/>
        <v>0</v>
      </c>
      <c r="O48" s="18">
        <f t="shared" si="2"/>
        <v>0</v>
      </c>
      <c r="P48" s="16"/>
      <c r="Q48" s="27" t="s">
        <v>38</v>
      </c>
      <c r="R48" s="27" t="s">
        <v>37</v>
      </c>
      <c r="S48" s="27" t="s">
        <v>33</v>
      </c>
      <c r="T48" s="27" t="s">
        <v>35</v>
      </c>
      <c r="U48" s="27">
        <v>1.0</v>
      </c>
      <c r="V48" s="27">
        <v>475.5077631</v>
      </c>
      <c r="W48" s="27">
        <v>5911.52</v>
      </c>
      <c r="X48" s="27">
        <v>3.162345358E7</v>
      </c>
      <c r="Y48" s="16">
        <f t="shared" si="3"/>
        <v>31623453.58</v>
      </c>
      <c r="Z48" s="16">
        <f t="shared" si="4"/>
        <v>0.001860264689</v>
      </c>
      <c r="AA48" s="16"/>
      <c r="AB48" s="16"/>
      <c r="AC48" s="16"/>
      <c r="AD48" s="16"/>
      <c r="AE48" s="16"/>
    </row>
    <row r="49">
      <c r="A49" s="16"/>
      <c r="B49" s="16"/>
      <c r="C49" s="16"/>
      <c r="D49" s="27" t="s">
        <v>33</v>
      </c>
      <c r="E49" s="27" t="s">
        <v>40</v>
      </c>
      <c r="F49" s="27">
        <v>0.0</v>
      </c>
      <c r="G49" s="16"/>
      <c r="H49" s="27" t="s">
        <v>32</v>
      </c>
      <c r="I49" s="27" t="s">
        <v>35</v>
      </c>
      <c r="J49" s="27">
        <v>0.0</v>
      </c>
      <c r="K49" s="76">
        <f t="array" ref="K49">XLOOKUP(H49, 'Data jarak '!$A$2:$A$11, XLOOKUP(I49, 'Data jarak '!$B$1:$K$1, 'Data jarak '!$B$2:$K$11))</f>
        <v>918.1315</v>
      </c>
      <c r="L49" s="16">
        <f>vlookup(H49,Sheet4!$G$1:$I$11,2,false)</f>
        <v>50914.96</v>
      </c>
      <c r="M49" s="16">
        <f>vlookup(H49,Sheet4!$G$1:$I$11,3,false)</f>
        <v>147517.64</v>
      </c>
      <c r="N49" s="18">
        <f t="shared" si="1"/>
        <v>0</v>
      </c>
      <c r="O49" s="18">
        <f t="shared" si="2"/>
        <v>0</v>
      </c>
      <c r="P49" s="16"/>
      <c r="Q49" s="27" t="s">
        <v>38</v>
      </c>
      <c r="R49" s="27" t="s">
        <v>37</v>
      </c>
      <c r="S49" s="27" t="s">
        <v>35</v>
      </c>
      <c r="T49" s="27" t="s">
        <v>37</v>
      </c>
      <c r="U49" s="27">
        <v>1.0</v>
      </c>
      <c r="V49" s="27">
        <v>658.2451157</v>
      </c>
      <c r="W49" s="27">
        <v>5911.52</v>
      </c>
      <c r="X49" s="27">
        <v>4.377632812E7</v>
      </c>
      <c r="Y49" s="16">
        <f t="shared" si="3"/>
        <v>43776328.12</v>
      </c>
      <c r="Z49" s="16">
        <f t="shared" si="4"/>
        <v>0.001582227647</v>
      </c>
      <c r="AA49" s="16"/>
      <c r="AB49" s="16"/>
      <c r="AC49" s="16"/>
      <c r="AD49" s="16"/>
      <c r="AE49" s="16"/>
    </row>
    <row r="50">
      <c r="A50" s="16"/>
      <c r="B50" s="16"/>
      <c r="C50" s="16"/>
      <c r="D50" s="27" t="s">
        <v>33</v>
      </c>
      <c r="E50" s="27" t="s">
        <v>37</v>
      </c>
      <c r="F50" s="27">
        <v>0.0</v>
      </c>
      <c r="G50" s="16"/>
      <c r="H50" s="27" t="s">
        <v>32</v>
      </c>
      <c r="I50" s="27" t="s">
        <v>40</v>
      </c>
      <c r="J50" s="27">
        <v>0.0</v>
      </c>
      <c r="K50" s="76">
        <f t="array" ref="K50">XLOOKUP(H50, 'Data jarak '!$A$2:$A$11, XLOOKUP(I50, 'Data jarak '!$B$1:$K$1, 'Data jarak '!$B$2:$K$11))</f>
        <v>1296.792</v>
      </c>
      <c r="L50" s="16">
        <f>vlookup(H50,Sheet4!$G$1:$I$11,2,false)</f>
        <v>50914.96</v>
      </c>
      <c r="M50" s="16">
        <f>vlookup(H50,Sheet4!$G$1:$I$11,3,false)</f>
        <v>147517.64</v>
      </c>
      <c r="N50" s="18">
        <f t="shared" si="1"/>
        <v>0</v>
      </c>
      <c r="O50" s="18">
        <f t="shared" si="2"/>
        <v>0</v>
      </c>
      <c r="P50" s="16"/>
      <c r="Q50" s="27" t="s">
        <v>33</v>
      </c>
      <c r="R50" s="27" t="s">
        <v>31</v>
      </c>
      <c r="S50" s="27" t="s">
        <v>33</v>
      </c>
      <c r="T50" s="27" t="s">
        <v>31</v>
      </c>
      <c r="U50" s="27">
        <v>1.0</v>
      </c>
      <c r="V50" s="27">
        <v>1362.65047</v>
      </c>
      <c r="W50" s="27">
        <v>2334.6</v>
      </c>
      <c r="X50" s="27">
        <v>3.578899261E7</v>
      </c>
      <c r="Y50" s="16">
        <f t="shared" si="3"/>
        <v>35788992.61</v>
      </c>
      <c r="Z50" s="16">
        <f t="shared" si="4"/>
        <v>-0.003302499652</v>
      </c>
      <c r="AA50" s="16"/>
      <c r="AB50" s="16"/>
      <c r="AC50" s="16"/>
      <c r="AD50" s="16"/>
      <c r="AE50" s="16"/>
    </row>
    <row r="51">
      <c r="A51" s="16"/>
      <c r="B51" s="16"/>
      <c r="C51" s="16"/>
      <c r="D51" s="27" t="s">
        <v>39</v>
      </c>
      <c r="E51" s="27" t="s">
        <v>35</v>
      </c>
      <c r="F51" s="27">
        <v>0.0</v>
      </c>
      <c r="G51" s="16"/>
      <c r="H51" s="27" t="s">
        <v>32</v>
      </c>
      <c r="I51" s="27" t="s">
        <v>37</v>
      </c>
      <c r="J51" s="27">
        <v>0.0</v>
      </c>
      <c r="K51" s="76">
        <f t="array" ref="K51">XLOOKUP(H51, 'Data jarak '!$A$2:$A$11, XLOOKUP(I51, 'Data jarak '!$B$1:$K$1, 'Data jarak '!$B$2:$K$11))</f>
        <v>1535.299</v>
      </c>
      <c r="L51" s="16">
        <f>vlookup(H51,Sheet4!$G$1:$I$11,2,false)</f>
        <v>50914.96</v>
      </c>
      <c r="M51" s="16">
        <f>vlookup(H51,Sheet4!$G$1:$I$11,3,false)</f>
        <v>147517.64</v>
      </c>
      <c r="N51" s="18">
        <f t="shared" si="1"/>
        <v>0</v>
      </c>
      <c r="O51" s="18">
        <f t="shared" si="2"/>
        <v>0</v>
      </c>
      <c r="P51" s="16"/>
      <c r="Q51" s="27" t="s">
        <v>33</v>
      </c>
      <c r="R51" s="27" t="s">
        <v>39</v>
      </c>
      <c r="S51" s="27" t="s">
        <v>33</v>
      </c>
      <c r="T51" s="27" t="s">
        <v>35</v>
      </c>
      <c r="U51" s="27">
        <v>1.0</v>
      </c>
      <c r="V51" s="27">
        <v>475.5077631</v>
      </c>
      <c r="W51" s="27">
        <v>2535.32</v>
      </c>
      <c r="X51" s="27">
        <v>1.356259885E7</v>
      </c>
      <c r="Y51" s="16">
        <f t="shared" si="3"/>
        <v>13562598.85</v>
      </c>
      <c r="Z51" s="16">
        <f t="shared" si="4"/>
        <v>-0.003144713119</v>
      </c>
      <c r="AA51" s="16"/>
      <c r="AB51" s="16"/>
      <c r="AC51" s="16"/>
      <c r="AD51" s="16"/>
      <c r="AE51" s="16"/>
    </row>
    <row r="52">
      <c r="A52" s="16"/>
      <c r="B52" s="16"/>
      <c r="C52" s="16"/>
      <c r="D52" s="27" t="s">
        <v>39</v>
      </c>
      <c r="E52" s="27" t="s">
        <v>40</v>
      </c>
      <c r="F52" s="27">
        <v>0.0</v>
      </c>
      <c r="G52" s="16"/>
      <c r="H52" s="27" t="s">
        <v>38</v>
      </c>
      <c r="I52" s="27" t="s">
        <v>31</v>
      </c>
      <c r="J52" s="27">
        <v>0.0</v>
      </c>
      <c r="K52" s="76">
        <f t="array" ref="K52">XLOOKUP(H52, 'Data jarak '!$A$2:$A$11, XLOOKUP(I52, 'Data jarak '!$B$1:$K$1, 'Data jarak '!$B$2:$K$11))</f>
        <v>1187.826</v>
      </c>
      <c r="L52" s="16">
        <f>vlookup(H52,Sheet4!$G$1:$I$11,2,false)</f>
        <v>40906.08</v>
      </c>
      <c r="M52" s="16">
        <f>vlookup(H52,Sheet4!$G$1:$I$11,3,false)</f>
        <v>49314.56</v>
      </c>
      <c r="N52" s="18">
        <f t="shared" si="1"/>
        <v>0</v>
      </c>
      <c r="O52" s="18">
        <f t="shared" si="2"/>
        <v>0</v>
      </c>
      <c r="P52" s="16"/>
      <c r="Q52" s="27" t="s">
        <v>33</v>
      </c>
      <c r="R52" s="27" t="s">
        <v>35</v>
      </c>
      <c r="S52" s="27" t="s">
        <v>33</v>
      </c>
      <c r="T52" s="27" t="s">
        <v>35</v>
      </c>
      <c r="U52" s="27">
        <v>1.0</v>
      </c>
      <c r="V52" s="27">
        <v>475.5077631</v>
      </c>
      <c r="W52" s="27">
        <v>33272.84</v>
      </c>
      <c r="X52" s="27">
        <v>1.779918044E8</v>
      </c>
      <c r="Y52" s="16">
        <f t="shared" si="3"/>
        <v>177991804.4</v>
      </c>
      <c r="Z52" s="16">
        <f t="shared" si="4"/>
        <v>-0.0456777215</v>
      </c>
      <c r="AA52" s="16"/>
      <c r="AB52" s="16"/>
      <c r="AC52" s="16"/>
      <c r="AD52" s="16"/>
      <c r="AE52" s="16"/>
    </row>
    <row r="53">
      <c r="A53" s="16"/>
      <c r="B53" s="16"/>
      <c r="C53" s="16"/>
      <c r="D53" s="27" t="s">
        <v>39</v>
      </c>
      <c r="E53" s="27" t="s">
        <v>37</v>
      </c>
      <c r="F53" s="27">
        <v>0.0</v>
      </c>
      <c r="G53" s="16"/>
      <c r="H53" s="27" t="s">
        <v>38</v>
      </c>
      <c r="I53" s="27" t="s">
        <v>34</v>
      </c>
      <c r="J53" s="27">
        <v>0.0</v>
      </c>
      <c r="K53" s="76">
        <f t="array" ref="K53">XLOOKUP(H53, 'Data jarak '!$A$2:$A$11, XLOOKUP(I53, 'Data jarak '!$B$1:$K$1, 'Data jarak '!$B$2:$K$11))</f>
        <v>790.5225</v>
      </c>
      <c r="L53" s="16">
        <f>vlookup(H53,Sheet4!$G$1:$I$11,2,false)</f>
        <v>40906.08</v>
      </c>
      <c r="M53" s="16">
        <f>vlookup(H53,Sheet4!$G$1:$I$11,3,false)</f>
        <v>49314.56</v>
      </c>
      <c r="N53" s="18">
        <f t="shared" si="1"/>
        <v>0</v>
      </c>
      <c r="O53" s="18">
        <f t="shared" si="2"/>
        <v>0</v>
      </c>
      <c r="P53" s="16"/>
      <c r="Q53" s="27" t="s">
        <v>33</v>
      </c>
      <c r="R53" s="27" t="s">
        <v>40</v>
      </c>
      <c r="S53" s="27" t="s">
        <v>33</v>
      </c>
      <c r="T53" s="27" t="s">
        <v>35</v>
      </c>
      <c r="U53" s="27">
        <v>1.0</v>
      </c>
      <c r="V53" s="27">
        <v>475.5077631</v>
      </c>
      <c r="W53" s="27">
        <v>2248.87</v>
      </c>
      <c r="X53" s="27">
        <v>1.203024536E7</v>
      </c>
      <c r="Y53" s="16">
        <f t="shared" si="3"/>
        <v>12030245.36</v>
      </c>
      <c r="Z53" s="16">
        <f t="shared" si="4"/>
        <v>0.001030340791</v>
      </c>
      <c r="AA53" s="16"/>
      <c r="AB53" s="16"/>
      <c r="AC53" s="16"/>
      <c r="AD53" s="16"/>
      <c r="AE53" s="16"/>
    </row>
    <row r="54">
      <c r="A54" s="16"/>
      <c r="B54" s="16"/>
      <c r="C54" s="16"/>
      <c r="D54" s="27" t="s">
        <v>35</v>
      </c>
      <c r="E54" s="27" t="s">
        <v>40</v>
      </c>
      <c r="F54" s="27">
        <v>0.0</v>
      </c>
      <c r="G54" s="16"/>
      <c r="H54" s="27" t="s">
        <v>38</v>
      </c>
      <c r="I54" s="27" t="s">
        <v>36</v>
      </c>
      <c r="J54" s="27">
        <v>0.0</v>
      </c>
      <c r="K54" s="76">
        <f t="array" ref="K54">XLOOKUP(H54, 'Data jarak '!$A$2:$A$11, XLOOKUP(I54, 'Data jarak '!$B$1:$K$1, 'Data jarak '!$B$2:$K$11))</f>
        <v>254.9509</v>
      </c>
      <c r="L54" s="16">
        <f>vlookup(H54,Sheet4!$G$1:$I$11,2,false)</f>
        <v>40906.08</v>
      </c>
      <c r="M54" s="16">
        <f>vlookup(H54,Sheet4!$G$1:$I$11,3,false)</f>
        <v>49314.56</v>
      </c>
      <c r="N54" s="18">
        <f t="shared" si="1"/>
        <v>0</v>
      </c>
      <c r="O54" s="18">
        <f t="shared" si="2"/>
        <v>0</v>
      </c>
      <c r="P54" s="16"/>
      <c r="Q54" s="27" t="s">
        <v>33</v>
      </c>
      <c r="R54" s="27" t="s">
        <v>37</v>
      </c>
      <c r="S54" s="27" t="s">
        <v>33</v>
      </c>
      <c r="T54" s="27" t="s">
        <v>35</v>
      </c>
      <c r="U54" s="27">
        <v>1.0</v>
      </c>
      <c r="V54" s="27">
        <v>475.5077631</v>
      </c>
      <c r="W54" s="27">
        <v>6665.76</v>
      </c>
      <c r="X54" s="27">
        <v>3.565823206E7</v>
      </c>
      <c r="Y54" s="16">
        <f t="shared" si="3"/>
        <v>35658232.05</v>
      </c>
      <c r="Z54" s="16">
        <f t="shared" si="4"/>
        <v>-0.00668361783</v>
      </c>
      <c r="AA54" s="16"/>
      <c r="AB54" s="16"/>
      <c r="AC54" s="16"/>
      <c r="AD54" s="16"/>
      <c r="AE54" s="16"/>
    </row>
    <row r="55">
      <c r="A55" s="16"/>
      <c r="B55" s="16"/>
      <c r="C55" s="16"/>
      <c r="D55" s="27" t="s">
        <v>35</v>
      </c>
      <c r="E55" s="27" t="s">
        <v>37</v>
      </c>
      <c r="F55" s="27">
        <v>1.0</v>
      </c>
      <c r="G55" s="16"/>
      <c r="H55" s="27" t="s">
        <v>38</v>
      </c>
      <c r="I55" s="27" t="s">
        <v>32</v>
      </c>
      <c r="J55" s="27">
        <v>0.0</v>
      </c>
      <c r="K55" s="76">
        <f t="array" ref="K55">XLOOKUP(H55, 'Data jarak '!$A$2:$A$11, XLOOKUP(I55, 'Data jarak '!$B$1:$K$1, 'Data jarak '!$B$2:$K$11))</f>
        <v>386.2807</v>
      </c>
      <c r="L55" s="16">
        <f>vlookup(H55,Sheet4!$G$1:$I$11,2,false)</f>
        <v>40906.08</v>
      </c>
      <c r="M55" s="16">
        <f>vlookup(H55,Sheet4!$G$1:$I$11,3,false)</f>
        <v>49314.56</v>
      </c>
      <c r="N55" s="18">
        <f t="shared" si="1"/>
        <v>0</v>
      </c>
      <c r="O55" s="18">
        <f t="shared" si="2"/>
        <v>0</v>
      </c>
      <c r="P55" s="16"/>
      <c r="Q55" s="27" t="s">
        <v>33</v>
      </c>
      <c r="R55" s="27" t="s">
        <v>37</v>
      </c>
      <c r="S55" s="27" t="s">
        <v>35</v>
      </c>
      <c r="T55" s="27" t="s">
        <v>37</v>
      </c>
      <c r="U55" s="27">
        <v>1.0</v>
      </c>
      <c r="V55" s="27">
        <v>658.2451157</v>
      </c>
      <c r="W55" s="27">
        <v>6665.76</v>
      </c>
      <c r="X55" s="27">
        <v>4.936166958E7</v>
      </c>
      <c r="Y55" s="16">
        <f t="shared" si="3"/>
        <v>49361669.58</v>
      </c>
      <c r="Z55" s="16">
        <f t="shared" si="4"/>
        <v>-0.002680130303</v>
      </c>
      <c r="AA55" s="16"/>
      <c r="AB55" s="16"/>
      <c r="AC55" s="16"/>
      <c r="AD55" s="16"/>
      <c r="AE55" s="16"/>
    </row>
    <row r="56">
      <c r="A56" s="16"/>
      <c r="B56" s="16"/>
      <c r="C56" s="16"/>
      <c r="D56" s="27" t="s">
        <v>40</v>
      </c>
      <c r="E56" s="27" t="s">
        <v>37</v>
      </c>
      <c r="F56" s="27">
        <v>0.0</v>
      </c>
      <c r="G56" s="16"/>
      <c r="H56" s="27" t="s">
        <v>38</v>
      </c>
      <c r="I56" s="27" t="s">
        <v>38</v>
      </c>
      <c r="J56" s="27">
        <v>0.0</v>
      </c>
      <c r="K56" s="76">
        <f t="array" ref="K56">XLOOKUP(H56, 'Data jarak '!$A$2:$A$11, XLOOKUP(I56, 'Data jarak '!$B$1:$K$1, 'Data jarak '!$B$2:$K$11))</f>
        <v>0</v>
      </c>
      <c r="L56" s="16">
        <f>vlookup(H56,Sheet4!$G$1:$I$11,2,false)</f>
        <v>40906.08</v>
      </c>
      <c r="M56" s="16">
        <f>vlookup(H56,Sheet4!$G$1:$I$11,3,false)</f>
        <v>49314.56</v>
      </c>
      <c r="N56" s="18">
        <f t="shared" si="1"/>
        <v>0</v>
      </c>
      <c r="O56" s="18">
        <f t="shared" si="2"/>
        <v>0</v>
      </c>
      <c r="P56" s="16"/>
      <c r="Q56" s="27" t="s">
        <v>39</v>
      </c>
      <c r="R56" s="27" t="s">
        <v>31</v>
      </c>
      <c r="S56" s="27" t="s">
        <v>33</v>
      </c>
      <c r="T56" s="27" t="s">
        <v>31</v>
      </c>
      <c r="U56" s="27">
        <v>1.0</v>
      </c>
      <c r="V56" s="27">
        <v>1362.65047</v>
      </c>
      <c r="W56" s="27">
        <v>2873.96</v>
      </c>
      <c r="X56" s="27">
        <v>4.405728313E7</v>
      </c>
      <c r="Y56" s="16">
        <f t="shared" si="3"/>
        <v>44057283.13</v>
      </c>
      <c r="Z56" s="16">
        <f t="shared" si="4"/>
        <v>-0.001436501741</v>
      </c>
      <c r="AA56" s="16"/>
      <c r="AB56" s="16"/>
      <c r="AC56" s="16"/>
      <c r="AD56" s="16"/>
      <c r="AE56" s="16"/>
    </row>
    <row r="57">
      <c r="A57" s="16"/>
      <c r="B57" s="16"/>
      <c r="C57" s="16"/>
      <c r="D57" s="16"/>
      <c r="E57" s="16"/>
      <c r="F57" s="16"/>
      <c r="G57" s="16"/>
      <c r="H57" s="27" t="s">
        <v>38</v>
      </c>
      <c r="I57" s="27" t="s">
        <v>33</v>
      </c>
      <c r="J57" s="27">
        <v>1.0</v>
      </c>
      <c r="K57" s="76">
        <f t="array" ref="K57">XLOOKUP(H57, 'Data jarak '!$A$2:$A$11, XLOOKUP(I57, 'Data jarak '!$B$1:$K$1, 'Data jarak '!$B$2:$K$11))</f>
        <v>176.4669</v>
      </c>
      <c r="L57" s="16">
        <f>vlookup(H57,Sheet4!$G$1:$I$11,2,false)</f>
        <v>40906.08</v>
      </c>
      <c r="M57" s="16">
        <f>vlookup(H57,Sheet4!$G$1:$I$11,3,false)</f>
        <v>49314.56</v>
      </c>
      <c r="N57" s="18">
        <f t="shared" si="1"/>
        <v>108278536.9</v>
      </c>
      <c r="O57" s="18">
        <f t="shared" si="2"/>
        <v>130535812.9</v>
      </c>
      <c r="P57" s="16"/>
      <c r="Q57" s="27" t="s">
        <v>39</v>
      </c>
      <c r="R57" s="27" t="s">
        <v>31</v>
      </c>
      <c r="S57" s="27" t="s">
        <v>35</v>
      </c>
      <c r="T57" s="27" t="s">
        <v>33</v>
      </c>
      <c r="U57" s="27">
        <v>1.0</v>
      </c>
      <c r="V57" s="27">
        <v>475.5077631</v>
      </c>
      <c r="W57" s="27">
        <v>2873.96</v>
      </c>
      <c r="X57" s="27">
        <v>1.537414077E7</v>
      </c>
      <c r="Y57" s="16">
        <f t="shared" si="3"/>
        <v>15374140.77</v>
      </c>
      <c r="Z57" s="16">
        <f t="shared" si="4"/>
        <v>0.001937355846</v>
      </c>
      <c r="AA57" s="16"/>
      <c r="AB57" s="16"/>
      <c r="AC57" s="16"/>
      <c r="AD57" s="16"/>
      <c r="AE57" s="16"/>
    </row>
    <row r="58">
      <c r="A58" s="16"/>
      <c r="B58" s="16"/>
      <c r="C58" s="16"/>
      <c r="D58" s="16"/>
      <c r="E58" s="16"/>
      <c r="F58" s="16"/>
      <c r="G58" s="16"/>
      <c r="H58" s="27" t="s">
        <v>38</v>
      </c>
      <c r="I58" s="27" t="s">
        <v>39</v>
      </c>
      <c r="J58" s="27">
        <v>0.0</v>
      </c>
      <c r="K58" s="76">
        <f t="array" ref="K58">XLOOKUP(H58, 'Data jarak '!$A$2:$A$11, XLOOKUP(I58, 'Data jarak '!$B$1:$K$1, 'Data jarak '!$B$2:$K$11))</f>
        <v>510.3344</v>
      </c>
      <c r="L58" s="16">
        <f>vlookup(H58,Sheet4!$G$1:$I$11,2,false)</f>
        <v>40906.08</v>
      </c>
      <c r="M58" s="16">
        <f>vlookup(H58,Sheet4!$G$1:$I$11,3,false)</f>
        <v>49314.56</v>
      </c>
      <c r="N58" s="18">
        <f t="shared" si="1"/>
        <v>0</v>
      </c>
      <c r="O58" s="18">
        <f t="shared" si="2"/>
        <v>0</v>
      </c>
      <c r="P58" s="16"/>
      <c r="Q58" s="27" t="s">
        <v>39</v>
      </c>
      <c r="R58" s="27" t="s">
        <v>34</v>
      </c>
      <c r="S58" s="27" t="s">
        <v>35</v>
      </c>
      <c r="T58" s="27" t="s">
        <v>33</v>
      </c>
      <c r="U58" s="27">
        <v>1.0</v>
      </c>
      <c r="V58" s="27">
        <v>475.5077631</v>
      </c>
      <c r="W58" s="27">
        <v>3207.09</v>
      </c>
      <c r="X58" s="27">
        <v>1.715620716E7</v>
      </c>
      <c r="Y58" s="16">
        <f t="shared" si="3"/>
        <v>17156207.16</v>
      </c>
      <c r="Z58" s="16">
        <f t="shared" si="4"/>
        <v>-0.0004457347095</v>
      </c>
      <c r="AA58" s="16"/>
      <c r="AB58" s="16"/>
      <c r="AC58" s="16"/>
      <c r="AD58" s="16"/>
      <c r="AE58" s="16"/>
    </row>
    <row r="59">
      <c r="A59" s="16"/>
      <c r="B59" s="16"/>
      <c r="C59" s="16"/>
      <c r="D59" s="16"/>
      <c r="E59" s="16"/>
      <c r="F59" s="16"/>
      <c r="G59" s="16"/>
      <c r="H59" s="27" t="s">
        <v>38</v>
      </c>
      <c r="I59" s="27" t="s">
        <v>35</v>
      </c>
      <c r="J59" s="27">
        <v>0.0</v>
      </c>
      <c r="K59" s="76">
        <f t="array" ref="K59">XLOOKUP(H59, 'Data jarak '!$A$2:$A$11, XLOOKUP(I59, 'Data jarak '!$B$1:$K$1, 'Data jarak '!$B$2:$K$11))</f>
        <v>647.3369</v>
      </c>
      <c r="L59" s="16">
        <f>vlookup(H59,Sheet4!$G$1:$I$11,2,false)</f>
        <v>40906.08</v>
      </c>
      <c r="M59" s="16">
        <f>vlookup(H59,Sheet4!$G$1:$I$11,3,false)</f>
        <v>49314.56</v>
      </c>
      <c r="N59" s="18">
        <f t="shared" si="1"/>
        <v>0</v>
      </c>
      <c r="O59" s="18">
        <f t="shared" si="2"/>
        <v>0</v>
      </c>
      <c r="P59" s="16"/>
      <c r="Q59" s="27" t="s">
        <v>39</v>
      </c>
      <c r="R59" s="27" t="s">
        <v>36</v>
      </c>
      <c r="S59" s="27" t="s">
        <v>35</v>
      </c>
      <c r="T59" s="27" t="s">
        <v>33</v>
      </c>
      <c r="U59" s="27">
        <v>1.0</v>
      </c>
      <c r="V59" s="27">
        <v>475.5077631</v>
      </c>
      <c r="W59" s="27">
        <v>22608.32</v>
      </c>
      <c r="X59" s="27">
        <v>1.209423563E8</v>
      </c>
      <c r="Y59" s="16">
        <f t="shared" si="3"/>
        <v>120942356.3</v>
      </c>
      <c r="Z59" s="16">
        <f t="shared" si="4"/>
        <v>-0.005198836327</v>
      </c>
      <c r="AA59" s="16"/>
      <c r="AB59" s="16"/>
      <c r="AC59" s="16"/>
      <c r="AD59" s="16"/>
      <c r="AE59" s="16"/>
    </row>
    <row r="60">
      <c r="A60" s="16"/>
      <c r="B60" s="16"/>
      <c r="C60" s="16"/>
      <c r="D60" s="16"/>
      <c r="E60" s="16"/>
      <c r="F60" s="16"/>
      <c r="G60" s="16"/>
      <c r="H60" s="27" t="s">
        <v>38</v>
      </c>
      <c r="I60" s="27" t="s">
        <v>40</v>
      </c>
      <c r="J60" s="27">
        <v>0.0</v>
      </c>
      <c r="K60" s="76">
        <f t="array" ref="K60">XLOOKUP(H60, 'Data jarak '!$A$2:$A$11, XLOOKUP(I60, 'Data jarak '!$B$1:$K$1, 'Data jarak '!$B$2:$K$11))</f>
        <v>976.2167</v>
      </c>
      <c r="L60" s="16">
        <f>vlookup(H60,Sheet4!$G$1:$I$11,2,false)</f>
        <v>40906.08</v>
      </c>
      <c r="M60" s="16">
        <f>vlookup(H60,Sheet4!$G$1:$I$11,3,false)</f>
        <v>49314.56</v>
      </c>
      <c r="N60" s="18">
        <f t="shared" si="1"/>
        <v>0</v>
      </c>
      <c r="O60" s="18">
        <f t="shared" si="2"/>
        <v>0</v>
      </c>
      <c r="P60" s="16"/>
      <c r="Q60" s="27" t="s">
        <v>39</v>
      </c>
      <c r="R60" s="27" t="s">
        <v>32</v>
      </c>
      <c r="S60" s="27" t="s">
        <v>35</v>
      </c>
      <c r="T60" s="27" t="s">
        <v>33</v>
      </c>
      <c r="U60" s="27">
        <v>1.0</v>
      </c>
      <c r="V60" s="27">
        <v>475.5077631</v>
      </c>
      <c r="W60" s="27">
        <v>6602.08</v>
      </c>
      <c r="X60" s="27">
        <v>3.53175783E7</v>
      </c>
      <c r="Y60" s="16">
        <f t="shared" si="3"/>
        <v>35317578.29</v>
      </c>
      <c r="Z60" s="16">
        <f t="shared" si="4"/>
        <v>-0.008168458939</v>
      </c>
      <c r="AA60" s="16"/>
      <c r="AB60" s="16"/>
      <c r="AC60" s="16"/>
      <c r="AD60" s="16"/>
      <c r="AE60" s="16"/>
    </row>
    <row r="61">
      <c r="A61" s="16"/>
      <c r="B61" s="16"/>
      <c r="C61" s="16"/>
      <c r="D61" s="16"/>
      <c r="E61" s="16"/>
      <c r="F61" s="16"/>
      <c r="G61" s="16"/>
      <c r="H61" s="27" t="s">
        <v>38</v>
      </c>
      <c r="I61" s="27" t="s">
        <v>37</v>
      </c>
      <c r="J61" s="27">
        <v>0.0</v>
      </c>
      <c r="K61" s="76">
        <f t="array" ref="K61">XLOOKUP(H61, 'Data jarak '!$A$2:$A$11, XLOOKUP(I61, 'Data jarak '!$B$1:$K$1, 'Data jarak '!$B$2:$K$11))</f>
        <v>1196.258</v>
      </c>
      <c r="L61" s="16">
        <f>vlookup(H61,Sheet4!$G$1:$I$11,2,false)</f>
        <v>40906.08</v>
      </c>
      <c r="M61" s="16">
        <f>vlookup(H61,Sheet4!$G$1:$I$11,3,false)</f>
        <v>49314.56</v>
      </c>
      <c r="N61" s="18">
        <f t="shared" si="1"/>
        <v>0</v>
      </c>
      <c r="O61" s="18">
        <f t="shared" si="2"/>
        <v>0</v>
      </c>
      <c r="P61" s="16"/>
      <c r="Q61" s="27" t="s">
        <v>39</v>
      </c>
      <c r="R61" s="27" t="s">
        <v>38</v>
      </c>
      <c r="S61" s="27" t="s">
        <v>35</v>
      </c>
      <c r="T61" s="27" t="s">
        <v>33</v>
      </c>
      <c r="U61" s="27">
        <v>1.0</v>
      </c>
      <c r="V61" s="27">
        <v>475.5077631</v>
      </c>
      <c r="W61" s="27">
        <v>1576.64</v>
      </c>
      <c r="X61" s="27">
        <v>8434176.296</v>
      </c>
      <c r="Y61" s="16">
        <f t="shared" si="3"/>
        <v>8434176.296</v>
      </c>
      <c r="Z61" s="16">
        <f t="shared" si="4"/>
        <v>-0.0003426801413</v>
      </c>
      <c r="AA61" s="16"/>
      <c r="AB61" s="16"/>
      <c r="AC61" s="16"/>
      <c r="AD61" s="16"/>
      <c r="AE61" s="16"/>
    </row>
    <row r="62">
      <c r="A62" s="16"/>
      <c r="B62" s="16"/>
      <c r="C62" s="16"/>
      <c r="D62" s="16"/>
      <c r="E62" s="16"/>
      <c r="F62" s="16"/>
      <c r="G62" s="16"/>
      <c r="H62" s="27" t="s">
        <v>33</v>
      </c>
      <c r="I62" s="27" t="s">
        <v>31</v>
      </c>
      <c r="J62" s="27">
        <v>0.0</v>
      </c>
      <c r="K62" s="76">
        <f t="array" ref="K62">XLOOKUP(H62, 'Data jarak '!$A$2:$A$11, XLOOKUP(I62, 'Data jarak '!$B$1:$K$1, 'Data jarak '!$B$2:$K$11))</f>
        <v>1362.65</v>
      </c>
      <c r="L62" s="16">
        <f>vlookup(H62,Sheet4!$G$1:$I$11,2,false)</f>
        <v>64470.2</v>
      </c>
      <c r="M62" s="16">
        <f>vlookup(H62,Sheet4!$G$1:$I$11,3,false)</f>
        <v>187313.74</v>
      </c>
      <c r="N62" s="18">
        <f t="shared" si="1"/>
        <v>0</v>
      </c>
      <c r="O62" s="18">
        <f t="shared" si="2"/>
        <v>0</v>
      </c>
      <c r="P62" s="16"/>
      <c r="Q62" s="27" t="s">
        <v>39</v>
      </c>
      <c r="R62" s="27" t="s">
        <v>33</v>
      </c>
      <c r="S62" s="27" t="s">
        <v>35</v>
      </c>
      <c r="T62" s="27" t="s">
        <v>33</v>
      </c>
      <c r="U62" s="27">
        <v>1.0</v>
      </c>
      <c r="V62" s="27">
        <v>475.5077631</v>
      </c>
      <c r="W62" s="27">
        <v>11335.92</v>
      </c>
      <c r="X62" s="27">
        <v>6.064107708E7</v>
      </c>
      <c r="Y62" s="16">
        <f t="shared" si="3"/>
        <v>60641077.07</v>
      </c>
      <c r="Z62" s="16">
        <f t="shared" si="4"/>
        <v>-0.008843787014</v>
      </c>
      <c r="AA62" s="16"/>
      <c r="AB62" s="16"/>
      <c r="AC62" s="16"/>
      <c r="AD62" s="16"/>
      <c r="AE62" s="16"/>
    </row>
    <row r="63">
      <c r="A63" s="16"/>
      <c r="B63" s="16"/>
      <c r="C63" s="16"/>
      <c r="D63" s="16"/>
      <c r="E63" s="16"/>
      <c r="F63" s="16"/>
      <c r="G63" s="16"/>
      <c r="H63" s="27" t="s">
        <v>33</v>
      </c>
      <c r="I63" s="27" t="s">
        <v>34</v>
      </c>
      <c r="J63" s="27">
        <v>0.0</v>
      </c>
      <c r="K63" s="76">
        <f t="array" ref="K63">XLOOKUP(H63, 'Data jarak '!$A$2:$A$11, XLOOKUP(I63, 'Data jarak '!$B$1:$K$1, 'Data jarak '!$B$2:$K$11))</f>
        <v>966.6815</v>
      </c>
      <c r="L63" s="16">
        <f>vlookup(H63,Sheet4!$G$1:$I$11,2,false)</f>
        <v>64470.2</v>
      </c>
      <c r="M63" s="16">
        <f>vlookup(H63,Sheet4!$G$1:$I$11,3,false)</f>
        <v>187313.74</v>
      </c>
      <c r="N63" s="18">
        <f t="shared" si="1"/>
        <v>0</v>
      </c>
      <c r="O63" s="18">
        <f t="shared" si="2"/>
        <v>0</v>
      </c>
      <c r="P63" s="16"/>
      <c r="Q63" s="27" t="s">
        <v>39</v>
      </c>
      <c r="R63" s="27" t="s">
        <v>37</v>
      </c>
      <c r="S63" s="27" t="s">
        <v>35</v>
      </c>
      <c r="T63" s="27" t="s">
        <v>37</v>
      </c>
      <c r="U63" s="27">
        <v>1.0</v>
      </c>
      <c r="V63" s="27">
        <v>658.2451157</v>
      </c>
      <c r="W63" s="27">
        <v>8546.4</v>
      </c>
      <c r="X63" s="27">
        <v>6.328829314E7</v>
      </c>
      <c r="Y63" s="16">
        <f t="shared" si="3"/>
        <v>63288293.14</v>
      </c>
      <c r="Z63" s="16">
        <f t="shared" si="4"/>
        <v>-0.000792093575</v>
      </c>
      <c r="AA63" s="16"/>
      <c r="AB63" s="16"/>
      <c r="AC63" s="16"/>
      <c r="AD63" s="16"/>
      <c r="AE63" s="16"/>
    </row>
    <row r="64">
      <c r="A64" s="16"/>
      <c r="B64" s="16"/>
      <c r="C64" s="16"/>
      <c r="D64" s="16"/>
      <c r="E64" s="16"/>
      <c r="F64" s="16"/>
      <c r="G64" s="16"/>
      <c r="H64" s="27" t="s">
        <v>33</v>
      </c>
      <c r="I64" s="27" t="s">
        <v>36</v>
      </c>
      <c r="J64" s="27">
        <v>0.0</v>
      </c>
      <c r="K64" s="76">
        <f t="array" ref="K64">XLOOKUP(H64, 'Data jarak '!$A$2:$A$11, XLOOKUP(I64, 'Data jarak '!$B$1:$K$1, 'Data jarak '!$B$2:$K$11))</f>
        <v>397.4792</v>
      </c>
      <c r="L64" s="16">
        <f>vlookup(H64,Sheet4!$G$1:$I$11,2,false)</f>
        <v>64470.2</v>
      </c>
      <c r="M64" s="16">
        <f>vlookup(H64,Sheet4!$G$1:$I$11,3,false)</f>
        <v>187313.74</v>
      </c>
      <c r="N64" s="18">
        <f t="shared" si="1"/>
        <v>0</v>
      </c>
      <c r="O64" s="18">
        <f t="shared" si="2"/>
        <v>0</v>
      </c>
      <c r="P64" s="16"/>
      <c r="Q64" s="27" t="s">
        <v>35</v>
      </c>
      <c r="R64" s="27" t="s">
        <v>31</v>
      </c>
      <c r="S64" s="27" t="s">
        <v>33</v>
      </c>
      <c r="T64" s="27" t="s">
        <v>31</v>
      </c>
      <c r="U64" s="27">
        <v>1.0</v>
      </c>
      <c r="V64" s="27">
        <v>1362.65047</v>
      </c>
      <c r="W64" s="27">
        <v>30724.48</v>
      </c>
      <c r="X64" s="27">
        <v>4.7100068E8</v>
      </c>
      <c r="Y64" s="16">
        <f t="shared" si="3"/>
        <v>471000680</v>
      </c>
      <c r="Z64" s="16">
        <f t="shared" si="4"/>
        <v>0.01568800211</v>
      </c>
      <c r="AA64" s="16"/>
      <c r="AB64" s="16"/>
      <c r="AC64" s="16"/>
      <c r="AD64" s="16"/>
      <c r="AE64" s="16"/>
    </row>
    <row r="65">
      <c r="A65" s="16"/>
      <c r="B65" s="16"/>
      <c r="C65" s="16"/>
      <c r="D65" s="16"/>
      <c r="E65" s="16"/>
      <c r="F65" s="16"/>
      <c r="G65" s="16"/>
      <c r="H65" s="27" t="s">
        <v>33</v>
      </c>
      <c r="I65" s="27" t="s">
        <v>32</v>
      </c>
      <c r="J65" s="27">
        <v>0.0</v>
      </c>
      <c r="K65" s="76">
        <f t="array" ref="K65">XLOOKUP(H65, 'Data jarak '!$A$2:$A$11, XLOOKUP(I65, 'Data jarak '!$B$1:$K$1, 'Data jarak '!$B$2:$K$11))</f>
        <v>525.4495</v>
      </c>
      <c r="L65" s="16">
        <f>vlookup(H65,Sheet4!$G$1:$I$11,2,false)</f>
        <v>64470.2</v>
      </c>
      <c r="M65" s="16">
        <f>vlookup(H65,Sheet4!$G$1:$I$11,3,false)</f>
        <v>187313.74</v>
      </c>
      <c r="N65" s="18">
        <f t="shared" si="1"/>
        <v>0</v>
      </c>
      <c r="O65" s="18">
        <f t="shared" si="2"/>
        <v>0</v>
      </c>
      <c r="P65" s="16"/>
      <c r="Q65" s="27" t="s">
        <v>35</v>
      </c>
      <c r="R65" s="27" t="s">
        <v>31</v>
      </c>
      <c r="S65" s="27" t="s">
        <v>35</v>
      </c>
      <c r="T65" s="27" t="s">
        <v>33</v>
      </c>
      <c r="U65" s="27">
        <v>1.0</v>
      </c>
      <c r="V65" s="27">
        <v>475.5077631</v>
      </c>
      <c r="W65" s="27">
        <v>30724.48</v>
      </c>
      <c r="X65" s="27">
        <v>1.643594485E8</v>
      </c>
      <c r="Y65" s="16">
        <f t="shared" si="3"/>
        <v>164359448.5</v>
      </c>
      <c r="Z65" s="16">
        <f t="shared" si="4"/>
        <v>0.01862025261</v>
      </c>
      <c r="AA65" s="16"/>
      <c r="AB65" s="16"/>
      <c r="AC65" s="16"/>
      <c r="AD65" s="16"/>
      <c r="AE65" s="16"/>
    </row>
    <row r="66">
      <c r="A66" s="16"/>
      <c r="B66" s="16"/>
      <c r="C66" s="16"/>
      <c r="D66" s="16"/>
      <c r="E66" s="16"/>
      <c r="F66" s="16"/>
      <c r="G66" s="16"/>
      <c r="H66" s="27" t="s">
        <v>33</v>
      </c>
      <c r="I66" s="27" t="s">
        <v>38</v>
      </c>
      <c r="J66" s="27">
        <v>0.0</v>
      </c>
      <c r="K66" s="76">
        <f t="array" ref="K66">XLOOKUP(H66, 'Data jarak '!$A$2:$A$11, XLOOKUP(I66, 'Data jarak '!$B$1:$K$1, 'Data jarak '!$B$2:$K$11))</f>
        <v>176.4669</v>
      </c>
      <c r="L66" s="16">
        <f>vlookup(H66,Sheet4!$G$1:$I$11,2,false)</f>
        <v>64470.2</v>
      </c>
      <c r="M66" s="16">
        <f>vlookup(H66,Sheet4!$G$1:$I$11,3,false)</f>
        <v>187313.74</v>
      </c>
      <c r="N66" s="18">
        <f t="shared" si="1"/>
        <v>0</v>
      </c>
      <c r="O66" s="18">
        <f t="shared" si="2"/>
        <v>0</v>
      </c>
      <c r="P66" s="16"/>
      <c r="Q66" s="27" t="s">
        <v>35</v>
      </c>
      <c r="R66" s="27" t="s">
        <v>34</v>
      </c>
      <c r="S66" s="27" t="s">
        <v>35</v>
      </c>
      <c r="T66" s="27" t="s">
        <v>33</v>
      </c>
      <c r="U66" s="27">
        <v>1.0</v>
      </c>
      <c r="V66" s="27">
        <v>475.5077631</v>
      </c>
      <c r="W66" s="27">
        <v>6826.26</v>
      </c>
      <c r="X66" s="27">
        <v>3.651682076E7</v>
      </c>
      <c r="Y66" s="16">
        <f t="shared" si="3"/>
        <v>36516820.76</v>
      </c>
      <c r="Z66" s="16">
        <f t="shared" si="4"/>
        <v>-0.001936174929</v>
      </c>
      <c r="AA66" s="16"/>
      <c r="AB66" s="16"/>
      <c r="AC66" s="16"/>
      <c r="AD66" s="16"/>
      <c r="AE66" s="16"/>
    </row>
    <row r="67">
      <c r="A67" s="16"/>
      <c r="B67" s="16"/>
      <c r="C67" s="16"/>
      <c r="D67" s="16"/>
      <c r="E67" s="16"/>
      <c r="F67" s="16"/>
      <c r="G67" s="16"/>
      <c r="H67" s="27" t="s">
        <v>33</v>
      </c>
      <c r="I67" s="27" t="s">
        <v>33</v>
      </c>
      <c r="J67" s="27">
        <v>1.0</v>
      </c>
      <c r="K67" s="76">
        <f t="array" ref="K67">XLOOKUP(H67, 'Data jarak '!$A$2:$A$11, XLOOKUP(I67, 'Data jarak '!$B$1:$K$1, 'Data jarak '!$B$2:$K$11))</f>
        <v>0</v>
      </c>
      <c r="L67" s="16">
        <f>vlookup(H67,Sheet4!$G$1:$I$11,2,false)</f>
        <v>64470.2</v>
      </c>
      <c r="M67" s="16">
        <f>vlookup(H67,Sheet4!$G$1:$I$11,3,false)</f>
        <v>187313.74</v>
      </c>
      <c r="N67" s="18">
        <f t="shared" si="1"/>
        <v>0</v>
      </c>
      <c r="O67" s="18">
        <f t="shared" si="2"/>
        <v>0</v>
      </c>
      <c r="P67" s="16"/>
      <c r="Q67" s="27" t="s">
        <v>35</v>
      </c>
      <c r="R67" s="27" t="s">
        <v>36</v>
      </c>
      <c r="S67" s="27" t="s">
        <v>35</v>
      </c>
      <c r="T67" s="27" t="s">
        <v>33</v>
      </c>
      <c r="U67" s="27">
        <v>1.0</v>
      </c>
      <c r="V67" s="27">
        <v>475.5077631</v>
      </c>
      <c r="W67" s="27">
        <v>12802.76</v>
      </c>
      <c r="X67" s="27">
        <v>6.848788241E7</v>
      </c>
      <c r="Y67" s="16">
        <f t="shared" si="3"/>
        <v>68487882.4</v>
      </c>
      <c r="Z67" s="16">
        <f t="shared" si="4"/>
        <v>-0.007555738091</v>
      </c>
      <c r="AA67" s="16"/>
      <c r="AB67" s="16"/>
      <c r="AC67" s="16"/>
      <c r="AD67" s="16"/>
      <c r="AE67" s="16"/>
    </row>
    <row r="68">
      <c r="A68" s="16"/>
      <c r="B68" s="16"/>
      <c r="C68" s="16"/>
      <c r="D68" s="16"/>
      <c r="E68" s="16"/>
      <c r="F68" s="16"/>
      <c r="G68" s="16"/>
      <c r="H68" s="27" t="s">
        <v>33</v>
      </c>
      <c r="I68" s="27" t="s">
        <v>39</v>
      </c>
      <c r="J68" s="27">
        <v>0.0</v>
      </c>
      <c r="K68" s="76">
        <f t="array" ref="K68">XLOOKUP(H68, 'Data jarak '!$A$2:$A$11, XLOOKUP(I68, 'Data jarak '!$B$1:$K$1, 'Data jarak '!$B$2:$K$11))</f>
        <v>356.1662</v>
      </c>
      <c r="L68" s="16">
        <f>vlookup(H68,Sheet4!$G$1:$I$11,2,false)</f>
        <v>64470.2</v>
      </c>
      <c r="M68" s="16">
        <f>vlookup(H68,Sheet4!$G$1:$I$11,3,false)</f>
        <v>187313.74</v>
      </c>
      <c r="N68" s="18">
        <f t="shared" si="1"/>
        <v>0</v>
      </c>
      <c r="O68" s="18">
        <f t="shared" si="2"/>
        <v>0</v>
      </c>
      <c r="P68" s="16"/>
      <c r="Q68" s="27" t="s">
        <v>35</v>
      </c>
      <c r="R68" s="27" t="s">
        <v>32</v>
      </c>
      <c r="S68" s="27" t="s">
        <v>35</v>
      </c>
      <c r="T68" s="27" t="s">
        <v>33</v>
      </c>
      <c r="U68" s="27">
        <v>1.0</v>
      </c>
      <c r="V68" s="27">
        <v>475.5077631</v>
      </c>
      <c r="W68" s="27">
        <v>72304.0</v>
      </c>
      <c r="X68" s="27">
        <v>3.867875247E8</v>
      </c>
      <c r="Y68" s="16">
        <f t="shared" si="3"/>
        <v>386787524.7</v>
      </c>
      <c r="Z68" s="16">
        <f t="shared" si="4"/>
        <v>-0.03919798136</v>
      </c>
      <c r="AA68" s="16"/>
      <c r="AB68" s="16"/>
      <c r="AC68" s="16"/>
      <c r="AD68" s="16"/>
      <c r="AE68" s="16"/>
    </row>
    <row r="69">
      <c r="A69" s="16"/>
      <c r="B69" s="16"/>
      <c r="C69" s="16"/>
      <c r="D69" s="16"/>
      <c r="E69" s="16"/>
      <c r="F69" s="16"/>
      <c r="G69" s="16"/>
      <c r="H69" s="27" t="s">
        <v>33</v>
      </c>
      <c r="I69" s="27" t="s">
        <v>35</v>
      </c>
      <c r="J69" s="27">
        <v>0.0</v>
      </c>
      <c r="K69" s="76">
        <f t="array" ref="K69">XLOOKUP(H69, 'Data jarak '!$A$2:$A$11, XLOOKUP(I69, 'Data jarak '!$B$1:$K$1, 'Data jarak '!$B$2:$K$11))</f>
        <v>475.5078</v>
      </c>
      <c r="L69" s="16">
        <f>vlookup(H69,Sheet4!$G$1:$I$11,2,false)</f>
        <v>64470.2</v>
      </c>
      <c r="M69" s="16">
        <f>vlookup(H69,Sheet4!$G$1:$I$11,3,false)</f>
        <v>187313.74</v>
      </c>
      <c r="N69" s="18">
        <f t="shared" si="1"/>
        <v>0</v>
      </c>
      <c r="O69" s="18">
        <f t="shared" si="2"/>
        <v>0</v>
      </c>
      <c r="P69" s="16"/>
      <c r="Q69" s="27" t="s">
        <v>35</v>
      </c>
      <c r="R69" s="27" t="s">
        <v>38</v>
      </c>
      <c r="S69" s="27" t="s">
        <v>35</v>
      </c>
      <c r="T69" s="27" t="s">
        <v>33</v>
      </c>
      <c r="U69" s="27">
        <v>1.0</v>
      </c>
      <c r="V69" s="27">
        <v>475.5077631</v>
      </c>
      <c r="W69" s="27">
        <v>34996.76</v>
      </c>
      <c r="X69" s="27">
        <v>1.872138495E8</v>
      </c>
      <c r="Y69" s="16">
        <f t="shared" si="3"/>
        <v>187213849.5</v>
      </c>
      <c r="Z69" s="16">
        <f t="shared" si="4"/>
        <v>-0.03733998537</v>
      </c>
      <c r="AA69" s="16"/>
      <c r="AB69" s="16"/>
      <c r="AC69" s="16"/>
      <c r="AD69" s="16"/>
      <c r="AE69" s="16"/>
    </row>
    <row r="70">
      <c r="A70" s="16"/>
      <c r="B70" s="16"/>
      <c r="C70" s="16"/>
      <c r="D70" s="16"/>
      <c r="E70" s="16"/>
      <c r="F70" s="16"/>
      <c r="G70" s="16"/>
      <c r="H70" s="27" t="s">
        <v>33</v>
      </c>
      <c r="I70" s="27" t="s">
        <v>40</v>
      </c>
      <c r="J70" s="27">
        <v>0.0</v>
      </c>
      <c r="K70" s="76">
        <f t="array" ref="K70">XLOOKUP(H70, 'Data jarak '!$A$2:$A$11, XLOOKUP(I70, 'Data jarak '!$B$1:$K$1, 'Data jarak '!$B$2:$K$11))</f>
        <v>800.7896</v>
      </c>
      <c r="L70" s="16">
        <f>vlookup(H70,Sheet4!$G$1:$I$11,2,false)</f>
        <v>64470.2</v>
      </c>
      <c r="M70" s="16">
        <f>vlookup(H70,Sheet4!$G$1:$I$11,3,false)</f>
        <v>187313.74</v>
      </c>
      <c r="N70" s="18">
        <f t="shared" si="1"/>
        <v>0</v>
      </c>
      <c r="O70" s="18">
        <f t="shared" si="2"/>
        <v>0</v>
      </c>
      <c r="P70" s="16"/>
      <c r="Q70" s="27" t="s">
        <v>35</v>
      </c>
      <c r="R70" s="27" t="s">
        <v>33</v>
      </c>
      <c r="S70" s="27" t="s">
        <v>35</v>
      </c>
      <c r="T70" s="27" t="s">
        <v>33</v>
      </c>
      <c r="U70" s="27">
        <v>1.0</v>
      </c>
      <c r="V70" s="27">
        <v>475.5077631</v>
      </c>
      <c r="W70" s="27">
        <v>121568.92</v>
      </c>
      <c r="X70" s="27">
        <v>6.503283587E8</v>
      </c>
      <c r="Y70" s="16">
        <f t="shared" si="3"/>
        <v>650328358.6</v>
      </c>
      <c r="Z70" s="16">
        <f t="shared" si="4"/>
        <v>-0.06856799126</v>
      </c>
      <c r="AA70" s="16"/>
      <c r="AB70" s="16"/>
      <c r="AC70" s="16"/>
      <c r="AD70" s="16"/>
      <c r="AE70" s="16"/>
    </row>
    <row r="71">
      <c r="A71" s="16"/>
      <c r="B71" s="16"/>
      <c r="C71" s="16"/>
      <c r="D71" s="16"/>
      <c r="E71" s="16"/>
      <c r="F71" s="16"/>
      <c r="G71" s="16"/>
      <c r="H71" s="27" t="s">
        <v>33</v>
      </c>
      <c r="I71" s="27" t="s">
        <v>37</v>
      </c>
      <c r="J71" s="27">
        <v>0.0</v>
      </c>
      <c r="K71" s="76">
        <f t="array" ref="K71">XLOOKUP(H71, 'Data jarak '!$A$2:$A$11, XLOOKUP(I71, 'Data jarak '!$B$1:$K$1, 'Data jarak '!$B$2:$K$11))</f>
        <v>1024.79</v>
      </c>
      <c r="L71" s="16">
        <f>vlookup(H71,Sheet4!$G$1:$I$11,2,false)</f>
        <v>64470.2</v>
      </c>
      <c r="M71" s="16">
        <f>vlookup(H71,Sheet4!$G$1:$I$11,3,false)</f>
        <v>187313.74</v>
      </c>
      <c r="N71" s="18">
        <f t="shared" si="1"/>
        <v>0</v>
      </c>
      <c r="O71" s="18">
        <f t="shared" si="2"/>
        <v>0</v>
      </c>
      <c r="P71" s="16"/>
      <c r="Q71" s="27" t="s">
        <v>35</v>
      </c>
      <c r="R71" s="27" t="s">
        <v>37</v>
      </c>
      <c r="S71" s="27" t="s">
        <v>35</v>
      </c>
      <c r="T71" s="27" t="s">
        <v>37</v>
      </c>
      <c r="U71" s="27">
        <v>1.0</v>
      </c>
      <c r="V71" s="27">
        <v>658.2451157</v>
      </c>
      <c r="W71" s="27">
        <v>101245.44</v>
      </c>
      <c r="X71" s="27">
        <v>7.497485592E8</v>
      </c>
      <c r="Y71" s="16">
        <f t="shared" si="3"/>
        <v>749748559.1</v>
      </c>
      <c r="Z71" s="16">
        <f t="shared" si="4"/>
        <v>-0.07240414619</v>
      </c>
      <c r="AA71" s="16"/>
      <c r="AB71" s="16"/>
      <c r="AC71" s="16"/>
      <c r="AD71" s="16"/>
      <c r="AE71" s="16"/>
    </row>
    <row r="72">
      <c r="A72" s="16"/>
      <c r="B72" s="16"/>
      <c r="C72" s="16"/>
      <c r="D72" s="16"/>
      <c r="E72" s="16"/>
      <c r="F72" s="16"/>
      <c r="G72" s="16"/>
      <c r="H72" s="27" t="s">
        <v>39</v>
      </c>
      <c r="I72" s="27" t="s">
        <v>31</v>
      </c>
      <c r="J72" s="27">
        <v>0.0</v>
      </c>
      <c r="K72" s="76">
        <f t="array" ref="K72">XLOOKUP(H72, 'Data jarak '!$A$2:$A$11, XLOOKUP(I72, 'Data jarak '!$B$1:$K$1, 'Data jarak '!$B$2:$K$11))</f>
        <v>1641.94</v>
      </c>
      <c r="L72" s="16">
        <f>vlookup(H72,Sheet4!$G$1:$I$11,2,false)</f>
        <v>75267.84</v>
      </c>
      <c r="M72" s="16">
        <f>vlookup(H72,Sheet4!$G$1:$I$11,3,false)</f>
        <v>44041.76</v>
      </c>
      <c r="N72" s="18">
        <f t="shared" si="1"/>
        <v>0</v>
      </c>
      <c r="O72" s="18">
        <f t="shared" si="2"/>
        <v>0</v>
      </c>
      <c r="P72" s="16"/>
      <c r="Q72" s="27" t="s">
        <v>40</v>
      </c>
      <c r="R72" s="27" t="s">
        <v>31</v>
      </c>
      <c r="S72" s="27" t="s">
        <v>33</v>
      </c>
      <c r="T72" s="27" t="s">
        <v>31</v>
      </c>
      <c r="U72" s="27">
        <v>1.0</v>
      </c>
      <c r="V72" s="27">
        <v>1362.65047</v>
      </c>
      <c r="W72" s="27">
        <v>535.69</v>
      </c>
      <c r="X72" s="27">
        <v>8212030.09</v>
      </c>
      <c r="Y72" s="16">
        <f t="shared" si="3"/>
        <v>8212030.091</v>
      </c>
      <c r="Z72" s="16">
        <f t="shared" si="4"/>
        <v>0.0005858764052</v>
      </c>
      <c r="AA72" s="16"/>
      <c r="AB72" s="16"/>
      <c r="AC72" s="16"/>
      <c r="AD72" s="16"/>
      <c r="AE72" s="16"/>
    </row>
    <row r="73">
      <c r="A73" s="16"/>
      <c r="B73" s="16"/>
      <c r="C73" s="16"/>
      <c r="D73" s="16"/>
      <c r="E73" s="16"/>
      <c r="F73" s="16"/>
      <c r="G73" s="16"/>
      <c r="H73" s="27" t="s">
        <v>39</v>
      </c>
      <c r="I73" s="27" t="s">
        <v>34</v>
      </c>
      <c r="J73" s="27">
        <v>0.0</v>
      </c>
      <c r="K73" s="76">
        <f t="array" ref="K73">XLOOKUP(H73, 'Data jarak '!$A$2:$A$11, XLOOKUP(I73, 'Data jarak '!$B$1:$K$1, 'Data jarak '!$B$2:$K$11))</f>
        <v>1264.945</v>
      </c>
      <c r="L73" s="16">
        <f>vlookup(H73,Sheet4!$G$1:$I$11,2,false)</f>
        <v>75267.84</v>
      </c>
      <c r="M73" s="16">
        <f>vlookup(H73,Sheet4!$G$1:$I$11,3,false)</f>
        <v>44041.76</v>
      </c>
      <c r="N73" s="18">
        <f t="shared" si="1"/>
        <v>0</v>
      </c>
      <c r="O73" s="18">
        <f t="shared" si="2"/>
        <v>0</v>
      </c>
      <c r="P73" s="16"/>
      <c r="Q73" s="27" t="s">
        <v>40</v>
      </c>
      <c r="R73" s="27" t="s">
        <v>31</v>
      </c>
      <c r="S73" s="27" t="s">
        <v>35</v>
      </c>
      <c r="T73" s="27" t="s">
        <v>33</v>
      </c>
      <c r="U73" s="27">
        <v>1.0</v>
      </c>
      <c r="V73" s="27">
        <v>475.5077631</v>
      </c>
      <c r="W73" s="27">
        <v>535.69</v>
      </c>
      <c r="X73" s="27">
        <v>2865653.478</v>
      </c>
      <c r="Y73" s="16">
        <f t="shared" si="3"/>
        <v>2865653.478</v>
      </c>
      <c r="Z73" s="16">
        <f t="shared" si="4"/>
        <v>0.0001691891812</v>
      </c>
      <c r="AA73" s="16"/>
      <c r="AB73" s="16"/>
      <c r="AC73" s="16"/>
      <c r="AD73" s="16"/>
      <c r="AE73" s="16"/>
    </row>
    <row r="74">
      <c r="A74" s="16"/>
      <c r="B74" s="16"/>
      <c r="C74" s="16"/>
      <c r="D74" s="16"/>
      <c r="E74" s="16"/>
      <c r="F74" s="16"/>
      <c r="G74" s="16"/>
      <c r="H74" s="27" t="s">
        <v>39</v>
      </c>
      <c r="I74" s="27" t="s">
        <v>36</v>
      </c>
      <c r="J74" s="27">
        <v>0.0</v>
      </c>
      <c r="K74" s="76">
        <f t="array" ref="K74">XLOOKUP(H74, 'Data jarak '!$A$2:$A$11, XLOOKUP(I74, 'Data jarak '!$B$1:$K$1, 'Data jarak '!$B$2:$K$11))</f>
        <v>751.9781</v>
      </c>
      <c r="L74" s="16">
        <f>vlookup(H74,Sheet4!$G$1:$I$11,2,false)</f>
        <v>75267.84</v>
      </c>
      <c r="M74" s="16">
        <f>vlookup(H74,Sheet4!$G$1:$I$11,3,false)</f>
        <v>44041.76</v>
      </c>
      <c r="N74" s="18">
        <f t="shared" si="1"/>
        <v>0</v>
      </c>
      <c r="O74" s="18">
        <f t="shared" si="2"/>
        <v>0</v>
      </c>
      <c r="P74" s="16"/>
      <c r="Q74" s="27" t="s">
        <v>40</v>
      </c>
      <c r="R74" s="27" t="s">
        <v>34</v>
      </c>
      <c r="S74" s="27" t="s">
        <v>35</v>
      </c>
      <c r="T74" s="27" t="s">
        <v>33</v>
      </c>
      <c r="U74" s="27">
        <v>1.0</v>
      </c>
      <c r="V74" s="27">
        <v>475.5077631</v>
      </c>
      <c r="W74" s="27">
        <v>1238.12</v>
      </c>
      <c r="X74" s="27">
        <v>6623276.307</v>
      </c>
      <c r="Y74" s="16">
        <f t="shared" si="3"/>
        <v>6623276.306</v>
      </c>
      <c r="Z74" s="16">
        <f t="shared" si="4"/>
        <v>-0.0009445650503</v>
      </c>
      <c r="AA74" s="16"/>
      <c r="AB74" s="16"/>
      <c r="AC74" s="16"/>
      <c r="AD74" s="16"/>
      <c r="AE74" s="16"/>
    </row>
    <row r="75">
      <c r="A75" s="16"/>
      <c r="B75" s="16"/>
      <c r="C75" s="16"/>
      <c r="D75" s="16"/>
      <c r="E75" s="16"/>
      <c r="F75" s="16"/>
      <c r="G75" s="16"/>
      <c r="H75" s="27" t="s">
        <v>39</v>
      </c>
      <c r="I75" s="27" t="s">
        <v>32</v>
      </c>
      <c r="J75" s="27">
        <v>0.0</v>
      </c>
      <c r="K75" s="76">
        <f t="array" ref="K75">XLOOKUP(H75, 'Data jarak '!$A$2:$A$11, XLOOKUP(I75, 'Data jarak '!$B$1:$K$1, 'Data jarak '!$B$2:$K$11))</f>
        <v>741.0224</v>
      </c>
      <c r="L75" s="16">
        <f>vlookup(H75,Sheet4!$G$1:$I$11,2,false)</f>
        <v>75267.84</v>
      </c>
      <c r="M75" s="16">
        <f>vlookup(H75,Sheet4!$G$1:$I$11,3,false)</f>
        <v>44041.76</v>
      </c>
      <c r="N75" s="18">
        <f t="shared" si="1"/>
        <v>0</v>
      </c>
      <c r="O75" s="18">
        <f t="shared" si="2"/>
        <v>0</v>
      </c>
      <c r="P75" s="16"/>
      <c r="Q75" s="27" t="s">
        <v>40</v>
      </c>
      <c r="R75" s="27" t="s">
        <v>36</v>
      </c>
      <c r="S75" s="27" t="s">
        <v>35</v>
      </c>
      <c r="T75" s="27" t="s">
        <v>33</v>
      </c>
      <c r="U75" s="27">
        <v>1.0</v>
      </c>
      <c r="V75" s="27">
        <v>475.5077631</v>
      </c>
      <c r="W75" s="27">
        <v>540.3</v>
      </c>
      <c r="X75" s="27">
        <v>2890314.5</v>
      </c>
      <c r="Y75" s="16">
        <f t="shared" si="3"/>
        <v>2890314.5</v>
      </c>
      <c r="Z75" s="16">
        <f t="shared" si="4"/>
        <v>-0.0004670377821</v>
      </c>
      <c r="AA75" s="16"/>
      <c r="AB75" s="16"/>
      <c r="AC75" s="16"/>
      <c r="AD75" s="16"/>
      <c r="AE75" s="16"/>
    </row>
    <row r="76">
      <c r="A76" s="16"/>
      <c r="B76" s="16"/>
      <c r="C76" s="16"/>
      <c r="D76" s="16"/>
      <c r="E76" s="16"/>
      <c r="F76" s="16"/>
      <c r="G76" s="16"/>
      <c r="H76" s="27" t="s">
        <v>39</v>
      </c>
      <c r="I76" s="27" t="s">
        <v>38</v>
      </c>
      <c r="J76" s="27">
        <v>0.0</v>
      </c>
      <c r="K76" s="76">
        <f t="array" ref="K76">XLOOKUP(H76, 'Data jarak '!$A$2:$A$11, XLOOKUP(I76, 'Data jarak '!$B$1:$K$1, 'Data jarak '!$B$2:$K$11))</f>
        <v>510.3344</v>
      </c>
      <c r="L76" s="16">
        <f>vlookup(H76,Sheet4!$G$1:$I$11,2,false)</f>
        <v>75267.84</v>
      </c>
      <c r="M76" s="16">
        <f>vlookup(H76,Sheet4!$G$1:$I$11,3,false)</f>
        <v>44041.76</v>
      </c>
      <c r="N76" s="18">
        <f t="shared" si="1"/>
        <v>0</v>
      </c>
      <c r="O76" s="18">
        <f t="shared" si="2"/>
        <v>0</v>
      </c>
      <c r="P76" s="16"/>
      <c r="Q76" s="27" t="s">
        <v>40</v>
      </c>
      <c r="R76" s="27" t="s">
        <v>32</v>
      </c>
      <c r="S76" s="27" t="s">
        <v>35</v>
      </c>
      <c r="T76" s="27" t="s">
        <v>33</v>
      </c>
      <c r="U76" s="27">
        <v>1.0</v>
      </c>
      <c r="V76" s="27">
        <v>475.5077631</v>
      </c>
      <c r="W76" s="27">
        <v>1578.11</v>
      </c>
      <c r="X76" s="27">
        <v>8442040.006</v>
      </c>
      <c r="Y76" s="16">
        <f t="shared" si="3"/>
        <v>8442040.005</v>
      </c>
      <c r="Z76" s="16">
        <f t="shared" si="4"/>
        <v>-0.0007104128599</v>
      </c>
      <c r="AA76" s="16"/>
      <c r="AB76" s="16"/>
      <c r="AC76" s="16"/>
      <c r="AD76" s="16"/>
      <c r="AE76" s="16"/>
    </row>
    <row r="77">
      <c r="A77" s="16"/>
      <c r="B77" s="16"/>
      <c r="C77" s="16"/>
      <c r="D77" s="16"/>
      <c r="E77" s="16"/>
      <c r="F77" s="16"/>
      <c r="G77" s="16"/>
      <c r="H77" s="27" t="s">
        <v>39</v>
      </c>
      <c r="I77" s="27" t="s">
        <v>33</v>
      </c>
      <c r="J77" s="27">
        <v>0.0</v>
      </c>
      <c r="K77" s="76">
        <f t="array" ref="K77">XLOOKUP(H77, 'Data jarak '!$A$2:$A$11, XLOOKUP(I77, 'Data jarak '!$B$1:$K$1, 'Data jarak '!$B$2:$K$11))</f>
        <v>356.1662</v>
      </c>
      <c r="L77" s="16">
        <f>vlookup(H77,Sheet4!$G$1:$I$11,2,false)</f>
        <v>75267.84</v>
      </c>
      <c r="M77" s="16">
        <f>vlookup(H77,Sheet4!$G$1:$I$11,3,false)</f>
        <v>44041.76</v>
      </c>
      <c r="N77" s="18">
        <f t="shared" si="1"/>
        <v>0</v>
      </c>
      <c r="O77" s="18">
        <f t="shared" si="2"/>
        <v>0</v>
      </c>
      <c r="P77" s="16"/>
      <c r="Q77" s="27" t="s">
        <v>40</v>
      </c>
      <c r="R77" s="27" t="s">
        <v>38</v>
      </c>
      <c r="S77" s="27" t="s">
        <v>35</v>
      </c>
      <c r="T77" s="27" t="s">
        <v>33</v>
      </c>
      <c r="U77" s="27">
        <v>1.0</v>
      </c>
      <c r="V77" s="27">
        <v>475.5077631</v>
      </c>
      <c r="W77" s="27">
        <v>310.92</v>
      </c>
      <c r="X77" s="27">
        <v>1663254.829</v>
      </c>
      <c r="Y77" s="16">
        <f t="shared" si="3"/>
        <v>1663254.829</v>
      </c>
      <c r="Z77" s="16">
        <f t="shared" si="4"/>
        <v>0.0001593353227</v>
      </c>
      <c r="AA77" s="16"/>
      <c r="AB77" s="16"/>
      <c r="AC77" s="16"/>
      <c r="AD77" s="16"/>
      <c r="AE77" s="16"/>
    </row>
    <row r="78">
      <c r="A78" s="16"/>
      <c r="B78" s="16"/>
      <c r="C78" s="16"/>
      <c r="D78" s="16"/>
      <c r="E78" s="16"/>
      <c r="F78" s="16"/>
      <c r="G78" s="16"/>
      <c r="H78" s="27" t="s">
        <v>39</v>
      </c>
      <c r="I78" s="27" t="s">
        <v>39</v>
      </c>
      <c r="J78" s="27">
        <v>0.0</v>
      </c>
      <c r="K78" s="76">
        <f t="array" ref="K78">XLOOKUP(H78, 'Data jarak '!$A$2:$A$11, XLOOKUP(I78, 'Data jarak '!$B$1:$K$1, 'Data jarak '!$B$2:$K$11))</f>
        <v>0</v>
      </c>
      <c r="L78" s="16">
        <f>vlookup(H78,Sheet4!$G$1:$I$11,2,false)</f>
        <v>75267.84</v>
      </c>
      <c r="M78" s="16">
        <f>vlookup(H78,Sheet4!$G$1:$I$11,3,false)</f>
        <v>44041.76</v>
      </c>
      <c r="N78" s="18">
        <f t="shared" si="1"/>
        <v>0</v>
      </c>
      <c r="O78" s="18">
        <f t="shared" si="2"/>
        <v>0</v>
      </c>
      <c r="P78" s="16"/>
      <c r="Q78" s="18" t="s">
        <v>40</v>
      </c>
      <c r="R78" s="18" t="s">
        <v>33</v>
      </c>
      <c r="S78" s="18" t="s">
        <v>35</v>
      </c>
      <c r="T78" s="18" t="s">
        <v>33</v>
      </c>
      <c r="U78" s="18">
        <v>1.0</v>
      </c>
      <c r="V78" s="18">
        <v>475.5077631</v>
      </c>
      <c r="W78" s="18">
        <v>2948.54</v>
      </c>
      <c r="X78" s="18">
        <v>1.577310367E7</v>
      </c>
      <c r="Y78" s="16">
        <f t="shared" si="3"/>
        <v>15773103.67</v>
      </c>
      <c r="Z78" s="16">
        <f t="shared" si="4"/>
        <v>0.002872332931</v>
      </c>
      <c r="AA78" s="16"/>
      <c r="AB78" s="16"/>
      <c r="AC78" s="16"/>
      <c r="AD78" s="16"/>
      <c r="AE78" s="16"/>
    </row>
    <row r="79">
      <c r="A79" s="16"/>
      <c r="B79" s="16"/>
      <c r="C79" s="16"/>
      <c r="D79" s="16"/>
      <c r="E79" s="16"/>
      <c r="F79" s="16"/>
      <c r="G79" s="16"/>
      <c r="H79" s="27" t="s">
        <v>39</v>
      </c>
      <c r="I79" s="27" t="s">
        <v>35</v>
      </c>
      <c r="J79" s="27">
        <v>1.0</v>
      </c>
      <c r="K79" s="76">
        <f t="array" ref="K79">XLOOKUP(H79, 'Data jarak '!$A$2:$A$11, XLOOKUP(I79, 'Data jarak '!$B$1:$K$1, 'Data jarak '!$B$2:$K$11))</f>
        <v>186.18</v>
      </c>
      <c r="L79" s="16">
        <f>vlookup(H79,Sheet4!$G$1:$I$11,2,false)</f>
        <v>75267.84</v>
      </c>
      <c r="M79" s="16">
        <f>vlookup(H79,Sheet4!$G$1:$I$11,3,false)</f>
        <v>44041.76</v>
      </c>
      <c r="N79" s="18">
        <f t="shared" si="1"/>
        <v>210200496.8</v>
      </c>
      <c r="O79" s="18">
        <f t="shared" si="2"/>
        <v>122995423.2</v>
      </c>
      <c r="P79" s="16"/>
      <c r="Q79" s="18" t="s">
        <v>40</v>
      </c>
      <c r="R79" s="18" t="s">
        <v>37</v>
      </c>
      <c r="S79" s="18" t="s">
        <v>35</v>
      </c>
      <c r="T79" s="18" t="s">
        <v>37</v>
      </c>
      <c r="U79" s="18">
        <v>1.0</v>
      </c>
      <c r="V79" s="18">
        <v>658.2451157</v>
      </c>
      <c r="W79" s="18">
        <v>1785.4</v>
      </c>
      <c r="X79" s="18">
        <v>1.322134683E7</v>
      </c>
      <c r="Y79" s="16">
        <f t="shared" si="3"/>
        <v>13221346.83</v>
      </c>
      <c r="Z79" s="16">
        <f t="shared" si="4"/>
        <v>0.002671277151</v>
      </c>
      <c r="AA79" s="16"/>
      <c r="AB79" s="16"/>
      <c r="AC79" s="16"/>
      <c r="AD79" s="16"/>
      <c r="AE79" s="16"/>
    </row>
    <row r="80">
      <c r="A80" s="16"/>
      <c r="B80" s="16"/>
      <c r="C80" s="16"/>
      <c r="D80" s="16"/>
      <c r="E80" s="16"/>
      <c r="F80" s="16"/>
      <c r="G80" s="16"/>
      <c r="H80" s="27" t="s">
        <v>39</v>
      </c>
      <c r="I80" s="27" t="s">
        <v>40</v>
      </c>
      <c r="J80" s="27">
        <v>0.0</v>
      </c>
      <c r="K80" s="76">
        <f t="array" ref="K80">XLOOKUP(H80, 'Data jarak '!$A$2:$A$11, XLOOKUP(I80, 'Data jarak '!$B$1:$K$1, 'Data jarak '!$B$2:$K$11))</f>
        <v>587.9985</v>
      </c>
      <c r="L80" s="16">
        <f>vlookup(H80,Sheet4!$G$1:$I$11,2,false)</f>
        <v>75267.84</v>
      </c>
      <c r="M80" s="16">
        <f>vlookup(H80,Sheet4!$G$1:$I$11,3,false)</f>
        <v>44041.76</v>
      </c>
      <c r="N80" s="18">
        <f t="shared" si="1"/>
        <v>0</v>
      </c>
      <c r="O80" s="18">
        <f t="shared" si="2"/>
        <v>0</v>
      </c>
      <c r="P80" s="16"/>
      <c r="Q80" s="18" t="s">
        <v>37</v>
      </c>
      <c r="R80" s="18" t="s">
        <v>31</v>
      </c>
      <c r="S80" s="18" t="s">
        <v>33</v>
      </c>
      <c r="T80" s="18" t="s">
        <v>31</v>
      </c>
      <c r="U80" s="18">
        <v>1.0</v>
      </c>
      <c r="V80" s="18">
        <v>1362.65047</v>
      </c>
      <c r="W80" s="18">
        <v>29981.56</v>
      </c>
      <c r="X80" s="18">
        <v>4.596118518E8</v>
      </c>
      <c r="Y80" s="16">
        <f t="shared" si="3"/>
        <v>459611851.8</v>
      </c>
      <c r="Z80" s="16">
        <f t="shared" si="4"/>
        <v>-0.01500147581</v>
      </c>
      <c r="AA80" s="16"/>
      <c r="AB80" s="16"/>
      <c r="AC80" s="16"/>
      <c r="AD80" s="16"/>
      <c r="AE80" s="16"/>
    </row>
    <row r="81">
      <c r="A81" s="16"/>
      <c r="B81" s="16"/>
      <c r="C81" s="16"/>
      <c r="D81" s="16"/>
      <c r="E81" s="16"/>
      <c r="F81" s="16"/>
      <c r="G81" s="16"/>
      <c r="H81" s="27" t="s">
        <v>39</v>
      </c>
      <c r="I81" s="27" t="s">
        <v>37</v>
      </c>
      <c r="J81" s="27">
        <v>0.0</v>
      </c>
      <c r="K81" s="76">
        <f t="array" ref="K81">XLOOKUP(H81, 'Data jarak '!$A$2:$A$11, XLOOKUP(I81, 'Data jarak '!$B$1:$K$1, 'Data jarak '!$B$2:$K$11))</f>
        <v>842.0161</v>
      </c>
      <c r="L81" s="16">
        <f>vlookup(H81,Sheet4!$G$1:$I$11,2,false)</f>
        <v>75267.84</v>
      </c>
      <c r="M81" s="16">
        <f>vlookup(H81,Sheet4!$G$1:$I$11,3,false)</f>
        <v>44041.76</v>
      </c>
      <c r="N81" s="18">
        <f t="shared" si="1"/>
        <v>0</v>
      </c>
      <c r="O81" s="18">
        <f t="shared" si="2"/>
        <v>0</v>
      </c>
      <c r="P81" s="16"/>
      <c r="Q81" s="18" t="s">
        <v>37</v>
      </c>
      <c r="R81" s="18" t="s">
        <v>31</v>
      </c>
      <c r="S81" s="18" t="s">
        <v>35</v>
      </c>
      <c r="T81" s="18" t="s">
        <v>33</v>
      </c>
      <c r="U81" s="18">
        <v>1.0</v>
      </c>
      <c r="V81" s="18">
        <v>475.5077631</v>
      </c>
      <c r="W81" s="18">
        <v>29981.56</v>
      </c>
      <c r="X81" s="18">
        <v>1.60385226E8</v>
      </c>
      <c r="Y81" s="16">
        <f t="shared" si="3"/>
        <v>160385226</v>
      </c>
      <c r="Z81" s="16">
        <f t="shared" si="4"/>
        <v>-0.03920507431</v>
      </c>
      <c r="AA81" s="16"/>
      <c r="AB81" s="16"/>
      <c r="AC81" s="16"/>
      <c r="AD81" s="16"/>
      <c r="AE81" s="16"/>
    </row>
    <row r="82">
      <c r="A82" s="16"/>
      <c r="B82" s="16"/>
      <c r="C82" s="16"/>
      <c r="D82" s="16"/>
      <c r="E82" s="16"/>
      <c r="F82" s="16"/>
      <c r="G82" s="16"/>
      <c r="H82" s="27" t="s">
        <v>35</v>
      </c>
      <c r="I82" s="27" t="s">
        <v>31</v>
      </c>
      <c r="J82" s="27">
        <v>0.0</v>
      </c>
      <c r="K82" s="76">
        <f t="array" ref="K82">XLOOKUP(H82, 'Data jarak '!$A$2:$A$11, XLOOKUP(I82, 'Data jarak '!$B$1:$K$1, 'Data jarak '!$B$2:$K$11))</f>
        <v>1810.495</v>
      </c>
      <c r="L82" s="16">
        <f>vlookup(H82,Sheet4!$G$1:$I$11,2,false)</f>
        <v>420950.02</v>
      </c>
      <c r="M82" s="16">
        <f>vlookup(H82,Sheet4!$G$1:$I$11,3,false)</f>
        <v>176319.88</v>
      </c>
      <c r="N82" s="18">
        <f t="shared" si="1"/>
        <v>0</v>
      </c>
      <c r="O82" s="18">
        <f t="shared" si="2"/>
        <v>0</v>
      </c>
      <c r="P82" s="16"/>
      <c r="Q82" s="18" t="s">
        <v>37</v>
      </c>
      <c r="R82" s="18" t="s">
        <v>31</v>
      </c>
      <c r="S82" s="18" t="s">
        <v>37</v>
      </c>
      <c r="T82" s="18" t="s">
        <v>35</v>
      </c>
      <c r="U82" s="18">
        <v>1.0</v>
      </c>
      <c r="V82" s="18">
        <v>658.2451157</v>
      </c>
      <c r="W82" s="18">
        <v>29981.56</v>
      </c>
      <c r="X82" s="18">
        <v>2.220211736E8</v>
      </c>
      <c r="Y82" s="16">
        <f t="shared" si="3"/>
        <v>222021173.6</v>
      </c>
      <c r="Z82" s="16">
        <f t="shared" si="4"/>
        <v>-0.0005019307137</v>
      </c>
      <c r="AA82" s="16"/>
      <c r="AB82" s="16"/>
      <c r="AC82" s="16"/>
      <c r="AD82" s="16"/>
      <c r="AE82" s="16"/>
    </row>
    <row r="83">
      <c r="A83" s="16"/>
      <c r="B83" s="16"/>
      <c r="C83" s="16"/>
      <c r="D83" s="16"/>
      <c r="E83" s="16"/>
      <c r="F83" s="16"/>
      <c r="G83" s="16"/>
      <c r="H83" s="27" t="s">
        <v>35</v>
      </c>
      <c r="I83" s="27" t="s">
        <v>34</v>
      </c>
      <c r="J83" s="27">
        <v>0.0</v>
      </c>
      <c r="K83" s="76">
        <f t="array" ref="K83">XLOOKUP(H83, 'Data jarak '!$A$2:$A$11, XLOOKUP(I83, 'Data jarak '!$B$1:$K$1, 'Data jarak '!$B$2:$K$11))</f>
        <v>1425.636</v>
      </c>
      <c r="L83" s="16">
        <f>vlookup(H83,Sheet4!$G$1:$I$11,2,false)</f>
        <v>420950.02</v>
      </c>
      <c r="M83" s="16">
        <f>vlookup(H83,Sheet4!$G$1:$I$11,3,false)</f>
        <v>176319.88</v>
      </c>
      <c r="N83" s="18">
        <f t="shared" si="1"/>
        <v>0</v>
      </c>
      <c r="O83" s="18">
        <f t="shared" si="2"/>
        <v>0</v>
      </c>
      <c r="P83" s="16"/>
      <c r="Q83" s="18" t="s">
        <v>37</v>
      </c>
      <c r="R83" s="18" t="s">
        <v>34</v>
      </c>
      <c r="S83" s="18" t="s">
        <v>35</v>
      </c>
      <c r="T83" s="18" t="s">
        <v>33</v>
      </c>
      <c r="U83" s="18">
        <v>1.0</v>
      </c>
      <c r="V83" s="18">
        <v>475.5077631</v>
      </c>
      <c r="W83" s="18">
        <v>2231.22</v>
      </c>
      <c r="X83" s="18">
        <v>1.193582735E7</v>
      </c>
      <c r="Y83" s="16">
        <f t="shared" si="3"/>
        <v>11935827.35</v>
      </c>
      <c r="Z83" s="16">
        <f t="shared" si="4"/>
        <v>0.0008197966963</v>
      </c>
      <c r="AA83" s="16"/>
      <c r="AB83" s="16"/>
      <c r="AC83" s="16"/>
      <c r="AD83" s="16"/>
      <c r="AE83" s="16"/>
    </row>
    <row r="84">
      <c r="A84" s="16"/>
      <c r="B84" s="16"/>
      <c r="C84" s="16"/>
      <c r="D84" s="16"/>
      <c r="E84" s="16"/>
      <c r="F84" s="16"/>
      <c r="G84" s="16"/>
      <c r="H84" s="27" t="s">
        <v>35</v>
      </c>
      <c r="I84" s="27" t="s">
        <v>36</v>
      </c>
      <c r="J84" s="27">
        <v>0.0</v>
      </c>
      <c r="K84" s="76">
        <f t="array" ref="K84">XLOOKUP(H84, 'Data jarak '!$A$2:$A$11, XLOOKUP(I84, 'Data jarak '!$B$1:$K$1, 'Data jarak '!$B$2:$K$11))</f>
        <v>867.9308</v>
      </c>
      <c r="L84" s="16">
        <f>vlookup(H84,Sheet4!$G$1:$I$11,2,false)</f>
        <v>420950.02</v>
      </c>
      <c r="M84" s="16">
        <f>vlookup(H84,Sheet4!$G$1:$I$11,3,false)</f>
        <v>176319.88</v>
      </c>
      <c r="N84" s="18">
        <f t="shared" si="1"/>
        <v>0</v>
      </c>
      <c r="O84" s="18">
        <f t="shared" si="2"/>
        <v>0</v>
      </c>
      <c r="P84" s="16"/>
      <c r="Q84" s="18" t="s">
        <v>37</v>
      </c>
      <c r="R84" s="18" t="s">
        <v>34</v>
      </c>
      <c r="S84" s="18" t="s">
        <v>37</v>
      </c>
      <c r="T84" s="18" t="s">
        <v>35</v>
      </c>
      <c r="U84" s="18">
        <v>1.0</v>
      </c>
      <c r="V84" s="18">
        <v>658.2451157</v>
      </c>
      <c r="W84" s="18">
        <v>2231.22</v>
      </c>
      <c r="X84" s="18">
        <v>1.652275876E7</v>
      </c>
      <c r="Y84" s="16">
        <f t="shared" si="3"/>
        <v>16522758.75</v>
      </c>
      <c r="Z84" s="16">
        <f t="shared" si="4"/>
        <v>-0.005663266405</v>
      </c>
      <c r="AA84" s="16"/>
      <c r="AB84" s="16"/>
      <c r="AC84" s="16"/>
      <c r="AD84" s="16"/>
      <c r="AE84" s="16"/>
    </row>
    <row r="85">
      <c r="A85" s="16"/>
      <c r="B85" s="16"/>
      <c r="C85" s="16"/>
      <c r="D85" s="16"/>
      <c r="E85" s="16"/>
      <c r="F85" s="16"/>
      <c r="G85" s="16"/>
      <c r="H85" s="27" t="s">
        <v>35</v>
      </c>
      <c r="I85" s="27" t="s">
        <v>32</v>
      </c>
      <c r="J85" s="27">
        <v>0.0</v>
      </c>
      <c r="K85" s="76">
        <f t="array" ref="K85">XLOOKUP(H85, 'Data jarak '!$A$2:$A$11, XLOOKUP(I85, 'Data jarak '!$B$1:$K$1, 'Data jarak '!$B$2:$K$11))</f>
        <v>918.1315</v>
      </c>
      <c r="L85" s="16">
        <f>vlookup(H85,Sheet4!$G$1:$I$11,2,false)</f>
        <v>420950.02</v>
      </c>
      <c r="M85" s="16">
        <f>vlookup(H85,Sheet4!$G$1:$I$11,3,false)</f>
        <v>176319.88</v>
      </c>
      <c r="N85" s="18">
        <f t="shared" si="1"/>
        <v>0</v>
      </c>
      <c r="O85" s="18">
        <f t="shared" si="2"/>
        <v>0</v>
      </c>
      <c r="P85" s="16"/>
      <c r="Q85" s="18" t="s">
        <v>37</v>
      </c>
      <c r="R85" s="18" t="s">
        <v>36</v>
      </c>
      <c r="S85" s="18" t="s">
        <v>35</v>
      </c>
      <c r="T85" s="18" t="s">
        <v>33</v>
      </c>
      <c r="U85" s="18">
        <v>1.0</v>
      </c>
      <c r="V85" s="18">
        <v>475.5077631</v>
      </c>
      <c r="W85" s="18">
        <v>3648.96</v>
      </c>
      <c r="X85" s="18">
        <v>1.951997408E7</v>
      </c>
      <c r="Y85" s="16">
        <f t="shared" si="3"/>
        <v>19519974.08</v>
      </c>
      <c r="Z85" s="16">
        <f t="shared" si="4"/>
        <v>0.001465480775</v>
      </c>
      <c r="AA85" s="16"/>
      <c r="AB85" s="16"/>
      <c r="AC85" s="16"/>
      <c r="AD85" s="16"/>
      <c r="AE85" s="16"/>
    </row>
    <row r="86">
      <c r="A86" s="16"/>
      <c r="B86" s="16"/>
      <c r="C86" s="16"/>
      <c r="D86" s="16"/>
      <c r="E86" s="16"/>
      <c r="F86" s="16"/>
      <c r="G86" s="16"/>
      <c r="H86" s="27" t="s">
        <v>35</v>
      </c>
      <c r="I86" s="27" t="s">
        <v>38</v>
      </c>
      <c r="J86" s="27">
        <v>0.0</v>
      </c>
      <c r="K86" s="76">
        <f t="array" ref="K86">XLOOKUP(H86, 'Data jarak '!$A$2:$A$11, XLOOKUP(I86, 'Data jarak '!$B$1:$K$1, 'Data jarak '!$B$2:$K$11))</f>
        <v>647.3369</v>
      </c>
      <c r="L86" s="16">
        <f>vlookup(H86,Sheet4!$G$1:$I$11,2,false)</f>
        <v>420950.02</v>
      </c>
      <c r="M86" s="16">
        <f>vlookup(H86,Sheet4!$G$1:$I$11,3,false)</f>
        <v>176319.88</v>
      </c>
      <c r="N86" s="18">
        <f t="shared" si="1"/>
        <v>0</v>
      </c>
      <c r="O86" s="18">
        <f t="shared" si="2"/>
        <v>0</v>
      </c>
      <c r="P86" s="16"/>
      <c r="Q86" s="18" t="s">
        <v>37</v>
      </c>
      <c r="R86" s="18" t="s">
        <v>36</v>
      </c>
      <c r="S86" s="18" t="s">
        <v>37</v>
      </c>
      <c r="T86" s="18" t="s">
        <v>35</v>
      </c>
      <c r="U86" s="18">
        <v>1.0</v>
      </c>
      <c r="V86" s="18">
        <v>658.2451157</v>
      </c>
      <c r="W86" s="18">
        <v>3648.96</v>
      </c>
      <c r="X86" s="18">
        <v>2.70214886E7</v>
      </c>
      <c r="Y86" s="16">
        <f t="shared" si="3"/>
        <v>27021488.6</v>
      </c>
      <c r="Z86" s="16">
        <f t="shared" si="4"/>
        <v>-0.0044224374</v>
      </c>
      <c r="AA86" s="16"/>
      <c r="AB86" s="16"/>
      <c r="AC86" s="16"/>
      <c r="AD86" s="16"/>
      <c r="AE86" s="16"/>
    </row>
    <row r="87">
      <c r="A87" s="16"/>
      <c r="B87" s="16"/>
      <c r="C87" s="16"/>
      <c r="D87" s="16"/>
      <c r="E87" s="16"/>
      <c r="F87" s="16"/>
      <c r="G87" s="16"/>
      <c r="H87" s="27" t="s">
        <v>35</v>
      </c>
      <c r="I87" s="27" t="s">
        <v>33</v>
      </c>
      <c r="J87" s="27">
        <v>0.0</v>
      </c>
      <c r="K87" s="76">
        <f t="array" ref="K87">XLOOKUP(H87, 'Data jarak '!$A$2:$A$11, XLOOKUP(I87, 'Data jarak '!$B$1:$K$1, 'Data jarak '!$B$2:$K$11))</f>
        <v>475.5078</v>
      </c>
      <c r="L87" s="16">
        <f>vlookup(H87,Sheet4!$G$1:$I$11,2,false)</f>
        <v>420950.02</v>
      </c>
      <c r="M87" s="16">
        <f>vlookup(H87,Sheet4!$G$1:$I$11,3,false)</f>
        <v>176319.88</v>
      </c>
      <c r="N87" s="18">
        <f t="shared" si="1"/>
        <v>0</v>
      </c>
      <c r="O87" s="18">
        <f t="shared" si="2"/>
        <v>0</v>
      </c>
      <c r="P87" s="16"/>
      <c r="Q87" s="18" t="s">
        <v>37</v>
      </c>
      <c r="R87" s="18" t="s">
        <v>32</v>
      </c>
      <c r="S87" s="18" t="s">
        <v>35</v>
      </c>
      <c r="T87" s="18" t="s">
        <v>33</v>
      </c>
      <c r="U87" s="18">
        <v>1.0</v>
      </c>
      <c r="V87" s="18">
        <v>475.5077631</v>
      </c>
      <c r="W87" s="18">
        <v>35048.12</v>
      </c>
      <c r="X87" s="18">
        <v>1.874885979E8</v>
      </c>
      <c r="Y87" s="16">
        <f t="shared" si="3"/>
        <v>187488597.8</v>
      </c>
      <c r="Z87" s="16">
        <f t="shared" si="4"/>
        <v>-0.05182081461</v>
      </c>
      <c r="AA87" s="16"/>
      <c r="AB87" s="16"/>
      <c r="AC87" s="16"/>
      <c r="AD87" s="16"/>
      <c r="AE87" s="16"/>
    </row>
    <row r="88">
      <c r="A88" s="16"/>
      <c r="B88" s="16"/>
      <c r="C88" s="16"/>
      <c r="D88" s="16"/>
      <c r="E88" s="16"/>
      <c r="F88" s="16"/>
      <c r="G88" s="16"/>
      <c r="H88" s="27" t="s">
        <v>35</v>
      </c>
      <c r="I88" s="27" t="s">
        <v>39</v>
      </c>
      <c r="J88" s="27">
        <v>0.0</v>
      </c>
      <c r="K88" s="76">
        <f t="array" ref="K88">XLOOKUP(H88, 'Data jarak '!$A$2:$A$11, XLOOKUP(I88, 'Data jarak '!$B$1:$K$1, 'Data jarak '!$B$2:$K$11))</f>
        <v>186.18</v>
      </c>
      <c r="L88" s="16">
        <f>vlookup(H88,Sheet4!$G$1:$I$11,2,false)</f>
        <v>420950.02</v>
      </c>
      <c r="M88" s="16">
        <f>vlookup(H88,Sheet4!$G$1:$I$11,3,false)</f>
        <v>176319.88</v>
      </c>
      <c r="N88" s="18">
        <f t="shared" si="1"/>
        <v>0</v>
      </c>
      <c r="O88" s="18">
        <f t="shared" si="2"/>
        <v>0</v>
      </c>
      <c r="P88" s="16"/>
      <c r="Q88" s="18" t="s">
        <v>37</v>
      </c>
      <c r="R88" s="18" t="s">
        <v>32</v>
      </c>
      <c r="S88" s="18" t="s">
        <v>37</v>
      </c>
      <c r="T88" s="18" t="s">
        <v>35</v>
      </c>
      <c r="U88" s="18">
        <v>1.0</v>
      </c>
      <c r="V88" s="18">
        <v>658.2451157</v>
      </c>
      <c r="W88" s="18">
        <v>35048.12</v>
      </c>
      <c r="X88" s="18">
        <v>2.595403553E8</v>
      </c>
      <c r="Y88" s="16">
        <f t="shared" si="3"/>
        <v>259540355.3</v>
      </c>
      <c r="Z88" s="16">
        <f t="shared" si="4"/>
        <v>0.0002592206001</v>
      </c>
      <c r="AA88" s="16"/>
      <c r="AB88" s="16"/>
      <c r="AC88" s="16"/>
      <c r="AD88" s="16"/>
      <c r="AE88" s="16"/>
    </row>
    <row r="89">
      <c r="A89" s="16"/>
      <c r="B89" s="16"/>
      <c r="C89" s="16"/>
      <c r="D89" s="16"/>
      <c r="E89" s="16"/>
      <c r="F89" s="16"/>
      <c r="G89" s="16"/>
      <c r="H89" s="27" t="s">
        <v>35</v>
      </c>
      <c r="I89" s="27" t="s">
        <v>35</v>
      </c>
      <c r="J89" s="27">
        <v>1.0</v>
      </c>
      <c r="K89" s="76">
        <f t="array" ref="K89">XLOOKUP(H89, 'Data jarak '!$A$2:$A$11, XLOOKUP(I89, 'Data jarak '!$B$1:$K$1, 'Data jarak '!$B$2:$K$11))</f>
        <v>0</v>
      </c>
      <c r="L89" s="16">
        <f>vlookup(H89,Sheet4!$G$1:$I$11,2,false)</f>
        <v>420950.02</v>
      </c>
      <c r="M89" s="16">
        <f>vlookup(H89,Sheet4!$G$1:$I$11,3,false)</f>
        <v>176319.88</v>
      </c>
      <c r="N89" s="18">
        <f t="shared" si="1"/>
        <v>0</v>
      </c>
      <c r="O89" s="18">
        <f t="shared" si="2"/>
        <v>0</v>
      </c>
      <c r="P89" s="16"/>
      <c r="Q89" s="18" t="s">
        <v>37</v>
      </c>
      <c r="R89" s="18" t="s">
        <v>38</v>
      </c>
      <c r="S89" s="18" t="s">
        <v>35</v>
      </c>
      <c r="T89" s="18" t="s">
        <v>33</v>
      </c>
      <c r="U89" s="18">
        <v>1.0</v>
      </c>
      <c r="V89" s="18">
        <v>475.5077631</v>
      </c>
      <c r="W89" s="18">
        <v>4802.16</v>
      </c>
      <c r="X89" s="18">
        <v>2.568897405E7</v>
      </c>
      <c r="Y89" s="16">
        <f t="shared" si="3"/>
        <v>25688974.05</v>
      </c>
      <c r="Z89" s="16">
        <f t="shared" si="4"/>
        <v>-0.003956671804</v>
      </c>
      <c r="AA89" s="16"/>
      <c r="AB89" s="16"/>
      <c r="AC89" s="16"/>
      <c r="AD89" s="16"/>
      <c r="AE89" s="16"/>
    </row>
    <row r="90">
      <c r="A90" s="16"/>
      <c r="B90" s="16"/>
      <c r="C90" s="16"/>
      <c r="D90" s="16"/>
      <c r="E90" s="16"/>
      <c r="F90" s="16"/>
      <c r="G90" s="16"/>
      <c r="H90" s="27" t="s">
        <v>35</v>
      </c>
      <c r="I90" s="27" t="s">
        <v>40</v>
      </c>
      <c r="J90" s="27">
        <v>0.0</v>
      </c>
      <c r="K90" s="76">
        <f t="array" ref="K90">XLOOKUP(H90, 'Data jarak '!$A$2:$A$11, XLOOKUP(I90, 'Data jarak '!$B$1:$K$1, 'Data jarak '!$B$2:$K$11))</f>
        <v>403.0102</v>
      </c>
      <c r="L90" s="16">
        <f>vlookup(H90,Sheet4!$G$1:$I$11,2,false)</f>
        <v>420950.02</v>
      </c>
      <c r="M90" s="16">
        <f>vlookup(H90,Sheet4!$G$1:$I$11,3,false)</f>
        <v>176319.88</v>
      </c>
      <c r="N90" s="18">
        <f t="shared" si="1"/>
        <v>0</v>
      </c>
      <c r="O90" s="18">
        <f t="shared" si="2"/>
        <v>0</v>
      </c>
      <c r="P90" s="16"/>
      <c r="Q90" s="18" t="s">
        <v>37</v>
      </c>
      <c r="R90" s="18" t="s">
        <v>38</v>
      </c>
      <c r="S90" s="18" t="s">
        <v>37</v>
      </c>
      <c r="T90" s="18" t="s">
        <v>35</v>
      </c>
      <c r="U90" s="18">
        <v>1.0</v>
      </c>
      <c r="V90" s="18">
        <v>658.2451157</v>
      </c>
      <c r="W90" s="18">
        <v>4802.16</v>
      </c>
      <c r="X90" s="18">
        <v>3.556123161E7</v>
      </c>
      <c r="Y90" s="16">
        <f t="shared" si="3"/>
        <v>35561231.6</v>
      </c>
      <c r="Z90" s="16">
        <f t="shared" si="4"/>
        <v>-0.005888484418</v>
      </c>
      <c r="AA90" s="16"/>
      <c r="AB90" s="16"/>
      <c r="AC90" s="16"/>
      <c r="AD90" s="16"/>
      <c r="AE90" s="16"/>
    </row>
    <row r="91">
      <c r="A91" s="16"/>
      <c r="B91" s="16"/>
      <c r="C91" s="16"/>
      <c r="D91" s="16"/>
      <c r="E91" s="16"/>
      <c r="F91" s="16"/>
      <c r="G91" s="16"/>
      <c r="H91" s="27" t="s">
        <v>35</v>
      </c>
      <c r="I91" s="27" t="s">
        <v>37</v>
      </c>
      <c r="J91" s="27">
        <v>0.0</v>
      </c>
      <c r="K91" s="76">
        <f t="array" ref="K91">XLOOKUP(H91, 'Data jarak '!$A$2:$A$11, XLOOKUP(I91, 'Data jarak '!$B$1:$K$1, 'Data jarak '!$B$2:$K$11))</f>
        <v>658.2451</v>
      </c>
      <c r="L91" s="16">
        <f>vlookup(H91,Sheet4!$G$1:$I$11,2,false)</f>
        <v>420950.02</v>
      </c>
      <c r="M91" s="16">
        <f>vlookup(H91,Sheet4!$G$1:$I$11,3,false)</f>
        <v>176319.88</v>
      </c>
      <c r="N91" s="18">
        <f t="shared" si="1"/>
        <v>0</v>
      </c>
      <c r="O91" s="18">
        <f t="shared" si="2"/>
        <v>0</v>
      </c>
      <c r="P91" s="16"/>
      <c r="Q91" s="18" t="s">
        <v>37</v>
      </c>
      <c r="R91" s="18" t="s">
        <v>33</v>
      </c>
      <c r="S91" s="18" t="s">
        <v>35</v>
      </c>
      <c r="T91" s="18" t="s">
        <v>33</v>
      </c>
      <c r="U91" s="18">
        <v>1.0</v>
      </c>
      <c r="V91" s="18">
        <v>475.5077631</v>
      </c>
      <c r="W91" s="18">
        <v>19692.68</v>
      </c>
      <c r="X91" s="18">
        <v>1.053452499E8</v>
      </c>
      <c r="Y91" s="16">
        <f t="shared" si="3"/>
        <v>105345249.9</v>
      </c>
      <c r="Z91" s="16">
        <f t="shared" si="4"/>
        <v>0.03274621069</v>
      </c>
      <c r="AA91" s="16"/>
      <c r="AB91" s="16"/>
      <c r="AC91" s="16"/>
      <c r="AD91" s="16"/>
      <c r="AE91" s="16"/>
    </row>
    <row r="92">
      <c r="A92" s="16"/>
      <c r="B92" s="16"/>
      <c r="C92" s="16"/>
      <c r="D92" s="16"/>
      <c r="E92" s="16"/>
      <c r="F92" s="16"/>
      <c r="G92" s="16"/>
      <c r="H92" s="27" t="s">
        <v>40</v>
      </c>
      <c r="I92" s="27" t="s">
        <v>31</v>
      </c>
      <c r="J92" s="27">
        <v>0.0</v>
      </c>
      <c r="K92" s="76">
        <f t="array" ref="K92">XLOOKUP(H92, 'Data jarak '!$A$2:$A$11, XLOOKUP(I92, 'Data jarak '!$B$1:$K$1, 'Data jarak '!$B$2:$K$11))</f>
        <v>2163.425</v>
      </c>
      <c r="L92" s="16">
        <f>vlookup(H92,Sheet4!$G$1:$I$11,2,false)</f>
        <v>13888.29</v>
      </c>
      <c r="M92" s="16">
        <f>vlookup(H92,Sheet4!$G$1:$I$11,3,false)</f>
        <v>44428.77</v>
      </c>
      <c r="N92" s="18">
        <f t="shared" si="1"/>
        <v>0</v>
      </c>
      <c r="O92" s="18">
        <f t="shared" si="2"/>
        <v>0</v>
      </c>
      <c r="P92" s="16"/>
      <c r="Q92" s="18" t="s">
        <v>37</v>
      </c>
      <c r="R92" s="18" t="s">
        <v>33</v>
      </c>
      <c r="S92" s="18" t="s">
        <v>37</v>
      </c>
      <c r="T92" s="18" t="s">
        <v>35</v>
      </c>
      <c r="U92" s="18">
        <v>1.0</v>
      </c>
      <c r="V92" s="18">
        <v>658.2451157</v>
      </c>
      <c r="W92" s="18">
        <v>19692.68</v>
      </c>
      <c r="X92" s="18">
        <v>1.458293673E8</v>
      </c>
      <c r="Y92" s="16">
        <f t="shared" si="3"/>
        <v>145829367.3</v>
      </c>
      <c r="Z92" s="16">
        <f t="shared" si="4"/>
        <v>-0.01826539636</v>
      </c>
      <c r="AA92" s="16"/>
      <c r="AB92" s="16"/>
      <c r="AC92" s="16"/>
      <c r="AD92" s="16"/>
      <c r="AE92" s="16"/>
    </row>
    <row r="93">
      <c r="A93" s="16"/>
      <c r="B93" s="16"/>
      <c r="C93" s="16"/>
      <c r="D93" s="16"/>
      <c r="E93" s="16"/>
      <c r="F93" s="16"/>
      <c r="G93" s="16"/>
      <c r="H93" s="27" t="s">
        <v>40</v>
      </c>
      <c r="I93" s="27" t="s">
        <v>34</v>
      </c>
      <c r="J93" s="27">
        <v>0.0</v>
      </c>
      <c r="K93" s="76">
        <f t="array" ref="K93">XLOOKUP(H93, 'Data jarak '!$A$2:$A$11, XLOOKUP(I93, 'Data jarak '!$B$1:$K$1, 'Data jarak '!$B$2:$K$11))</f>
        <v>1766.499</v>
      </c>
      <c r="L93" s="16">
        <f>vlookup(H93,Sheet4!$G$1:$I$11,2,false)</f>
        <v>13888.29</v>
      </c>
      <c r="M93" s="16">
        <f>vlookup(H93,Sheet4!$G$1:$I$11,3,false)</f>
        <v>44428.77</v>
      </c>
      <c r="N93" s="18">
        <f t="shared" si="1"/>
        <v>0</v>
      </c>
      <c r="O93" s="18">
        <f t="shared" si="2"/>
        <v>0</v>
      </c>
      <c r="P93" s="16"/>
      <c r="Q93" s="18" t="s">
        <v>37</v>
      </c>
      <c r="R93" s="18" t="s">
        <v>39</v>
      </c>
      <c r="S93" s="18" t="s">
        <v>37</v>
      </c>
      <c r="T93" s="18" t="s">
        <v>35</v>
      </c>
      <c r="U93" s="18">
        <v>1.0</v>
      </c>
      <c r="V93" s="18">
        <v>658.2451157</v>
      </c>
      <c r="W93" s="18">
        <v>4405.52</v>
      </c>
      <c r="X93" s="18">
        <v>3.262401025E7</v>
      </c>
      <c r="Y93" s="16">
        <f t="shared" si="3"/>
        <v>32624010.25</v>
      </c>
      <c r="Z93" s="16">
        <f t="shared" si="4"/>
        <v>-0.001165024936</v>
      </c>
      <c r="AA93" s="16"/>
      <c r="AB93" s="16"/>
      <c r="AC93" s="16"/>
      <c r="AD93" s="16"/>
      <c r="AE93" s="16"/>
    </row>
    <row r="94">
      <c r="A94" s="16"/>
      <c r="B94" s="16"/>
      <c r="C94" s="16"/>
      <c r="D94" s="16"/>
      <c r="E94" s="16"/>
      <c r="F94" s="16"/>
      <c r="G94" s="16"/>
      <c r="H94" s="27" t="s">
        <v>40</v>
      </c>
      <c r="I94" s="27" t="s">
        <v>36</v>
      </c>
      <c r="J94" s="27">
        <v>0.0</v>
      </c>
      <c r="K94" s="76">
        <f t="array" ref="K94">XLOOKUP(H94, 'Data jarak '!$A$2:$A$11, XLOOKUP(I94, 'Data jarak '!$B$1:$K$1, 'Data jarak '!$B$2:$K$11))</f>
        <v>1150.091</v>
      </c>
      <c r="L94" s="16">
        <f>vlookup(H94,Sheet4!$G$1:$I$11,2,false)</f>
        <v>13888.29</v>
      </c>
      <c r="M94" s="16">
        <f>vlookup(H94,Sheet4!$G$1:$I$11,3,false)</f>
        <v>44428.77</v>
      </c>
      <c r="N94" s="18">
        <f t="shared" si="1"/>
        <v>0</v>
      </c>
      <c r="O94" s="18">
        <f t="shared" si="2"/>
        <v>0</v>
      </c>
      <c r="P94" s="16"/>
      <c r="Q94" s="18" t="s">
        <v>37</v>
      </c>
      <c r="R94" s="18" t="s">
        <v>35</v>
      </c>
      <c r="S94" s="18" t="s">
        <v>37</v>
      </c>
      <c r="T94" s="18" t="s">
        <v>35</v>
      </c>
      <c r="U94" s="18">
        <v>1.0</v>
      </c>
      <c r="V94" s="18">
        <v>658.2451157</v>
      </c>
      <c r="W94" s="18">
        <v>51923.64</v>
      </c>
      <c r="X94" s="18">
        <v>3.845079272E8</v>
      </c>
      <c r="Y94" s="16">
        <f t="shared" si="3"/>
        <v>384507927.2</v>
      </c>
      <c r="Z94" s="16">
        <f t="shared" si="4"/>
        <v>0.01785796881</v>
      </c>
      <c r="AA94" s="16"/>
      <c r="AB94" s="16"/>
      <c r="AC94" s="16"/>
      <c r="AD94" s="16"/>
      <c r="AE94" s="16"/>
    </row>
    <row r="95">
      <c r="A95" s="16"/>
      <c r="B95" s="16"/>
      <c r="C95" s="16"/>
      <c r="D95" s="16"/>
      <c r="E95" s="16"/>
      <c r="F95" s="16"/>
      <c r="G95" s="16"/>
      <c r="H95" s="27" t="s">
        <v>40</v>
      </c>
      <c r="I95" s="27" t="s">
        <v>32</v>
      </c>
      <c r="J95" s="27">
        <v>0.0</v>
      </c>
      <c r="K95" s="76">
        <f t="array" ref="K95">XLOOKUP(H95, 'Data jarak '!$A$2:$A$11, XLOOKUP(I95, 'Data jarak '!$B$1:$K$1, 'Data jarak '!$B$2:$K$11))</f>
        <v>1296.792</v>
      </c>
      <c r="L95" s="16">
        <f>vlookup(H95,Sheet4!$G$1:$I$11,2,false)</f>
        <v>13888.29</v>
      </c>
      <c r="M95" s="16">
        <f>vlookup(H95,Sheet4!$G$1:$I$11,3,false)</f>
        <v>44428.77</v>
      </c>
      <c r="N95" s="18">
        <f t="shared" si="1"/>
        <v>0</v>
      </c>
      <c r="O95" s="18">
        <f t="shared" si="2"/>
        <v>0</v>
      </c>
      <c r="P95" s="16"/>
      <c r="Q95" s="18" t="s">
        <v>37</v>
      </c>
      <c r="R95" s="18" t="s">
        <v>40</v>
      </c>
      <c r="S95" s="18" t="s">
        <v>37</v>
      </c>
      <c r="T95" s="18" t="s">
        <v>35</v>
      </c>
      <c r="U95" s="18">
        <v>1.0</v>
      </c>
      <c r="V95" s="18">
        <v>658.2451157</v>
      </c>
      <c r="W95" s="18">
        <v>4601.38</v>
      </c>
      <c r="X95" s="18">
        <v>3.4074404E7</v>
      </c>
      <c r="Y95" s="16">
        <f t="shared" si="3"/>
        <v>34074403.99</v>
      </c>
      <c r="Z95" s="16">
        <f t="shared" si="4"/>
        <v>-0.00710375607</v>
      </c>
      <c r="AA95" s="16"/>
      <c r="AB95" s="16"/>
      <c r="AC95" s="16"/>
      <c r="AD95" s="16"/>
      <c r="AE95" s="16"/>
    </row>
    <row r="96">
      <c r="A96" s="16"/>
      <c r="B96" s="16"/>
      <c r="C96" s="16"/>
      <c r="D96" s="16"/>
      <c r="E96" s="16"/>
      <c r="F96" s="16"/>
      <c r="G96" s="16"/>
      <c r="H96" s="27" t="s">
        <v>40</v>
      </c>
      <c r="I96" s="27" t="s">
        <v>38</v>
      </c>
      <c r="J96" s="27">
        <v>0.0</v>
      </c>
      <c r="K96" s="76">
        <f t="array" ref="K96">XLOOKUP(H96, 'Data jarak '!$A$2:$A$11, XLOOKUP(I96, 'Data jarak '!$B$1:$K$1, 'Data jarak '!$B$2:$K$11))</f>
        <v>976.2167</v>
      </c>
      <c r="L96" s="16">
        <f>vlookup(H96,Sheet4!$G$1:$I$11,2,false)</f>
        <v>13888.29</v>
      </c>
      <c r="M96" s="16">
        <f>vlookup(H96,Sheet4!$G$1:$I$11,3,false)</f>
        <v>44428.77</v>
      </c>
      <c r="N96" s="18">
        <f t="shared" si="1"/>
        <v>0</v>
      </c>
      <c r="O96" s="18">
        <f t="shared" si="2"/>
        <v>0</v>
      </c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</row>
    <row r="97">
      <c r="A97" s="16"/>
      <c r="B97" s="16"/>
      <c r="C97" s="16"/>
      <c r="D97" s="16"/>
      <c r="E97" s="16"/>
      <c r="F97" s="16"/>
      <c r="G97" s="16"/>
      <c r="H97" s="27" t="s">
        <v>40</v>
      </c>
      <c r="I97" s="27" t="s">
        <v>33</v>
      </c>
      <c r="J97" s="27">
        <v>0.0</v>
      </c>
      <c r="K97" s="76">
        <f t="array" ref="K97">XLOOKUP(H97, 'Data jarak '!$A$2:$A$11, XLOOKUP(I97, 'Data jarak '!$B$1:$K$1, 'Data jarak '!$B$2:$K$11))</f>
        <v>800.7896</v>
      </c>
      <c r="L97" s="16">
        <f>vlookup(H97,Sheet4!$G$1:$I$11,2,false)</f>
        <v>13888.29</v>
      </c>
      <c r="M97" s="16">
        <f>vlookup(H97,Sheet4!$G$1:$I$11,3,false)</f>
        <v>44428.77</v>
      </c>
      <c r="N97" s="18">
        <f t="shared" si="1"/>
        <v>0</v>
      </c>
      <c r="O97" s="18">
        <f t="shared" si="2"/>
        <v>0</v>
      </c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</row>
    <row r="98">
      <c r="A98" s="16"/>
      <c r="B98" s="16"/>
      <c r="C98" s="16"/>
      <c r="D98" s="16"/>
      <c r="E98" s="16"/>
      <c r="F98" s="16"/>
      <c r="G98" s="16"/>
      <c r="H98" s="27" t="s">
        <v>40</v>
      </c>
      <c r="I98" s="27" t="s">
        <v>39</v>
      </c>
      <c r="J98" s="27">
        <v>0.0</v>
      </c>
      <c r="K98" s="76">
        <f t="array" ref="K98">XLOOKUP(H98, 'Data jarak '!$A$2:$A$11, XLOOKUP(I98, 'Data jarak '!$B$1:$K$1, 'Data jarak '!$B$2:$K$11))</f>
        <v>587.9985</v>
      </c>
      <c r="L98" s="16">
        <f>vlookup(H98,Sheet4!$G$1:$I$11,2,false)</f>
        <v>13888.29</v>
      </c>
      <c r="M98" s="16">
        <f>vlookup(H98,Sheet4!$G$1:$I$11,3,false)</f>
        <v>44428.77</v>
      </c>
      <c r="N98" s="18">
        <f t="shared" si="1"/>
        <v>0</v>
      </c>
      <c r="O98" s="18">
        <f t="shared" si="2"/>
        <v>0</v>
      </c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</row>
    <row r="99">
      <c r="A99" s="16"/>
      <c r="B99" s="16"/>
      <c r="C99" s="16"/>
      <c r="D99" s="16"/>
      <c r="E99" s="16"/>
      <c r="F99" s="16"/>
      <c r="G99" s="16"/>
      <c r="H99" s="27" t="s">
        <v>40</v>
      </c>
      <c r="I99" s="27" t="s">
        <v>35</v>
      </c>
      <c r="J99" s="27">
        <v>1.0</v>
      </c>
      <c r="K99" s="76">
        <f t="array" ref="K99">XLOOKUP(H99, 'Data jarak '!$A$2:$A$11, XLOOKUP(I99, 'Data jarak '!$B$1:$K$1, 'Data jarak '!$B$2:$K$11))</f>
        <v>403.0102</v>
      </c>
      <c r="L99" s="16">
        <f>vlookup(H99,Sheet4!$G$1:$I$11,2,false)</f>
        <v>13888.29</v>
      </c>
      <c r="M99" s="16">
        <f>vlookup(H99,Sheet4!$G$1:$I$11,3,false)</f>
        <v>44428.77</v>
      </c>
      <c r="N99" s="18">
        <f t="shared" si="1"/>
        <v>83956837.96</v>
      </c>
      <c r="O99" s="18">
        <f t="shared" si="2"/>
        <v>268578712.3</v>
      </c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</row>
    <row r="100">
      <c r="A100" s="16"/>
      <c r="B100" s="16"/>
      <c r="C100" s="16"/>
      <c r="D100" s="16"/>
      <c r="E100" s="16"/>
      <c r="F100" s="16"/>
      <c r="G100" s="16"/>
      <c r="H100" s="27" t="s">
        <v>40</v>
      </c>
      <c r="I100" s="27" t="s">
        <v>40</v>
      </c>
      <c r="J100" s="27">
        <v>0.0</v>
      </c>
      <c r="K100" s="76">
        <f t="array" ref="K100">XLOOKUP(H100, 'Data jarak '!$A$2:$A$11, XLOOKUP(I100, 'Data jarak '!$B$1:$K$1, 'Data jarak '!$B$2:$K$11))</f>
        <v>0</v>
      </c>
      <c r="L100" s="16">
        <f>vlookup(H100,Sheet4!$G$1:$I$11,2,false)</f>
        <v>13888.29</v>
      </c>
      <c r="M100" s="16">
        <f>vlookup(H100,Sheet4!$G$1:$I$11,3,false)</f>
        <v>44428.77</v>
      </c>
      <c r="N100" s="18">
        <f t="shared" si="1"/>
        <v>0</v>
      </c>
      <c r="O100" s="18">
        <f t="shared" si="2"/>
        <v>0</v>
      </c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</row>
    <row r="101">
      <c r="A101" s="16"/>
      <c r="B101" s="16"/>
      <c r="C101" s="16"/>
      <c r="D101" s="16"/>
      <c r="E101" s="16"/>
      <c r="F101" s="16"/>
      <c r="G101" s="16"/>
      <c r="H101" s="27" t="s">
        <v>40</v>
      </c>
      <c r="I101" s="27" t="s">
        <v>37</v>
      </c>
      <c r="J101" s="27">
        <v>0.0</v>
      </c>
      <c r="K101" s="76">
        <f t="array" ref="K101">XLOOKUP(H101, 'Data jarak '!$A$2:$A$11, XLOOKUP(I101, 'Data jarak '!$B$1:$K$1, 'Data jarak '!$B$2:$K$11))</f>
        <v>256.303</v>
      </c>
      <c r="L101" s="16">
        <f>vlookup(H101,Sheet4!$G$1:$I$11,2,false)</f>
        <v>13888.29</v>
      </c>
      <c r="M101" s="16">
        <f>vlookup(H101,Sheet4!$G$1:$I$11,3,false)</f>
        <v>44428.77</v>
      </c>
      <c r="N101" s="18">
        <f t="shared" si="1"/>
        <v>0</v>
      </c>
      <c r="O101" s="18">
        <f t="shared" si="2"/>
        <v>0</v>
      </c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</row>
    <row r="102">
      <c r="A102" s="16"/>
      <c r="B102" s="16"/>
      <c r="C102" s="16"/>
      <c r="D102" s="16"/>
      <c r="E102" s="16"/>
      <c r="F102" s="16"/>
      <c r="G102" s="16"/>
      <c r="H102" s="27" t="s">
        <v>37</v>
      </c>
      <c r="I102" s="27" t="s">
        <v>31</v>
      </c>
      <c r="J102" s="27">
        <v>0.0</v>
      </c>
      <c r="K102" s="76">
        <f t="array" ref="K102">XLOOKUP(H102, 'Data jarak '!$A$2:$A$11, XLOOKUP(I102, 'Data jarak '!$B$1:$K$1, 'Data jarak '!$B$2:$K$11))</f>
        <v>2382.411</v>
      </c>
      <c r="L102" s="16">
        <f>vlookup(H102,Sheet4!$G$1:$I$11,2,false)</f>
        <v>156335.24</v>
      </c>
      <c r="M102" s="16">
        <f>vlookup(H102,Sheet4!$G$1:$I$11,3,false)</f>
        <v>213533</v>
      </c>
      <c r="N102" s="18">
        <f t="shared" si="1"/>
        <v>0</v>
      </c>
      <c r="O102" s="18">
        <f t="shared" si="2"/>
        <v>0</v>
      </c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</row>
    <row r="103">
      <c r="A103" s="16"/>
      <c r="B103" s="16"/>
      <c r="C103" s="16"/>
      <c r="D103" s="16"/>
      <c r="E103" s="16"/>
      <c r="F103" s="16"/>
      <c r="G103" s="16"/>
      <c r="H103" s="27" t="s">
        <v>37</v>
      </c>
      <c r="I103" s="27" t="s">
        <v>34</v>
      </c>
      <c r="J103" s="27">
        <v>0.0</v>
      </c>
      <c r="K103" s="76">
        <f t="array" ref="K103">XLOOKUP(H103, 'Data jarak '!$A$2:$A$11, XLOOKUP(I103, 'Data jarak '!$B$1:$K$1, 'Data jarak '!$B$2:$K$11))</f>
        <v>1980.994</v>
      </c>
      <c r="L103" s="16">
        <f>vlookup(H103,Sheet4!$G$1:$I$11,2,false)</f>
        <v>156335.24</v>
      </c>
      <c r="M103" s="16">
        <f>vlookup(H103,Sheet4!$G$1:$I$11,3,false)</f>
        <v>213533</v>
      </c>
      <c r="N103" s="18">
        <f t="shared" si="1"/>
        <v>0</v>
      </c>
      <c r="O103" s="18">
        <f t="shared" si="2"/>
        <v>0</v>
      </c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</row>
    <row r="104">
      <c r="A104" s="16"/>
      <c r="B104" s="16"/>
      <c r="C104" s="16"/>
      <c r="D104" s="16"/>
      <c r="E104" s="16"/>
      <c r="F104" s="16"/>
      <c r="G104" s="16"/>
      <c r="H104" s="27" t="s">
        <v>37</v>
      </c>
      <c r="I104" s="27" t="s">
        <v>36</v>
      </c>
      <c r="J104" s="27">
        <v>0.0</v>
      </c>
      <c r="K104" s="76">
        <f t="array" ref="K104">XLOOKUP(H104, 'Data jarak '!$A$2:$A$11, XLOOKUP(I104, 'Data jarak '!$B$1:$K$1, 'Data jarak '!$B$2:$K$11))</f>
        <v>1344.494</v>
      </c>
      <c r="L104" s="16">
        <f>vlookup(H104,Sheet4!$G$1:$I$11,2,false)</f>
        <v>156335.24</v>
      </c>
      <c r="M104" s="16">
        <f>vlookup(H104,Sheet4!$G$1:$I$11,3,false)</f>
        <v>213533</v>
      </c>
      <c r="N104" s="18">
        <f t="shared" si="1"/>
        <v>0</v>
      </c>
      <c r="O104" s="18">
        <f t="shared" si="2"/>
        <v>0</v>
      </c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</row>
    <row r="105">
      <c r="A105" s="16"/>
      <c r="B105" s="16"/>
      <c r="C105" s="16"/>
      <c r="D105" s="16"/>
      <c r="E105" s="16"/>
      <c r="F105" s="16"/>
      <c r="G105" s="16"/>
      <c r="H105" s="27" t="s">
        <v>37</v>
      </c>
      <c r="I105" s="27" t="s">
        <v>32</v>
      </c>
      <c r="J105" s="27">
        <v>0.0</v>
      </c>
      <c r="K105" s="76">
        <f t="array" ref="K105">XLOOKUP(H105, 'Data jarak '!$A$2:$A$11, XLOOKUP(I105, 'Data jarak '!$B$1:$K$1, 'Data jarak '!$B$2:$K$11))</f>
        <v>1535.299</v>
      </c>
      <c r="L105" s="16">
        <f>vlookup(H105,Sheet4!$G$1:$I$11,2,false)</f>
        <v>156335.24</v>
      </c>
      <c r="M105" s="16">
        <f>vlookup(H105,Sheet4!$G$1:$I$11,3,false)</f>
        <v>213533</v>
      </c>
      <c r="N105" s="18">
        <f t="shared" si="1"/>
        <v>0</v>
      </c>
      <c r="O105" s="18">
        <f t="shared" si="2"/>
        <v>0</v>
      </c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</row>
    <row r="106">
      <c r="A106" s="16"/>
      <c r="B106" s="16"/>
      <c r="C106" s="16"/>
      <c r="D106" s="16"/>
      <c r="E106" s="16"/>
      <c r="F106" s="16"/>
      <c r="G106" s="16"/>
      <c r="H106" s="27" t="s">
        <v>37</v>
      </c>
      <c r="I106" s="27" t="s">
        <v>38</v>
      </c>
      <c r="J106" s="27">
        <v>0.0</v>
      </c>
      <c r="K106" s="76">
        <f t="array" ref="K106">XLOOKUP(H106, 'Data jarak '!$A$2:$A$11, XLOOKUP(I106, 'Data jarak '!$B$1:$K$1, 'Data jarak '!$B$2:$K$11))</f>
        <v>1196.258</v>
      </c>
      <c r="L106" s="16">
        <f>vlookup(H106,Sheet4!$G$1:$I$11,2,false)</f>
        <v>156335.24</v>
      </c>
      <c r="M106" s="16">
        <f>vlookup(H106,Sheet4!$G$1:$I$11,3,false)</f>
        <v>213533</v>
      </c>
      <c r="N106" s="18">
        <f t="shared" si="1"/>
        <v>0</v>
      </c>
      <c r="O106" s="18">
        <f t="shared" si="2"/>
        <v>0</v>
      </c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</row>
    <row r="107">
      <c r="A107" s="16"/>
      <c r="B107" s="16"/>
      <c r="C107" s="16"/>
      <c r="D107" s="16"/>
      <c r="E107" s="16"/>
      <c r="F107" s="16"/>
      <c r="G107" s="16"/>
      <c r="H107" s="27" t="s">
        <v>37</v>
      </c>
      <c r="I107" s="27" t="s">
        <v>33</v>
      </c>
      <c r="J107" s="27">
        <v>0.0</v>
      </c>
      <c r="K107" s="76">
        <f t="array" ref="K107">XLOOKUP(H107, 'Data jarak '!$A$2:$A$11, XLOOKUP(I107, 'Data jarak '!$B$1:$K$1, 'Data jarak '!$B$2:$K$11))</f>
        <v>1024.79</v>
      </c>
      <c r="L107" s="16">
        <f>vlookup(H107,Sheet4!$G$1:$I$11,2,false)</f>
        <v>156335.24</v>
      </c>
      <c r="M107" s="16">
        <f>vlookup(H107,Sheet4!$G$1:$I$11,3,false)</f>
        <v>213533</v>
      </c>
      <c r="N107" s="18">
        <f t="shared" si="1"/>
        <v>0</v>
      </c>
      <c r="O107" s="18">
        <f t="shared" si="2"/>
        <v>0</v>
      </c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</row>
    <row r="108">
      <c r="A108" s="16"/>
      <c r="B108" s="16"/>
      <c r="C108" s="16"/>
      <c r="D108" s="16"/>
      <c r="E108" s="16"/>
      <c r="F108" s="16"/>
      <c r="G108" s="16"/>
      <c r="H108" s="27" t="s">
        <v>37</v>
      </c>
      <c r="I108" s="27" t="s">
        <v>39</v>
      </c>
      <c r="J108" s="27">
        <v>0.0</v>
      </c>
      <c r="K108" s="76">
        <f t="array" ref="K108">XLOOKUP(H108, 'Data jarak '!$A$2:$A$11, XLOOKUP(I108, 'Data jarak '!$B$1:$K$1, 'Data jarak '!$B$2:$K$11))</f>
        <v>842.0161</v>
      </c>
      <c r="L108" s="16">
        <f>vlookup(H108,Sheet4!$G$1:$I$11,2,false)</f>
        <v>156335.24</v>
      </c>
      <c r="M108" s="16">
        <f>vlookup(H108,Sheet4!$G$1:$I$11,3,false)</f>
        <v>213533</v>
      </c>
      <c r="N108" s="18">
        <f t="shared" si="1"/>
        <v>0</v>
      </c>
      <c r="O108" s="18">
        <f t="shared" si="2"/>
        <v>0</v>
      </c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</row>
    <row r="109">
      <c r="A109" s="16"/>
      <c r="B109" s="16"/>
      <c r="C109" s="16"/>
      <c r="D109" s="16"/>
      <c r="E109" s="16"/>
      <c r="F109" s="16"/>
      <c r="G109" s="16"/>
      <c r="H109" s="27" t="s">
        <v>37</v>
      </c>
      <c r="I109" s="27" t="s">
        <v>35</v>
      </c>
      <c r="J109" s="27">
        <v>0.0</v>
      </c>
      <c r="K109" s="76">
        <f t="array" ref="K109">XLOOKUP(H109, 'Data jarak '!$A$2:$A$11, XLOOKUP(I109, 'Data jarak '!$B$1:$K$1, 'Data jarak '!$B$2:$K$11))</f>
        <v>658.2451</v>
      </c>
      <c r="L109" s="16">
        <f>vlookup(H109,Sheet4!$G$1:$I$11,2,false)</f>
        <v>156335.24</v>
      </c>
      <c r="M109" s="16">
        <f>vlookup(H109,Sheet4!$G$1:$I$11,3,false)</f>
        <v>213533</v>
      </c>
      <c r="N109" s="18">
        <f t="shared" si="1"/>
        <v>0</v>
      </c>
      <c r="O109" s="18">
        <f t="shared" si="2"/>
        <v>0</v>
      </c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</row>
    <row r="110">
      <c r="A110" s="16"/>
      <c r="B110" s="16"/>
      <c r="C110" s="16"/>
      <c r="D110" s="16"/>
      <c r="E110" s="16"/>
      <c r="F110" s="16"/>
      <c r="G110" s="16"/>
      <c r="H110" s="27" t="s">
        <v>37</v>
      </c>
      <c r="I110" s="27" t="s">
        <v>40</v>
      </c>
      <c r="J110" s="27">
        <v>0.0</v>
      </c>
      <c r="K110" s="76">
        <f t="array" ref="K110">XLOOKUP(H110, 'Data jarak '!$A$2:$A$11, XLOOKUP(I110, 'Data jarak '!$B$1:$K$1, 'Data jarak '!$B$2:$K$11))</f>
        <v>256.303</v>
      </c>
      <c r="L110" s="16">
        <f>vlookup(H110,Sheet4!$G$1:$I$11,2,false)</f>
        <v>156335.24</v>
      </c>
      <c r="M110" s="16">
        <f>vlookup(H110,Sheet4!$G$1:$I$11,3,false)</f>
        <v>213533</v>
      </c>
      <c r="N110" s="18">
        <f t="shared" si="1"/>
        <v>0</v>
      </c>
      <c r="O110" s="18">
        <f t="shared" si="2"/>
        <v>0</v>
      </c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</row>
    <row r="111">
      <c r="A111" s="16"/>
      <c r="B111" s="16"/>
      <c r="C111" s="16"/>
      <c r="D111" s="16"/>
      <c r="E111" s="16"/>
      <c r="F111" s="16"/>
      <c r="G111" s="16"/>
      <c r="H111" s="27" t="s">
        <v>37</v>
      </c>
      <c r="I111" s="27" t="s">
        <v>37</v>
      </c>
      <c r="J111" s="27">
        <v>1.0</v>
      </c>
      <c r="K111" s="76">
        <f t="array" ref="K111">XLOOKUP(H111, 'Data jarak '!$A$2:$A$11, XLOOKUP(I111, 'Data jarak '!$B$1:$K$1, 'Data jarak '!$B$2:$K$11))</f>
        <v>0</v>
      </c>
      <c r="L111" s="16">
        <f>vlookup(H111,Sheet4!$G$1:$I$11,2,false)</f>
        <v>156335.24</v>
      </c>
      <c r="M111" s="16">
        <f>vlookup(H111,Sheet4!$G$1:$I$11,3,false)</f>
        <v>213533</v>
      </c>
      <c r="N111" s="18">
        <f t="shared" si="1"/>
        <v>0</v>
      </c>
      <c r="O111" s="18">
        <f t="shared" si="2"/>
        <v>0</v>
      </c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</row>
    <row r="100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</row>
    <row r="1002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</row>
    <row r="1003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</row>
    <row r="1004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  <c r="AD1004" s="16"/>
      <c r="AE1004" s="16"/>
    </row>
  </sheetData>
  <mergeCells count="5">
    <mergeCell ref="Q1:V1"/>
    <mergeCell ref="A10:B10"/>
    <mergeCell ref="D10:F10"/>
    <mergeCell ref="H10:J10"/>
    <mergeCell ref="Q10:Y10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0"/>
    <col customWidth="1" min="9" max="9" width="14.0"/>
    <col customWidth="1" min="15" max="15" width="12.75"/>
    <col customWidth="1" min="36" max="36" width="11.63"/>
  </cols>
  <sheetData>
    <row r="1">
      <c r="A1" s="16"/>
      <c r="B1" s="16"/>
      <c r="C1" s="16"/>
      <c r="D1" s="16"/>
      <c r="E1" s="18"/>
      <c r="F1" s="18" t="s">
        <v>50</v>
      </c>
      <c r="G1" s="18" t="s">
        <v>128</v>
      </c>
      <c r="H1" s="18" t="s">
        <v>129</v>
      </c>
      <c r="I1" s="16"/>
      <c r="J1" s="16"/>
      <c r="K1" s="16"/>
      <c r="L1" s="16"/>
      <c r="M1" s="16"/>
      <c r="N1" s="16"/>
      <c r="O1" s="16"/>
      <c r="P1" s="16"/>
      <c r="Q1" s="16"/>
      <c r="R1" s="25" t="s">
        <v>41</v>
      </c>
      <c r="S1" s="26"/>
      <c r="T1" s="26"/>
      <c r="U1" s="26"/>
      <c r="V1" s="26"/>
      <c r="W1" s="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</row>
    <row r="2">
      <c r="A2" s="18" t="s">
        <v>16</v>
      </c>
      <c r="B2" s="18">
        <v>0.75</v>
      </c>
      <c r="C2" s="18"/>
      <c r="D2" s="18" t="s">
        <v>11</v>
      </c>
      <c r="E2" s="19"/>
      <c r="F2" s="19">
        <f>sum(P12:P111)</f>
        <v>1557482871</v>
      </c>
      <c r="G2" s="19">
        <f>sum(Z12:Z73)</f>
        <v>8580685297</v>
      </c>
      <c r="H2" s="19">
        <f>sum(AK12:AK111)</f>
        <v>2441143677</v>
      </c>
      <c r="I2" s="19">
        <f>SUM(F2:H2)</f>
        <v>12579311845</v>
      </c>
      <c r="J2" s="16"/>
      <c r="K2" s="37">
        <v>1.2579311845E10</v>
      </c>
      <c r="L2" s="16"/>
      <c r="M2" s="16"/>
      <c r="N2" s="84">
        <f>I2-K2</f>
        <v>-0.04240989685</v>
      </c>
      <c r="O2" s="16"/>
      <c r="P2" s="16"/>
      <c r="Q2" s="16"/>
      <c r="R2" s="27" t="s">
        <v>42</v>
      </c>
      <c r="S2" s="27" t="s">
        <v>43</v>
      </c>
      <c r="T2" s="27" t="s">
        <v>44</v>
      </c>
      <c r="U2" s="27" t="s">
        <v>45</v>
      </c>
      <c r="V2" s="27" t="s">
        <v>46</v>
      </c>
      <c r="W2" s="27" t="s">
        <v>47</v>
      </c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</row>
    <row r="3">
      <c r="A3" s="18" t="s">
        <v>15</v>
      </c>
      <c r="B3" s="18">
        <v>15.0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27" t="s">
        <v>31</v>
      </c>
      <c r="S3" s="27" t="s">
        <v>37</v>
      </c>
      <c r="T3" s="27" t="s">
        <v>31</v>
      </c>
      <c r="U3" s="27" t="s">
        <v>114</v>
      </c>
      <c r="V3" s="27" t="s">
        <v>35</v>
      </c>
      <c r="W3" s="27" t="s">
        <v>49</v>
      </c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</row>
    <row r="4">
      <c r="A4" s="18"/>
      <c r="B4" s="18"/>
      <c r="C4" s="18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27" t="s">
        <v>36</v>
      </c>
      <c r="S4" s="27" t="s">
        <v>35</v>
      </c>
      <c r="T4" s="27" t="s">
        <v>33</v>
      </c>
      <c r="U4" s="27" t="s">
        <v>116</v>
      </c>
      <c r="V4" s="27" t="s">
        <v>35</v>
      </c>
      <c r="W4" s="27" t="s">
        <v>49</v>
      </c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</row>
    <row r="5">
      <c r="A5" s="18"/>
      <c r="B5" s="18"/>
      <c r="C5" s="18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27" t="s">
        <v>38</v>
      </c>
      <c r="S5" s="27" t="s">
        <v>33</v>
      </c>
      <c r="T5" s="27" t="s">
        <v>33</v>
      </c>
      <c r="U5" s="27" t="s">
        <v>60</v>
      </c>
      <c r="V5" s="27" t="s">
        <v>33</v>
      </c>
      <c r="W5" s="27" t="s">
        <v>49</v>
      </c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</row>
    <row r="6">
      <c r="A6" s="18"/>
      <c r="B6" s="18"/>
      <c r="C6" s="18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27" t="s">
        <v>39</v>
      </c>
      <c r="S6" s="27" t="s">
        <v>32</v>
      </c>
      <c r="T6" s="27" t="s">
        <v>33</v>
      </c>
      <c r="U6" s="27" t="s">
        <v>60</v>
      </c>
      <c r="V6" s="27" t="s">
        <v>33</v>
      </c>
      <c r="W6" s="27" t="s">
        <v>49</v>
      </c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</row>
    <row r="7">
      <c r="A7" s="18"/>
      <c r="B7" s="18"/>
      <c r="C7" s="18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27" t="s">
        <v>40</v>
      </c>
      <c r="S7" s="27" t="s">
        <v>34</v>
      </c>
      <c r="T7" s="27" t="s">
        <v>35</v>
      </c>
      <c r="U7" s="27" t="s">
        <v>117</v>
      </c>
      <c r="V7" s="27" t="s">
        <v>33</v>
      </c>
      <c r="W7" s="27" t="s">
        <v>49</v>
      </c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</row>
    <row r="8">
      <c r="A8" s="18"/>
      <c r="B8" s="18"/>
      <c r="C8" s="18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</row>
    <row r="9">
      <c r="A9" s="18"/>
      <c r="B9" s="16"/>
      <c r="C9" s="16"/>
      <c r="D9" s="16"/>
      <c r="E9" s="16"/>
      <c r="F9" s="16"/>
      <c r="G9" s="16"/>
      <c r="H9" s="21" t="s">
        <v>130</v>
      </c>
      <c r="Q9" s="16"/>
      <c r="R9" s="16"/>
      <c r="S9" s="21" t="s">
        <v>131</v>
      </c>
      <c r="AA9" s="16"/>
      <c r="AB9" s="16"/>
      <c r="AC9" s="16"/>
      <c r="AD9" s="21" t="s">
        <v>132</v>
      </c>
      <c r="AL9" s="16"/>
      <c r="AM9" s="16"/>
      <c r="AN9" s="16"/>
      <c r="AO9" s="16"/>
    </row>
    <row r="10">
      <c r="A10" s="18"/>
      <c r="B10" s="18"/>
      <c r="C10" s="18"/>
      <c r="D10" s="18" t="s">
        <v>82</v>
      </c>
      <c r="E10" s="16"/>
      <c r="F10" s="16"/>
      <c r="G10" s="16"/>
      <c r="Q10" s="16"/>
      <c r="R10" s="16"/>
      <c r="AA10" s="16"/>
      <c r="AB10" s="16"/>
      <c r="AC10" s="16"/>
      <c r="AL10" s="16"/>
      <c r="AM10" s="16"/>
      <c r="AN10" s="16"/>
      <c r="AO10" s="16"/>
    </row>
    <row r="11">
      <c r="A11" s="71" t="s">
        <v>21</v>
      </c>
      <c r="B11" s="71" t="s">
        <v>22</v>
      </c>
      <c r="C11" s="48"/>
      <c r="D11" s="47" t="s">
        <v>88</v>
      </c>
      <c r="E11" s="47" t="s">
        <v>89</v>
      </c>
      <c r="F11" s="48" t="s">
        <v>90</v>
      </c>
      <c r="G11" s="16"/>
      <c r="H11" s="71" t="s">
        <v>97</v>
      </c>
      <c r="I11" s="71" t="s">
        <v>124</v>
      </c>
      <c r="J11" s="71" t="s">
        <v>133</v>
      </c>
      <c r="K11" s="71" t="s">
        <v>134</v>
      </c>
      <c r="L11" s="71" t="s">
        <v>135</v>
      </c>
      <c r="M11" s="71" t="s">
        <v>126</v>
      </c>
      <c r="N11" s="71" t="s">
        <v>108</v>
      </c>
      <c r="O11" s="71" t="s">
        <v>136</v>
      </c>
      <c r="P11" s="18" t="s">
        <v>137</v>
      </c>
      <c r="Q11" s="16"/>
      <c r="R11" s="16"/>
      <c r="S11" s="71" t="s">
        <v>97</v>
      </c>
      <c r="T11" s="71" t="s">
        <v>124</v>
      </c>
      <c r="U11" s="71" t="s">
        <v>98</v>
      </c>
      <c r="V11" s="71" t="s">
        <v>99</v>
      </c>
      <c r="W11" s="71" t="s">
        <v>125</v>
      </c>
      <c r="X11" s="71" t="s">
        <v>101</v>
      </c>
      <c r="Y11" s="71" t="s">
        <v>126</v>
      </c>
      <c r="Z11" s="71" t="s">
        <v>108</v>
      </c>
      <c r="AA11" s="18" t="s">
        <v>136</v>
      </c>
      <c r="AB11" s="18"/>
      <c r="AC11" s="16"/>
      <c r="AD11" s="30" t="s">
        <v>97</v>
      </c>
      <c r="AE11" s="30" t="s">
        <v>124</v>
      </c>
      <c r="AF11" s="30" t="s">
        <v>138</v>
      </c>
      <c r="AG11" s="30" t="s">
        <v>139</v>
      </c>
      <c r="AH11" s="30" t="s">
        <v>140</v>
      </c>
      <c r="AI11" s="30" t="s">
        <v>126</v>
      </c>
      <c r="AJ11" s="30" t="s">
        <v>108</v>
      </c>
      <c r="AK11" s="31" t="s">
        <v>136</v>
      </c>
      <c r="AL11" s="31"/>
      <c r="AM11" s="31" t="s">
        <v>110</v>
      </c>
      <c r="AN11" s="31" t="s">
        <v>111</v>
      </c>
      <c r="AO11" s="31" t="s">
        <v>93</v>
      </c>
    </row>
    <row r="12">
      <c r="A12" s="73" t="s">
        <v>31</v>
      </c>
      <c r="B12" s="73">
        <v>1.0</v>
      </c>
      <c r="C12" s="85"/>
      <c r="D12" s="52" t="s">
        <v>31</v>
      </c>
      <c r="E12" s="52" t="s">
        <v>31</v>
      </c>
      <c r="F12" s="53">
        <v>0.0</v>
      </c>
      <c r="G12" s="16"/>
      <c r="H12" s="73" t="s">
        <v>31</v>
      </c>
      <c r="I12" s="73" t="s">
        <v>31</v>
      </c>
      <c r="J12" s="73" t="s">
        <v>31</v>
      </c>
      <c r="K12" s="73">
        <v>1.0</v>
      </c>
      <c r="L12" s="73">
        <v>0.0</v>
      </c>
      <c r="M12" s="73">
        <v>0.0</v>
      </c>
      <c r="N12" s="73">
        <v>0.0</v>
      </c>
      <c r="O12" s="23">
        <f>IFERROR(__xludf.DUMMYFUNCTION("FILTER($F$11:$F$110, TRIM($D$11:$D$110) = TRIM(H12), TRIM($E$11:$E$110) = TRIM(I12))"),0.0)</f>
        <v>0</v>
      </c>
      <c r="P12" s="16">
        <f t="shared" ref="P12:P111" si="1">$B$3*L12*M12</f>
        <v>0</v>
      </c>
      <c r="Q12" s="16"/>
      <c r="R12" s="16"/>
      <c r="S12" s="73" t="s">
        <v>31</v>
      </c>
      <c r="T12" s="73" t="s">
        <v>33</v>
      </c>
      <c r="U12" s="73" t="s">
        <v>31</v>
      </c>
      <c r="V12" s="73" t="s">
        <v>33</v>
      </c>
      <c r="W12" s="73">
        <v>1.0</v>
      </c>
      <c r="X12" s="73">
        <v>1362.65047</v>
      </c>
      <c r="Y12" s="73">
        <v>7952.0</v>
      </c>
      <c r="Z12" s="73">
        <v>1.21902711E8</v>
      </c>
      <c r="AA12" s="16">
        <f t="shared" ref="AA12:AA73" si="2">$B$2*$B$3*X12*Y12</f>
        <v>121902711</v>
      </c>
      <c r="AB12" s="16">
        <f t="shared" ref="AB12:AB73" si="3">AA12-Z12</f>
        <v>0.0462000072</v>
      </c>
      <c r="AC12" s="16"/>
      <c r="AD12" s="32" t="s">
        <v>31</v>
      </c>
      <c r="AE12" s="32" t="s">
        <v>31</v>
      </c>
      <c r="AF12" s="32" t="s">
        <v>31</v>
      </c>
      <c r="AG12" s="33">
        <v>1.0</v>
      </c>
      <c r="AH12" s="33">
        <v>0.0</v>
      </c>
      <c r="AI12" s="33">
        <v>0.0</v>
      </c>
      <c r="AJ12" s="33">
        <v>0.0</v>
      </c>
      <c r="AK12" s="33">
        <f t="shared" ref="AK12:AK111" si="4">$B$3*AH12*AI12</f>
        <v>0</v>
      </c>
      <c r="AL12" s="33"/>
      <c r="AM12" s="33" t="s">
        <v>31</v>
      </c>
      <c r="AN12" s="33" t="s">
        <v>34</v>
      </c>
      <c r="AO12" s="33">
        <v>0.0</v>
      </c>
    </row>
    <row r="13">
      <c r="A13" s="73" t="s">
        <v>34</v>
      </c>
      <c r="B13" s="73">
        <v>0.0</v>
      </c>
      <c r="C13" s="85"/>
      <c r="D13" s="52" t="s">
        <v>31</v>
      </c>
      <c r="E13" s="52" t="s">
        <v>34</v>
      </c>
      <c r="F13" s="59">
        <v>1460.8</v>
      </c>
      <c r="G13" s="16"/>
      <c r="H13" s="73" t="s">
        <v>31</v>
      </c>
      <c r="I13" s="73" t="s">
        <v>34</v>
      </c>
      <c r="J13" s="73" t="s">
        <v>31</v>
      </c>
      <c r="K13" s="73">
        <v>1.0</v>
      </c>
      <c r="L13" s="73">
        <v>0.0</v>
      </c>
      <c r="M13" s="73">
        <v>1460.8</v>
      </c>
      <c r="N13" s="73">
        <v>0.0</v>
      </c>
      <c r="O13" s="23">
        <f>IFERROR(__xludf.DUMMYFUNCTION("FILTER($F$11:$F$110, TRIM($D$11:$D$110) = TRIM(H13), TRIM($E$11:$E$110) = TRIM(I13))"),1460.8)</f>
        <v>1460.8</v>
      </c>
      <c r="P13" s="16">
        <f t="shared" si="1"/>
        <v>0</v>
      </c>
      <c r="Q13" s="16">
        <f t="shared" ref="Q13:Q111" si="5">P13-N13</f>
        <v>0</v>
      </c>
      <c r="R13" s="16"/>
      <c r="S13" s="73" t="s">
        <v>31</v>
      </c>
      <c r="T13" s="73" t="s">
        <v>39</v>
      </c>
      <c r="U13" s="73" t="s">
        <v>31</v>
      </c>
      <c r="V13" s="73" t="s">
        <v>33</v>
      </c>
      <c r="W13" s="73">
        <v>1.0</v>
      </c>
      <c r="X13" s="73">
        <v>1362.65047</v>
      </c>
      <c r="Y13" s="73">
        <v>2382.68</v>
      </c>
      <c r="Z13" s="73">
        <v>3.652605024E7</v>
      </c>
      <c r="AA13" s="16">
        <f t="shared" si="2"/>
        <v>36526050.25</v>
      </c>
      <c r="AB13" s="16">
        <f t="shared" si="3"/>
        <v>0.005920492113</v>
      </c>
      <c r="AC13" s="16"/>
      <c r="AD13" s="32" t="s">
        <v>31</v>
      </c>
      <c r="AE13" s="32" t="s">
        <v>34</v>
      </c>
      <c r="AF13" s="32" t="s">
        <v>31</v>
      </c>
      <c r="AG13" s="33">
        <v>1.0</v>
      </c>
      <c r="AH13" s="33">
        <v>404.8971745</v>
      </c>
      <c r="AI13" s="33">
        <v>1460.8</v>
      </c>
      <c r="AJ13" s="33">
        <v>8872106.887</v>
      </c>
      <c r="AK13" s="33">
        <f t="shared" si="4"/>
        <v>8872106.888</v>
      </c>
      <c r="AL13" s="33">
        <f t="shared" ref="AL13:AL111" si="6">AK13-AJ13</f>
        <v>0.0006440002471</v>
      </c>
      <c r="AM13" s="33" t="s">
        <v>31</v>
      </c>
      <c r="AN13" s="33" t="s">
        <v>36</v>
      </c>
      <c r="AO13" s="33">
        <v>0.0</v>
      </c>
    </row>
    <row r="14">
      <c r="A14" s="73" t="s">
        <v>36</v>
      </c>
      <c r="B14" s="73">
        <v>0.0</v>
      </c>
      <c r="C14" s="85"/>
      <c r="D14" s="52" t="s">
        <v>31</v>
      </c>
      <c r="E14" s="52" t="s">
        <v>36</v>
      </c>
      <c r="F14" s="59">
        <v>1864.4</v>
      </c>
      <c r="G14" s="16"/>
      <c r="H14" s="73" t="s">
        <v>31</v>
      </c>
      <c r="I14" s="73" t="s">
        <v>36</v>
      </c>
      <c r="J14" s="73" t="s">
        <v>31</v>
      </c>
      <c r="K14" s="73">
        <v>1.0</v>
      </c>
      <c r="L14" s="73">
        <v>0.0</v>
      </c>
      <c r="M14" s="73">
        <v>1864.4</v>
      </c>
      <c r="N14" s="73">
        <v>0.0</v>
      </c>
      <c r="O14" s="23">
        <f>IFERROR(__xludf.DUMMYFUNCTION("FILTER($F$11:$F$110, TRIM($D$11:$D$110) = TRIM(H14), TRIM($E$11:$E$110) = TRIM(I14))"),1864.4)</f>
        <v>1864.4</v>
      </c>
      <c r="P14" s="16">
        <f t="shared" si="1"/>
        <v>0</v>
      </c>
      <c r="Q14" s="16">
        <f t="shared" si="5"/>
        <v>0</v>
      </c>
      <c r="R14" s="16"/>
      <c r="S14" s="73" t="s">
        <v>31</v>
      </c>
      <c r="T14" s="73" t="s">
        <v>35</v>
      </c>
      <c r="U14" s="73" t="s">
        <v>31</v>
      </c>
      <c r="V14" s="73" t="s">
        <v>33</v>
      </c>
      <c r="W14" s="73">
        <v>1.0</v>
      </c>
      <c r="X14" s="73">
        <v>1362.65047</v>
      </c>
      <c r="Y14" s="73">
        <v>24726.24</v>
      </c>
      <c r="Z14" s="73">
        <v>3.790487538E8</v>
      </c>
      <c r="AA14" s="16">
        <f t="shared" si="2"/>
        <v>379048753.8</v>
      </c>
      <c r="AB14" s="16">
        <f t="shared" si="3"/>
        <v>-0.03000599146</v>
      </c>
      <c r="AC14" s="16"/>
      <c r="AD14" s="32" t="s">
        <v>31</v>
      </c>
      <c r="AE14" s="32" t="s">
        <v>36</v>
      </c>
      <c r="AF14" s="32" t="s">
        <v>31</v>
      </c>
      <c r="AG14" s="33">
        <v>1.0</v>
      </c>
      <c r="AH14" s="33">
        <v>1061.868738</v>
      </c>
      <c r="AI14" s="33">
        <v>1864.4</v>
      </c>
      <c r="AJ14" s="33">
        <v>2.969622112E7</v>
      </c>
      <c r="AK14" s="33">
        <f t="shared" si="4"/>
        <v>29696221.13</v>
      </c>
      <c r="AL14" s="33">
        <f t="shared" si="6"/>
        <v>0.006907999516</v>
      </c>
      <c r="AM14" s="33" t="s">
        <v>31</v>
      </c>
      <c r="AN14" s="33" t="s">
        <v>32</v>
      </c>
      <c r="AO14" s="33">
        <v>0.0</v>
      </c>
    </row>
    <row r="15">
      <c r="A15" s="73" t="s">
        <v>32</v>
      </c>
      <c r="B15" s="73">
        <v>0.0</v>
      </c>
      <c r="C15" s="85"/>
      <c r="D15" s="52" t="s">
        <v>31</v>
      </c>
      <c r="E15" s="52" t="s">
        <v>32</v>
      </c>
      <c r="F15" s="59">
        <v>11535.68</v>
      </c>
      <c r="G15" s="16"/>
      <c r="H15" s="73" t="s">
        <v>31</v>
      </c>
      <c r="I15" s="73" t="s">
        <v>32</v>
      </c>
      <c r="J15" s="73" t="s">
        <v>31</v>
      </c>
      <c r="K15" s="73">
        <v>1.0</v>
      </c>
      <c r="L15" s="73">
        <v>0.0</v>
      </c>
      <c r="M15" s="73">
        <v>11535.68</v>
      </c>
      <c r="N15" s="73">
        <v>0.0</v>
      </c>
      <c r="O15" s="23">
        <f>IFERROR(__xludf.DUMMYFUNCTION("FILTER($F$11:$F$110, TRIM($D$11:$D$110) = TRIM(H15), TRIM($E$11:$E$110) = TRIM(I15))"),11535.68)</f>
        <v>11535.68</v>
      </c>
      <c r="P15" s="16">
        <f t="shared" si="1"/>
        <v>0</v>
      </c>
      <c r="Q15" s="16">
        <f t="shared" si="5"/>
        <v>0</v>
      </c>
      <c r="R15" s="16"/>
      <c r="S15" s="73" t="s">
        <v>31</v>
      </c>
      <c r="T15" s="73" t="s">
        <v>35</v>
      </c>
      <c r="U15" s="73" t="s">
        <v>33</v>
      </c>
      <c r="V15" s="73" t="s">
        <v>35</v>
      </c>
      <c r="W15" s="73">
        <v>1.0</v>
      </c>
      <c r="X15" s="73">
        <v>475.5077631</v>
      </c>
      <c r="Y15" s="73">
        <v>24726.24</v>
      </c>
      <c r="Z15" s="73">
        <v>1.322720896E8</v>
      </c>
      <c r="AA15" s="16">
        <f t="shared" si="2"/>
        <v>132272089.6</v>
      </c>
      <c r="AB15" s="16">
        <f t="shared" si="3"/>
        <v>-0.03692036867</v>
      </c>
      <c r="AC15" s="16"/>
      <c r="AD15" s="32" t="s">
        <v>31</v>
      </c>
      <c r="AE15" s="32" t="s">
        <v>32</v>
      </c>
      <c r="AF15" s="32" t="s">
        <v>31</v>
      </c>
      <c r="AG15" s="33">
        <v>1.0</v>
      </c>
      <c r="AH15" s="33">
        <v>909.2041188</v>
      </c>
      <c r="AI15" s="33">
        <v>11535.68</v>
      </c>
      <c r="AJ15" s="33">
        <v>1.573243165E8</v>
      </c>
      <c r="AK15" s="33">
        <f t="shared" si="4"/>
        <v>157324316.5</v>
      </c>
      <c r="AL15" s="33">
        <f t="shared" si="6"/>
        <v>0.03738173842</v>
      </c>
      <c r="AM15" s="33" t="s">
        <v>31</v>
      </c>
      <c r="AN15" s="33" t="s">
        <v>38</v>
      </c>
      <c r="AO15" s="33">
        <v>0.0</v>
      </c>
    </row>
    <row r="16">
      <c r="A16" s="73" t="s">
        <v>38</v>
      </c>
      <c r="B16" s="73">
        <v>0.0</v>
      </c>
      <c r="C16" s="85"/>
      <c r="D16" s="52" t="s">
        <v>31</v>
      </c>
      <c r="E16" s="52" t="s">
        <v>38</v>
      </c>
      <c r="F16" s="59">
        <v>2464.44</v>
      </c>
      <c r="G16" s="16"/>
      <c r="H16" s="73" t="s">
        <v>31</v>
      </c>
      <c r="I16" s="73" t="s">
        <v>38</v>
      </c>
      <c r="J16" s="73" t="s">
        <v>31</v>
      </c>
      <c r="K16" s="73">
        <v>1.0</v>
      </c>
      <c r="L16" s="73">
        <v>0.0</v>
      </c>
      <c r="M16" s="73">
        <v>2464.44</v>
      </c>
      <c r="N16" s="73">
        <v>0.0</v>
      </c>
      <c r="O16" s="23">
        <f>IFERROR(__xludf.DUMMYFUNCTION("FILTER($F$11:$F$110, TRIM($D$11:$D$110) = TRIM(H16), TRIM($E$11:$E$110) = TRIM(I16))"),2464.44)</f>
        <v>2464.44</v>
      </c>
      <c r="P16" s="16">
        <f t="shared" si="1"/>
        <v>0</v>
      </c>
      <c r="Q16" s="16">
        <f t="shared" si="5"/>
        <v>0</v>
      </c>
      <c r="R16" s="16"/>
      <c r="S16" s="73" t="s">
        <v>31</v>
      </c>
      <c r="T16" s="73" t="s">
        <v>40</v>
      </c>
      <c r="U16" s="73" t="s">
        <v>31</v>
      </c>
      <c r="V16" s="73" t="s">
        <v>33</v>
      </c>
      <c r="W16" s="73">
        <v>1.0</v>
      </c>
      <c r="X16" s="73">
        <v>1362.65047</v>
      </c>
      <c r="Y16" s="73">
        <v>2266.6</v>
      </c>
      <c r="Z16" s="73">
        <v>3.4746565E7</v>
      </c>
      <c r="AA16" s="16">
        <f t="shared" si="2"/>
        <v>34746565</v>
      </c>
      <c r="AB16" s="16">
        <f t="shared" si="3"/>
        <v>-0.002852499485</v>
      </c>
      <c r="AC16" s="16"/>
      <c r="AD16" s="32" t="s">
        <v>31</v>
      </c>
      <c r="AE16" s="32" t="s">
        <v>38</v>
      </c>
      <c r="AF16" s="32" t="s">
        <v>31</v>
      </c>
      <c r="AG16" s="33">
        <v>1.0</v>
      </c>
      <c r="AH16" s="33">
        <v>1187.826192</v>
      </c>
      <c r="AI16" s="33">
        <v>2464.44</v>
      </c>
      <c r="AJ16" s="33">
        <v>4.390989572E7</v>
      </c>
      <c r="AK16" s="33">
        <f t="shared" si="4"/>
        <v>43909895.71</v>
      </c>
      <c r="AL16" s="33">
        <f t="shared" si="6"/>
        <v>-0.01081279665</v>
      </c>
      <c r="AM16" s="33" t="s">
        <v>31</v>
      </c>
      <c r="AN16" s="33" t="s">
        <v>33</v>
      </c>
      <c r="AO16" s="33">
        <v>1.0</v>
      </c>
    </row>
    <row r="17">
      <c r="A17" s="73" t="s">
        <v>33</v>
      </c>
      <c r="B17" s="73">
        <v>1.0</v>
      </c>
      <c r="C17" s="85"/>
      <c r="D17" s="52" t="s">
        <v>31</v>
      </c>
      <c r="E17" s="52" t="s">
        <v>33</v>
      </c>
      <c r="F17" s="59">
        <v>7952.0</v>
      </c>
      <c r="G17" s="16"/>
      <c r="H17" s="73" t="s">
        <v>31</v>
      </c>
      <c r="I17" s="73" t="s">
        <v>33</v>
      </c>
      <c r="J17" s="73" t="s">
        <v>31</v>
      </c>
      <c r="K17" s="73">
        <v>1.0</v>
      </c>
      <c r="L17" s="73">
        <v>0.0</v>
      </c>
      <c r="M17" s="73">
        <v>7952.0</v>
      </c>
      <c r="N17" s="73">
        <v>0.0</v>
      </c>
      <c r="O17" s="23">
        <f>IFERROR(__xludf.DUMMYFUNCTION("FILTER($F$11:$F$110, TRIM($D$11:$D$110) = TRIM(H17), TRIM($E$11:$E$110) = TRIM(I17))"),7952.0)</f>
        <v>7952</v>
      </c>
      <c r="P17" s="16">
        <f t="shared" si="1"/>
        <v>0</v>
      </c>
      <c r="Q17" s="16">
        <f t="shared" si="5"/>
        <v>0</v>
      </c>
      <c r="R17" s="16"/>
      <c r="S17" s="73" t="s">
        <v>31</v>
      </c>
      <c r="T17" s="73" t="s">
        <v>40</v>
      </c>
      <c r="U17" s="73" t="s">
        <v>33</v>
      </c>
      <c r="V17" s="73" t="s">
        <v>35</v>
      </c>
      <c r="W17" s="73">
        <v>1.0</v>
      </c>
      <c r="X17" s="73">
        <v>475.5077631</v>
      </c>
      <c r="Y17" s="73">
        <v>2266.6</v>
      </c>
      <c r="Z17" s="73">
        <v>1.212509133E7</v>
      </c>
      <c r="AA17" s="16">
        <f t="shared" si="2"/>
        <v>12125091.33</v>
      </c>
      <c r="AB17" s="16">
        <f t="shared" si="3"/>
        <v>-0.001772325486</v>
      </c>
      <c r="AC17" s="16"/>
      <c r="AD17" s="32" t="s">
        <v>31</v>
      </c>
      <c r="AE17" s="32" t="s">
        <v>33</v>
      </c>
      <c r="AF17" s="32" t="s">
        <v>33</v>
      </c>
      <c r="AG17" s="33">
        <v>1.0</v>
      </c>
      <c r="AH17" s="33">
        <v>0.0</v>
      </c>
      <c r="AI17" s="33">
        <v>7952.0</v>
      </c>
      <c r="AJ17" s="33">
        <v>0.0</v>
      </c>
      <c r="AK17" s="33">
        <f t="shared" si="4"/>
        <v>0</v>
      </c>
      <c r="AL17" s="33">
        <f t="shared" si="6"/>
        <v>0</v>
      </c>
      <c r="AM17" s="33" t="s">
        <v>31</v>
      </c>
      <c r="AN17" s="33" t="s">
        <v>39</v>
      </c>
      <c r="AO17" s="33">
        <v>0.0</v>
      </c>
    </row>
    <row r="18">
      <c r="A18" s="73" t="s">
        <v>39</v>
      </c>
      <c r="B18" s="73">
        <v>0.0</v>
      </c>
      <c r="C18" s="85"/>
      <c r="D18" s="52" t="s">
        <v>31</v>
      </c>
      <c r="E18" s="52" t="s">
        <v>39</v>
      </c>
      <c r="F18" s="59">
        <v>2382.68</v>
      </c>
      <c r="G18" s="16"/>
      <c r="H18" s="73" t="s">
        <v>31</v>
      </c>
      <c r="I18" s="73" t="s">
        <v>39</v>
      </c>
      <c r="J18" s="73" t="s">
        <v>31</v>
      </c>
      <c r="K18" s="73">
        <v>1.0</v>
      </c>
      <c r="L18" s="73">
        <v>0.0</v>
      </c>
      <c r="M18" s="73">
        <v>2382.68</v>
      </c>
      <c r="N18" s="73">
        <v>0.0</v>
      </c>
      <c r="O18" s="23">
        <f>IFERROR(__xludf.DUMMYFUNCTION("FILTER($F$11:$F$110, TRIM($D$11:$D$110) = TRIM(H18), TRIM($E$11:$E$110) = TRIM(I18))"),2382.68)</f>
        <v>2382.68</v>
      </c>
      <c r="P18" s="16">
        <f t="shared" si="1"/>
        <v>0</v>
      </c>
      <c r="Q18" s="16">
        <f t="shared" si="5"/>
        <v>0</v>
      </c>
      <c r="R18" s="16"/>
      <c r="S18" s="73" t="s">
        <v>31</v>
      </c>
      <c r="T18" s="73" t="s">
        <v>37</v>
      </c>
      <c r="U18" s="73" t="s">
        <v>31</v>
      </c>
      <c r="V18" s="73" t="s">
        <v>33</v>
      </c>
      <c r="W18" s="73">
        <v>1.0</v>
      </c>
      <c r="X18" s="73">
        <v>1362.65047</v>
      </c>
      <c r="Y18" s="73">
        <v>70439.32</v>
      </c>
      <c r="Z18" s="73">
        <v>1.079821941E9</v>
      </c>
      <c r="AA18" s="16">
        <f t="shared" si="2"/>
        <v>1079821941</v>
      </c>
      <c r="AB18" s="16">
        <f t="shared" si="3"/>
        <v>-0.3245954514</v>
      </c>
      <c r="AC18" s="16"/>
      <c r="AD18" s="32" t="s">
        <v>31</v>
      </c>
      <c r="AE18" s="32" t="s">
        <v>39</v>
      </c>
      <c r="AF18" s="32" t="s">
        <v>33</v>
      </c>
      <c r="AG18" s="33">
        <v>1.0</v>
      </c>
      <c r="AH18" s="33">
        <v>356.1662487</v>
      </c>
      <c r="AI18" s="33">
        <v>2382.68</v>
      </c>
      <c r="AJ18" s="33">
        <v>1.272945296E7</v>
      </c>
      <c r="AK18" s="33">
        <f t="shared" si="4"/>
        <v>12729452.96</v>
      </c>
      <c r="AL18" s="33">
        <f t="shared" si="6"/>
        <v>0.001787737012</v>
      </c>
      <c r="AM18" s="33" t="s">
        <v>31</v>
      </c>
      <c r="AN18" s="33" t="s">
        <v>35</v>
      </c>
      <c r="AO18" s="33">
        <v>0.0</v>
      </c>
    </row>
    <row r="19">
      <c r="A19" s="73" t="s">
        <v>35</v>
      </c>
      <c r="B19" s="73">
        <v>1.0</v>
      </c>
      <c r="C19" s="85"/>
      <c r="D19" s="52" t="s">
        <v>31</v>
      </c>
      <c r="E19" s="52" t="s">
        <v>35</v>
      </c>
      <c r="F19" s="59">
        <v>24726.24</v>
      </c>
      <c r="G19" s="16"/>
      <c r="H19" s="73" t="s">
        <v>31</v>
      </c>
      <c r="I19" s="73" t="s">
        <v>35</v>
      </c>
      <c r="J19" s="73" t="s">
        <v>31</v>
      </c>
      <c r="K19" s="73">
        <v>1.0</v>
      </c>
      <c r="L19" s="73">
        <v>0.0</v>
      </c>
      <c r="M19" s="73">
        <v>24726.24</v>
      </c>
      <c r="N19" s="73">
        <v>0.0</v>
      </c>
      <c r="O19" s="23">
        <f>IFERROR(__xludf.DUMMYFUNCTION("FILTER($F$11:$F$110, TRIM($D$11:$D$110) = TRIM(H19), TRIM($E$11:$E$110) = TRIM(I19))"),24726.24)</f>
        <v>24726.24</v>
      </c>
      <c r="P19" s="16">
        <f t="shared" si="1"/>
        <v>0</v>
      </c>
      <c r="Q19" s="16">
        <f t="shared" si="5"/>
        <v>0</v>
      </c>
      <c r="R19" s="16"/>
      <c r="S19" s="73" t="s">
        <v>31</v>
      </c>
      <c r="T19" s="73" t="s">
        <v>37</v>
      </c>
      <c r="U19" s="73" t="s">
        <v>33</v>
      </c>
      <c r="V19" s="73" t="s">
        <v>35</v>
      </c>
      <c r="W19" s="73">
        <v>1.0</v>
      </c>
      <c r="X19" s="73">
        <v>475.5077631</v>
      </c>
      <c r="Y19" s="73">
        <v>70439.32</v>
      </c>
      <c r="Z19" s="73">
        <v>3.768124893E8</v>
      </c>
      <c r="AA19" s="16">
        <f t="shared" si="2"/>
        <v>376812489.2</v>
      </c>
      <c r="AB19" s="16">
        <f t="shared" si="3"/>
        <v>-0.06579267979</v>
      </c>
      <c r="AC19" s="16"/>
      <c r="AD19" s="32" t="s">
        <v>31</v>
      </c>
      <c r="AE19" s="32" t="s">
        <v>35</v>
      </c>
      <c r="AF19" s="32" t="s">
        <v>35</v>
      </c>
      <c r="AG19" s="33">
        <v>1.0</v>
      </c>
      <c r="AH19" s="33">
        <v>0.0</v>
      </c>
      <c r="AI19" s="33">
        <v>24726.24</v>
      </c>
      <c r="AJ19" s="33">
        <v>0.0</v>
      </c>
      <c r="AK19" s="33">
        <f t="shared" si="4"/>
        <v>0</v>
      </c>
      <c r="AL19" s="33">
        <f t="shared" si="6"/>
        <v>0</v>
      </c>
      <c r="AM19" s="33" t="s">
        <v>31</v>
      </c>
      <c r="AN19" s="33" t="s">
        <v>40</v>
      </c>
      <c r="AO19" s="33">
        <v>0.0</v>
      </c>
    </row>
    <row r="20">
      <c r="A20" s="73" t="s">
        <v>40</v>
      </c>
      <c r="B20" s="73">
        <v>0.0</v>
      </c>
      <c r="C20" s="85"/>
      <c r="D20" s="52" t="s">
        <v>31</v>
      </c>
      <c r="E20" s="52" t="s">
        <v>40</v>
      </c>
      <c r="F20" s="59">
        <v>2266.6</v>
      </c>
      <c r="G20" s="16"/>
      <c r="H20" s="73" t="s">
        <v>31</v>
      </c>
      <c r="I20" s="73" t="s">
        <v>40</v>
      </c>
      <c r="J20" s="73" t="s">
        <v>31</v>
      </c>
      <c r="K20" s="73">
        <v>1.0</v>
      </c>
      <c r="L20" s="73">
        <v>0.0</v>
      </c>
      <c r="M20" s="73">
        <v>2266.6</v>
      </c>
      <c r="N20" s="73">
        <v>0.0</v>
      </c>
      <c r="O20" s="23">
        <f>IFERROR(__xludf.DUMMYFUNCTION("FILTER($F$11:$F$110, TRIM($D$11:$D$110) = TRIM(H20), TRIM($E$11:$E$110) = TRIM(I20))"),2266.6)</f>
        <v>2266.6</v>
      </c>
      <c r="P20" s="16">
        <f t="shared" si="1"/>
        <v>0</v>
      </c>
      <c r="Q20" s="16">
        <f t="shared" si="5"/>
        <v>0</v>
      </c>
      <c r="R20" s="16"/>
      <c r="S20" s="73" t="s">
        <v>31</v>
      </c>
      <c r="T20" s="73" t="s">
        <v>37</v>
      </c>
      <c r="U20" s="73" t="s">
        <v>35</v>
      </c>
      <c r="V20" s="73" t="s">
        <v>37</v>
      </c>
      <c r="W20" s="73">
        <v>1.0</v>
      </c>
      <c r="X20" s="73">
        <v>658.2451157</v>
      </c>
      <c r="Y20" s="73">
        <v>70439.32</v>
      </c>
      <c r="Z20" s="73">
        <v>5.216213064E8</v>
      </c>
      <c r="AA20" s="16">
        <f t="shared" si="2"/>
        <v>521621306.4</v>
      </c>
      <c r="AB20" s="16">
        <f t="shared" si="3"/>
        <v>-0.03866994381</v>
      </c>
      <c r="AC20" s="16"/>
      <c r="AD20" s="32" t="s">
        <v>31</v>
      </c>
      <c r="AE20" s="32" t="s">
        <v>40</v>
      </c>
      <c r="AF20" s="32" t="s">
        <v>35</v>
      </c>
      <c r="AG20" s="33">
        <v>1.0</v>
      </c>
      <c r="AH20" s="33">
        <v>403.0102135</v>
      </c>
      <c r="AI20" s="33">
        <v>2266.6</v>
      </c>
      <c r="AJ20" s="33">
        <v>1.370194425E7</v>
      </c>
      <c r="AK20" s="33">
        <f t="shared" si="4"/>
        <v>13701944.25</v>
      </c>
      <c r="AL20" s="33">
        <f t="shared" si="6"/>
        <v>-0.001213498414</v>
      </c>
      <c r="AM20" s="33" t="s">
        <v>31</v>
      </c>
      <c r="AN20" s="33" t="s">
        <v>37</v>
      </c>
      <c r="AO20" s="33">
        <v>0.0</v>
      </c>
    </row>
    <row r="21">
      <c r="A21" s="73" t="s">
        <v>37</v>
      </c>
      <c r="B21" s="73">
        <v>1.0</v>
      </c>
      <c r="C21" s="85"/>
      <c r="D21" s="52" t="s">
        <v>31</v>
      </c>
      <c r="E21" s="52" t="s">
        <v>37</v>
      </c>
      <c r="F21" s="59">
        <v>70439.32</v>
      </c>
      <c r="G21" s="16"/>
      <c r="H21" s="73" t="s">
        <v>31</v>
      </c>
      <c r="I21" s="73" t="s">
        <v>37</v>
      </c>
      <c r="J21" s="73" t="s">
        <v>31</v>
      </c>
      <c r="K21" s="73">
        <v>1.0</v>
      </c>
      <c r="L21" s="73">
        <v>0.0</v>
      </c>
      <c r="M21" s="73">
        <v>70439.32</v>
      </c>
      <c r="N21" s="73">
        <v>0.0</v>
      </c>
      <c r="O21" s="23">
        <f>IFERROR(__xludf.DUMMYFUNCTION("FILTER($F$11:$F$110, TRIM($D$11:$D$110) = TRIM(H21), TRIM($E$11:$E$110) = TRIM(I21))"),70439.32)</f>
        <v>70439.32</v>
      </c>
      <c r="P21" s="16">
        <f t="shared" si="1"/>
        <v>0</v>
      </c>
      <c r="Q21" s="16">
        <f t="shared" si="5"/>
        <v>0</v>
      </c>
      <c r="R21" s="16"/>
      <c r="S21" s="73" t="s">
        <v>34</v>
      </c>
      <c r="T21" s="73" t="s">
        <v>35</v>
      </c>
      <c r="U21" s="73" t="s">
        <v>33</v>
      </c>
      <c r="V21" s="73" t="s">
        <v>35</v>
      </c>
      <c r="W21" s="73">
        <v>1.0</v>
      </c>
      <c r="X21" s="73">
        <v>475.5077631</v>
      </c>
      <c r="Y21" s="73">
        <v>6039.82</v>
      </c>
      <c r="Z21" s="73">
        <v>3.23097896E7</v>
      </c>
      <c r="AA21" s="16">
        <f t="shared" si="2"/>
        <v>32309789.6</v>
      </c>
      <c r="AB21" s="16">
        <f t="shared" si="3"/>
        <v>-0.0005752779543</v>
      </c>
      <c r="AC21" s="16"/>
      <c r="AD21" s="32" t="s">
        <v>31</v>
      </c>
      <c r="AE21" s="32" t="s">
        <v>37</v>
      </c>
      <c r="AF21" s="32" t="s">
        <v>37</v>
      </c>
      <c r="AG21" s="33">
        <v>1.0</v>
      </c>
      <c r="AH21" s="33">
        <v>0.0</v>
      </c>
      <c r="AI21" s="33">
        <v>70439.32</v>
      </c>
      <c r="AJ21" s="33">
        <v>0.0</v>
      </c>
      <c r="AK21" s="33">
        <f t="shared" si="4"/>
        <v>0</v>
      </c>
      <c r="AL21" s="33">
        <f t="shared" si="6"/>
        <v>0</v>
      </c>
      <c r="AM21" s="33" t="s">
        <v>34</v>
      </c>
      <c r="AN21" s="33" t="s">
        <v>36</v>
      </c>
      <c r="AO21" s="33">
        <v>0.0</v>
      </c>
    </row>
    <row r="22">
      <c r="A22" s="86"/>
      <c r="B22" s="86"/>
      <c r="C22" s="86"/>
      <c r="D22" s="60" t="s">
        <v>34</v>
      </c>
      <c r="E22" s="60" t="s">
        <v>31</v>
      </c>
      <c r="F22" s="59">
        <v>1517.87</v>
      </c>
      <c r="G22" s="16"/>
      <c r="H22" s="73" t="s">
        <v>34</v>
      </c>
      <c r="I22" s="73" t="s">
        <v>31</v>
      </c>
      <c r="J22" s="73" t="s">
        <v>31</v>
      </c>
      <c r="K22" s="73">
        <v>1.0</v>
      </c>
      <c r="L22" s="73">
        <v>404.8971745</v>
      </c>
      <c r="M22" s="73">
        <v>1517.87</v>
      </c>
      <c r="N22" s="73">
        <v>9218719.113</v>
      </c>
      <c r="O22" s="23">
        <f>IFERROR(__xludf.DUMMYFUNCTION("FILTER($F$11:$F$110, TRIM($D$11:$D$110) = TRIM(H22), TRIM($E$11:$E$110) = TRIM(I22))"),1517.87)</f>
        <v>1517.87</v>
      </c>
      <c r="P22" s="16">
        <f t="shared" si="1"/>
        <v>9218719.114</v>
      </c>
      <c r="Q22" s="16">
        <f t="shared" si="5"/>
        <v>0.0008747242391</v>
      </c>
      <c r="R22" s="16"/>
      <c r="S22" s="73" t="s">
        <v>34</v>
      </c>
      <c r="T22" s="73" t="s">
        <v>40</v>
      </c>
      <c r="U22" s="73" t="s">
        <v>33</v>
      </c>
      <c r="V22" s="73" t="s">
        <v>35</v>
      </c>
      <c r="W22" s="73">
        <v>1.0</v>
      </c>
      <c r="X22" s="73">
        <v>475.5077631</v>
      </c>
      <c r="Y22" s="73">
        <v>3678.83</v>
      </c>
      <c r="Z22" s="73">
        <v>1.967976252E7</v>
      </c>
      <c r="AA22" s="16">
        <f t="shared" si="2"/>
        <v>19679762.52</v>
      </c>
      <c r="AB22" s="16">
        <f t="shared" si="3"/>
        <v>0.001408196986</v>
      </c>
      <c r="AC22" s="16"/>
      <c r="AD22" s="32" t="s">
        <v>34</v>
      </c>
      <c r="AE22" s="32" t="s">
        <v>31</v>
      </c>
      <c r="AF22" s="32" t="s">
        <v>31</v>
      </c>
      <c r="AG22" s="33">
        <v>1.0</v>
      </c>
      <c r="AH22" s="33">
        <v>0.0</v>
      </c>
      <c r="AI22" s="33">
        <v>1517.87</v>
      </c>
      <c r="AJ22" s="33">
        <v>0.0</v>
      </c>
      <c r="AK22" s="33">
        <f t="shared" si="4"/>
        <v>0</v>
      </c>
      <c r="AL22" s="33">
        <f t="shared" si="6"/>
        <v>0</v>
      </c>
      <c r="AM22" s="33" t="s">
        <v>34</v>
      </c>
      <c r="AN22" s="33" t="s">
        <v>32</v>
      </c>
      <c r="AO22" s="33">
        <v>0.0</v>
      </c>
    </row>
    <row r="23">
      <c r="A23" s="86"/>
      <c r="B23" s="86"/>
      <c r="C23" s="86"/>
      <c r="D23" s="60" t="s">
        <v>34</v>
      </c>
      <c r="E23" s="60" t="s">
        <v>34</v>
      </c>
      <c r="F23" s="53">
        <v>0.0</v>
      </c>
      <c r="G23" s="16"/>
      <c r="H23" s="73" t="s">
        <v>34</v>
      </c>
      <c r="I23" s="73" t="s">
        <v>34</v>
      </c>
      <c r="J23" s="73" t="s">
        <v>31</v>
      </c>
      <c r="K23" s="73">
        <v>1.0</v>
      </c>
      <c r="L23" s="73">
        <v>404.8971745</v>
      </c>
      <c r="M23" s="73">
        <v>0.0</v>
      </c>
      <c r="N23" s="73">
        <v>0.0</v>
      </c>
      <c r="O23" s="23">
        <f>IFERROR(__xludf.DUMMYFUNCTION("FILTER($F$11:$F$110, TRIM($D$11:$D$110) = TRIM(H23), TRIM($E$11:$E$110) = TRIM(I23))"),0.0)</f>
        <v>0</v>
      </c>
      <c r="P23" s="16">
        <f t="shared" si="1"/>
        <v>0</v>
      </c>
      <c r="Q23" s="16">
        <f t="shared" si="5"/>
        <v>0</v>
      </c>
      <c r="R23" s="16"/>
      <c r="S23" s="73" t="s">
        <v>34</v>
      </c>
      <c r="T23" s="73" t="s">
        <v>37</v>
      </c>
      <c r="U23" s="73" t="s">
        <v>33</v>
      </c>
      <c r="V23" s="73" t="s">
        <v>35</v>
      </c>
      <c r="W23" s="73">
        <v>1.0</v>
      </c>
      <c r="X23" s="73">
        <v>475.5077631</v>
      </c>
      <c r="Y23" s="73">
        <v>4136.76</v>
      </c>
      <c r="Z23" s="73">
        <v>2.212944181E7</v>
      </c>
      <c r="AA23" s="16">
        <f t="shared" si="2"/>
        <v>22129441.81</v>
      </c>
      <c r="AB23" s="16">
        <f t="shared" si="3"/>
        <v>-0.001582492143</v>
      </c>
      <c r="AC23" s="16"/>
      <c r="AD23" s="32" t="s">
        <v>34</v>
      </c>
      <c r="AE23" s="32" t="s">
        <v>34</v>
      </c>
      <c r="AF23" s="32" t="s">
        <v>31</v>
      </c>
      <c r="AG23" s="33">
        <v>1.0</v>
      </c>
      <c r="AH23" s="33">
        <v>404.8971745</v>
      </c>
      <c r="AI23" s="33">
        <v>0.0</v>
      </c>
      <c r="AJ23" s="33">
        <v>0.0</v>
      </c>
      <c r="AK23" s="33">
        <f t="shared" si="4"/>
        <v>0</v>
      </c>
      <c r="AL23" s="33">
        <f t="shared" si="6"/>
        <v>0</v>
      </c>
      <c r="AM23" s="33" t="s">
        <v>34</v>
      </c>
      <c r="AN23" s="33" t="s">
        <v>38</v>
      </c>
      <c r="AO23" s="33">
        <v>0.0</v>
      </c>
    </row>
    <row r="24">
      <c r="A24" s="86"/>
      <c r="B24" s="86"/>
      <c r="C24" s="86"/>
      <c r="D24" s="60" t="s">
        <v>34</v>
      </c>
      <c r="E24" s="60" t="s">
        <v>36</v>
      </c>
      <c r="F24" s="59">
        <v>1940.46</v>
      </c>
      <c r="G24" s="16"/>
      <c r="H24" s="73" t="s">
        <v>34</v>
      </c>
      <c r="I24" s="73" t="s">
        <v>36</v>
      </c>
      <c r="J24" s="73" t="s">
        <v>33</v>
      </c>
      <c r="K24" s="73">
        <v>1.0</v>
      </c>
      <c r="L24" s="73">
        <v>966.6814589</v>
      </c>
      <c r="M24" s="73">
        <v>1940.46</v>
      </c>
      <c r="N24" s="73">
        <v>2.813710056E7</v>
      </c>
      <c r="O24" s="23">
        <f>IFERROR(__xludf.DUMMYFUNCTION("FILTER($F$11:$F$110, TRIM($D$11:$D$110) = TRIM(H24), TRIM($E$11:$E$110) = TRIM(I24))"),1940.46)</f>
        <v>1940.46</v>
      </c>
      <c r="P24" s="16">
        <f t="shared" si="1"/>
        <v>28137100.56</v>
      </c>
      <c r="Q24" s="16">
        <f t="shared" si="5"/>
        <v>-0.003943588585</v>
      </c>
      <c r="R24" s="16"/>
      <c r="S24" s="73" t="s">
        <v>34</v>
      </c>
      <c r="T24" s="73" t="s">
        <v>37</v>
      </c>
      <c r="U24" s="73" t="s">
        <v>35</v>
      </c>
      <c r="V24" s="73" t="s">
        <v>37</v>
      </c>
      <c r="W24" s="73">
        <v>1.0</v>
      </c>
      <c r="X24" s="73">
        <v>658.2451157</v>
      </c>
      <c r="Y24" s="73">
        <v>4136.76</v>
      </c>
      <c r="Z24" s="73">
        <v>3.063377323E7</v>
      </c>
      <c r="AA24" s="16">
        <f t="shared" si="2"/>
        <v>30633773.23</v>
      </c>
      <c r="AB24" s="16">
        <f t="shared" si="3"/>
        <v>-0.0007397606969</v>
      </c>
      <c r="AC24" s="16"/>
      <c r="AD24" s="32" t="s">
        <v>34</v>
      </c>
      <c r="AE24" s="32" t="s">
        <v>36</v>
      </c>
      <c r="AF24" s="32" t="s">
        <v>33</v>
      </c>
      <c r="AG24" s="33">
        <v>1.0</v>
      </c>
      <c r="AH24" s="33">
        <v>397.4791528</v>
      </c>
      <c r="AI24" s="33">
        <v>1940.46</v>
      </c>
      <c r="AJ24" s="33">
        <v>1.156938595E7</v>
      </c>
      <c r="AK24" s="33">
        <f t="shared" si="4"/>
        <v>11569385.95</v>
      </c>
      <c r="AL24" s="33">
        <f t="shared" si="6"/>
        <v>0.002634322271</v>
      </c>
      <c r="AM24" s="33" t="s">
        <v>34</v>
      </c>
      <c r="AN24" s="33" t="s">
        <v>33</v>
      </c>
      <c r="AO24" s="33">
        <v>0.0</v>
      </c>
    </row>
    <row r="25">
      <c r="A25" s="86"/>
      <c r="B25" s="86"/>
      <c r="C25" s="86"/>
      <c r="D25" s="60" t="s">
        <v>34</v>
      </c>
      <c r="E25" s="60" t="s">
        <v>32</v>
      </c>
      <c r="F25" s="59">
        <v>4244.09</v>
      </c>
      <c r="G25" s="16"/>
      <c r="H25" s="73" t="s">
        <v>34</v>
      </c>
      <c r="I25" s="73" t="s">
        <v>32</v>
      </c>
      <c r="J25" s="73" t="s">
        <v>31</v>
      </c>
      <c r="K25" s="73">
        <v>1.0</v>
      </c>
      <c r="L25" s="73">
        <v>404.8971745</v>
      </c>
      <c r="M25" s="73">
        <v>4244.09</v>
      </c>
      <c r="N25" s="73">
        <v>2.577630074E7</v>
      </c>
      <c r="O25" s="23">
        <f>IFERROR(__xludf.DUMMYFUNCTION("FILTER($F$11:$F$110, TRIM($D$11:$D$110) = TRIM(H25), TRIM($E$11:$E$110) = TRIM(I25))"),4244.09)</f>
        <v>4244.09</v>
      </c>
      <c r="P25" s="16">
        <f t="shared" si="1"/>
        <v>25776300.74</v>
      </c>
      <c r="Q25" s="16">
        <f t="shared" si="5"/>
        <v>-0.0001444220543</v>
      </c>
      <c r="R25" s="16"/>
      <c r="S25" s="73" t="s">
        <v>36</v>
      </c>
      <c r="T25" s="73" t="s">
        <v>35</v>
      </c>
      <c r="U25" s="73" t="s">
        <v>33</v>
      </c>
      <c r="V25" s="73" t="s">
        <v>35</v>
      </c>
      <c r="W25" s="73">
        <v>1.0</v>
      </c>
      <c r="X25" s="73">
        <v>475.5077631</v>
      </c>
      <c r="Y25" s="73">
        <v>5041.36</v>
      </c>
      <c r="Z25" s="73">
        <v>2.696856544E7</v>
      </c>
      <c r="AA25" s="16">
        <f t="shared" si="2"/>
        <v>26968565.44</v>
      </c>
      <c r="AB25" s="16">
        <f t="shared" si="3"/>
        <v>-0.003454573452</v>
      </c>
      <c r="AC25" s="16"/>
      <c r="AD25" s="32" t="s">
        <v>34</v>
      </c>
      <c r="AE25" s="32" t="s">
        <v>32</v>
      </c>
      <c r="AF25" s="32" t="s">
        <v>31</v>
      </c>
      <c r="AG25" s="33">
        <v>1.0</v>
      </c>
      <c r="AH25" s="33">
        <v>909.2041188</v>
      </c>
      <c r="AI25" s="33">
        <v>4244.09</v>
      </c>
      <c r="AJ25" s="33">
        <v>5.788116163E7</v>
      </c>
      <c r="AK25" s="33">
        <f t="shared" si="4"/>
        <v>57881161.63</v>
      </c>
      <c r="AL25" s="33">
        <f t="shared" si="6"/>
        <v>-0.001631624997</v>
      </c>
      <c r="AM25" s="33" t="s">
        <v>34</v>
      </c>
      <c r="AN25" s="33" t="s">
        <v>39</v>
      </c>
      <c r="AO25" s="33">
        <v>0.0</v>
      </c>
    </row>
    <row r="26">
      <c r="A26" s="86"/>
      <c r="B26" s="86"/>
      <c r="C26" s="86"/>
      <c r="D26" s="60" t="s">
        <v>34</v>
      </c>
      <c r="E26" s="60" t="s">
        <v>38</v>
      </c>
      <c r="F26" s="61">
        <v>547.44</v>
      </c>
      <c r="G26" s="16"/>
      <c r="H26" s="73" t="s">
        <v>34</v>
      </c>
      <c r="I26" s="73" t="s">
        <v>38</v>
      </c>
      <c r="J26" s="73" t="s">
        <v>33</v>
      </c>
      <c r="K26" s="73">
        <v>1.0</v>
      </c>
      <c r="L26" s="73">
        <v>966.6814589</v>
      </c>
      <c r="M26" s="73">
        <v>547.44</v>
      </c>
      <c r="N26" s="73">
        <v>7938001.468</v>
      </c>
      <c r="O26" s="87">
        <f>IFERROR(__xludf.DUMMYFUNCTION("FILTER($F$11:$F$110, TRIM($D$11:$D$110) = TRIM(H26), TRIM($E$11:$E$110) = TRIM(I26))"),547.44)</f>
        <v>547.44</v>
      </c>
      <c r="P26" s="16">
        <f t="shared" si="1"/>
        <v>7938001.468</v>
      </c>
      <c r="Q26" s="16">
        <f t="shared" si="5"/>
        <v>-0.00009675975889</v>
      </c>
      <c r="R26" s="16"/>
      <c r="S26" s="73" t="s">
        <v>36</v>
      </c>
      <c r="T26" s="73" t="s">
        <v>40</v>
      </c>
      <c r="U26" s="73" t="s">
        <v>33</v>
      </c>
      <c r="V26" s="73" t="s">
        <v>35</v>
      </c>
      <c r="W26" s="73">
        <v>1.0</v>
      </c>
      <c r="X26" s="73">
        <v>475.5077631</v>
      </c>
      <c r="Y26" s="73">
        <v>841.95</v>
      </c>
      <c r="Z26" s="73">
        <v>4503979.813</v>
      </c>
      <c r="AA26" s="16">
        <f t="shared" si="2"/>
        <v>4503979.813</v>
      </c>
      <c r="AB26" s="16">
        <f t="shared" si="3"/>
        <v>-0.0001519937068</v>
      </c>
      <c r="AC26" s="16"/>
      <c r="AD26" s="32" t="s">
        <v>34</v>
      </c>
      <c r="AE26" s="32" t="s">
        <v>38</v>
      </c>
      <c r="AF26" s="32" t="s">
        <v>33</v>
      </c>
      <c r="AG26" s="33">
        <v>1.0</v>
      </c>
      <c r="AH26" s="33">
        <v>176.4669161</v>
      </c>
      <c r="AI26" s="33">
        <v>547.44</v>
      </c>
      <c r="AJ26" s="33">
        <v>1449075.728</v>
      </c>
      <c r="AK26" s="33">
        <f t="shared" si="4"/>
        <v>1449075.728</v>
      </c>
      <c r="AL26" s="33">
        <f t="shared" si="6"/>
        <v>0.0002467602026</v>
      </c>
      <c r="AM26" s="33" t="s">
        <v>34</v>
      </c>
      <c r="AN26" s="33" t="s">
        <v>35</v>
      </c>
      <c r="AO26" s="33">
        <v>0.0</v>
      </c>
    </row>
    <row r="27">
      <c r="A27" s="86"/>
      <c r="B27" s="86"/>
      <c r="C27" s="86"/>
      <c r="D27" s="60" t="s">
        <v>34</v>
      </c>
      <c r="E27" s="60" t="s">
        <v>33</v>
      </c>
      <c r="F27" s="59">
        <v>6251.74</v>
      </c>
      <c r="G27" s="16"/>
      <c r="H27" s="73" t="s">
        <v>34</v>
      </c>
      <c r="I27" s="73" t="s">
        <v>33</v>
      </c>
      <c r="J27" s="73" t="s">
        <v>33</v>
      </c>
      <c r="K27" s="73">
        <v>1.0</v>
      </c>
      <c r="L27" s="73">
        <v>966.6814589</v>
      </c>
      <c r="M27" s="73">
        <v>6251.74</v>
      </c>
      <c r="N27" s="73">
        <v>9.065161716E7</v>
      </c>
      <c r="O27" s="23">
        <f>IFERROR(__xludf.DUMMYFUNCTION("FILTER($F$11:$F$110, TRIM($D$11:$D$110) = TRIM(H27), TRIM($E$11:$E$110) = TRIM(I27))"),6251.74)</f>
        <v>6251.74</v>
      </c>
      <c r="P27" s="16">
        <f t="shared" si="1"/>
        <v>90651617.16</v>
      </c>
      <c r="Q27" s="16">
        <f t="shared" si="5"/>
        <v>-0.00204770267</v>
      </c>
      <c r="R27" s="16"/>
      <c r="S27" s="73" t="s">
        <v>36</v>
      </c>
      <c r="T27" s="73" t="s">
        <v>37</v>
      </c>
      <c r="U27" s="73" t="s">
        <v>33</v>
      </c>
      <c r="V27" s="73" t="s">
        <v>35</v>
      </c>
      <c r="W27" s="73">
        <v>1.0</v>
      </c>
      <c r="X27" s="73">
        <v>475.5077631</v>
      </c>
      <c r="Y27" s="73">
        <v>2415.04</v>
      </c>
      <c r="Z27" s="73">
        <v>1.291916552E7</v>
      </c>
      <c r="AA27" s="16">
        <f t="shared" si="2"/>
        <v>12919165.52</v>
      </c>
      <c r="AB27" s="16">
        <f t="shared" si="3"/>
        <v>-0.002783479169</v>
      </c>
      <c r="AC27" s="16"/>
      <c r="AD27" s="32" t="s">
        <v>34</v>
      </c>
      <c r="AE27" s="32" t="s">
        <v>33</v>
      </c>
      <c r="AF27" s="32" t="s">
        <v>33</v>
      </c>
      <c r="AG27" s="33">
        <v>1.0</v>
      </c>
      <c r="AH27" s="33">
        <v>0.0</v>
      </c>
      <c r="AI27" s="33">
        <v>6251.74</v>
      </c>
      <c r="AJ27" s="33">
        <v>0.0</v>
      </c>
      <c r="AK27" s="33">
        <f t="shared" si="4"/>
        <v>0</v>
      </c>
      <c r="AL27" s="33">
        <f t="shared" si="6"/>
        <v>0</v>
      </c>
      <c r="AM27" s="33" t="s">
        <v>34</v>
      </c>
      <c r="AN27" s="33" t="s">
        <v>40</v>
      </c>
      <c r="AO27" s="33">
        <v>0.0</v>
      </c>
    </row>
    <row r="28">
      <c r="A28" s="86"/>
      <c r="B28" s="86"/>
      <c r="C28" s="86"/>
      <c r="D28" s="60" t="s">
        <v>34</v>
      </c>
      <c r="E28" s="60" t="s">
        <v>39</v>
      </c>
      <c r="F28" s="59">
        <v>2635.73</v>
      </c>
      <c r="G28" s="16"/>
      <c r="H28" s="73" t="s">
        <v>34</v>
      </c>
      <c r="I28" s="73" t="s">
        <v>39</v>
      </c>
      <c r="J28" s="73" t="s">
        <v>33</v>
      </c>
      <c r="K28" s="73">
        <v>1.0</v>
      </c>
      <c r="L28" s="73">
        <v>966.6814589</v>
      </c>
      <c r="M28" s="73">
        <v>2635.73</v>
      </c>
      <c r="N28" s="73">
        <v>3.821866983E7</v>
      </c>
      <c r="O28" s="23">
        <f>IFERROR(__xludf.DUMMYFUNCTION("FILTER($F$11:$F$110, TRIM($D$11:$D$110) = TRIM(H28), TRIM($E$11:$E$110) = TRIM(I28))"),2635.73)</f>
        <v>2635.73</v>
      </c>
      <c r="P28" s="16">
        <f t="shared" si="1"/>
        <v>38218669.82</v>
      </c>
      <c r="Q28" s="16">
        <f t="shared" si="5"/>
        <v>-0.00500254333</v>
      </c>
      <c r="R28" s="16"/>
      <c r="S28" s="73" t="s">
        <v>36</v>
      </c>
      <c r="T28" s="73" t="s">
        <v>37</v>
      </c>
      <c r="U28" s="73" t="s">
        <v>35</v>
      </c>
      <c r="V28" s="73" t="s">
        <v>37</v>
      </c>
      <c r="W28" s="73">
        <v>1.0</v>
      </c>
      <c r="X28" s="73">
        <v>658.2451157</v>
      </c>
      <c r="Y28" s="73">
        <v>2415.04</v>
      </c>
      <c r="Z28" s="73">
        <v>1.78839932E7</v>
      </c>
      <c r="AA28" s="16">
        <f t="shared" si="2"/>
        <v>17883993.2</v>
      </c>
      <c r="AB28" s="16">
        <f t="shared" si="3"/>
        <v>-0.002523556352</v>
      </c>
      <c r="AC28" s="16"/>
      <c r="AD28" s="32" t="s">
        <v>34</v>
      </c>
      <c r="AE28" s="32" t="s">
        <v>39</v>
      </c>
      <c r="AF28" s="32" t="s">
        <v>33</v>
      </c>
      <c r="AG28" s="33">
        <v>1.0</v>
      </c>
      <c r="AH28" s="33">
        <v>356.1662487</v>
      </c>
      <c r="AI28" s="33">
        <v>2635.73</v>
      </c>
      <c r="AJ28" s="33">
        <v>1.4081371E7</v>
      </c>
      <c r="AK28" s="33">
        <f t="shared" si="4"/>
        <v>14081371</v>
      </c>
      <c r="AL28" s="33">
        <f t="shared" si="6"/>
        <v>0.0002907626331</v>
      </c>
      <c r="AM28" s="33" t="s">
        <v>34</v>
      </c>
      <c r="AN28" s="33" t="s">
        <v>37</v>
      </c>
      <c r="AO28" s="33">
        <v>0.0</v>
      </c>
    </row>
    <row r="29">
      <c r="A29" s="86"/>
      <c r="B29" s="86"/>
      <c r="C29" s="86"/>
      <c r="D29" s="60" t="s">
        <v>34</v>
      </c>
      <c r="E29" s="60" t="s">
        <v>35</v>
      </c>
      <c r="F29" s="59">
        <v>6039.82</v>
      </c>
      <c r="G29" s="16"/>
      <c r="H29" s="73" t="s">
        <v>34</v>
      </c>
      <c r="I29" s="73" t="s">
        <v>35</v>
      </c>
      <c r="J29" s="73" t="s">
        <v>33</v>
      </c>
      <c r="K29" s="73">
        <v>1.0</v>
      </c>
      <c r="L29" s="73">
        <v>966.6814589</v>
      </c>
      <c r="M29" s="73">
        <v>6039.82</v>
      </c>
      <c r="N29" s="73">
        <v>8.757873014E7</v>
      </c>
      <c r="O29" s="23">
        <f>IFERROR(__xludf.DUMMYFUNCTION("FILTER($F$11:$F$110, TRIM($D$11:$D$110) = TRIM(H29), TRIM($E$11:$E$110) = TRIM(I29))"),6039.82)</f>
        <v>6039.82</v>
      </c>
      <c r="P29" s="16">
        <f t="shared" si="1"/>
        <v>87578730.14</v>
      </c>
      <c r="Q29" s="16">
        <f t="shared" si="5"/>
        <v>-0.00359903276</v>
      </c>
      <c r="R29" s="16"/>
      <c r="S29" s="73" t="s">
        <v>32</v>
      </c>
      <c r="T29" s="73" t="s">
        <v>35</v>
      </c>
      <c r="U29" s="73" t="s">
        <v>33</v>
      </c>
      <c r="V29" s="73" t="s">
        <v>35</v>
      </c>
      <c r="W29" s="73">
        <v>1.0</v>
      </c>
      <c r="X29" s="73">
        <v>475.5077631</v>
      </c>
      <c r="Y29" s="73">
        <v>15699.2</v>
      </c>
      <c r="Z29" s="73">
        <v>8.39822791E7</v>
      </c>
      <c r="AA29" s="16">
        <f t="shared" si="2"/>
        <v>83982279.09</v>
      </c>
      <c r="AB29" s="16">
        <f t="shared" si="3"/>
        <v>-0.01233038306</v>
      </c>
      <c r="AC29" s="16"/>
      <c r="AD29" s="32" t="s">
        <v>34</v>
      </c>
      <c r="AE29" s="32" t="s">
        <v>35</v>
      </c>
      <c r="AF29" s="32" t="s">
        <v>35</v>
      </c>
      <c r="AG29" s="33">
        <v>1.0</v>
      </c>
      <c r="AH29" s="33">
        <v>0.0</v>
      </c>
      <c r="AI29" s="33">
        <v>6039.82</v>
      </c>
      <c r="AJ29" s="33">
        <v>0.0</v>
      </c>
      <c r="AK29" s="33">
        <f t="shared" si="4"/>
        <v>0</v>
      </c>
      <c r="AL29" s="33">
        <f t="shared" si="6"/>
        <v>0</v>
      </c>
      <c r="AM29" s="33" t="s">
        <v>36</v>
      </c>
      <c r="AN29" s="33" t="s">
        <v>32</v>
      </c>
      <c r="AO29" s="33">
        <v>0.0</v>
      </c>
    </row>
    <row r="30">
      <c r="A30" s="86"/>
      <c r="B30" s="86"/>
      <c r="C30" s="86"/>
      <c r="D30" s="60" t="s">
        <v>34</v>
      </c>
      <c r="E30" s="60" t="s">
        <v>40</v>
      </c>
      <c r="F30" s="59">
        <v>3678.83</v>
      </c>
      <c r="G30" s="16"/>
      <c r="H30" s="73" t="s">
        <v>34</v>
      </c>
      <c r="I30" s="73" t="s">
        <v>40</v>
      </c>
      <c r="J30" s="73" t="s">
        <v>33</v>
      </c>
      <c r="K30" s="73">
        <v>1.0</v>
      </c>
      <c r="L30" s="73">
        <v>966.6814589</v>
      </c>
      <c r="M30" s="73">
        <v>3678.83</v>
      </c>
      <c r="N30" s="73">
        <v>5.334385127E7</v>
      </c>
      <c r="O30" s="23">
        <f>IFERROR(__xludf.DUMMYFUNCTION("FILTER($F$11:$F$110, TRIM($D$11:$D$110) = TRIM(H30), TRIM($E$11:$E$110) = TRIM(I30))"),3678.83)</f>
        <v>3678.83</v>
      </c>
      <c r="P30" s="16">
        <f t="shared" si="1"/>
        <v>53343851.27</v>
      </c>
      <c r="Q30" s="16">
        <f t="shared" si="5"/>
        <v>0.001676298678</v>
      </c>
      <c r="R30" s="16"/>
      <c r="S30" s="73" t="s">
        <v>32</v>
      </c>
      <c r="T30" s="73" t="s">
        <v>40</v>
      </c>
      <c r="U30" s="73" t="s">
        <v>33</v>
      </c>
      <c r="V30" s="73" t="s">
        <v>35</v>
      </c>
      <c r="W30" s="73">
        <v>1.0</v>
      </c>
      <c r="X30" s="73">
        <v>475.5077631</v>
      </c>
      <c r="Y30" s="73">
        <v>2504.17</v>
      </c>
      <c r="Z30" s="73">
        <v>1.33959631E7</v>
      </c>
      <c r="AA30" s="16">
        <f t="shared" si="2"/>
        <v>13395963.1</v>
      </c>
      <c r="AB30" s="16">
        <f t="shared" si="3"/>
        <v>-0.004876069725</v>
      </c>
      <c r="AC30" s="16"/>
      <c r="AD30" s="32" t="s">
        <v>34</v>
      </c>
      <c r="AE30" s="32" t="s">
        <v>40</v>
      </c>
      <c r="AF30" s="32" t="s">
        <v>35</v>
      </c>
      <c r="AG30" s="33">
        <v>1.0</v>
      </c>
      <c r="AH30" s="33">
        <v>403.0102135</v>
      </c>
      <c r="AI30" s="33">
        <v>3678.83</v>
      </c>
      <c r="AJ30" s="33">
        <v>2.223909096E7</v>
      </c>
      <c r="AK30" s="33">
        <f t="shared" si="4"/>
        <v>22239090.96</v>
      </c>
      <c r="AL30" s="33">
        <f t="shared" si="6"/>
        <v>-0.004046924412</v>
      </c>
      <c r="AM30" s="33" t="s">
        <v>36</v>
      </c>
      <c r="AN30" s="33" t="s">
        <v>38</v>
      </c>
      <c r="AO30" s="33">
        <v>0.0</v>
      </c>
    </row>
    <row r="31">
      <c r="A31" s="86"/>
      <c r="B31" s="86"/>
      <c r="C31" s="86"/>
      <c r="D31" s="60" t="s">
        <v>34</v>
      </c>
      <c r="E31" s="60" t="s">
        <v>37</v>
      </c>
      <c r="F31" s="59">
        <v>4136.76</v>
      </c>
      <c r="G31" s="16"/>
      <c r="H31" s="73" t="s">
        <v>34</v>
      </c>
      <c r="I31" s="73" t="s">
        <v>37</v>
      </c>
      <c r="J31" s="73" t="s">
        <v>33</v>
      </c>
      <c r="K31" s="73">
        <v>1.0</v>
      </c>
      <c r="L31" s="73">
        <v>966.6814589</v>
      </c>
      <c r="M31" s="73">
        <v>4136.76</v>
      </c>
      <c r="N31" s="73">
        <v>5.998393788E7</v>
      </c>
      <c r="O31" s="23">
        <f>IFERROR(__xludf.DUMMYFUNCTION("FILTER($F$11:$F$110, TRIM($D$11:$D$110) = TRIM(H31), TRIM($E$11:$E$110) = TRIM(I31))"),4136.76)</f>
        <v>4136.76</v>
      </c>
      <c r="P31" s="16">
        <f t="shared" si="1"/>
        <v>59983937.88</v>
      </c>
      <c r="Q31" s="16">
        <f t="shared" si="5"/>
        <v>-0.001212537289</v>
      </c>
      <c r="R31" s="16"/>
      <c r="S31" s="73" t="s">
        <v>32</v>
      </c>
      <c r="T31" s="73" t="s">
        <v>37</v>
      </c>
      <c r="U31" s="73" t="s">
        <v>33</v>
      </c>
      <c r="V31" s="73" t="s">
        <v>35</v>
      </c>
      <c r="W31" s="73">
        <v>1.0</v>
      </c>
      <c r="X31" s="73">
        <v>475.5077631</v>
      </c>
      <c r="Y31" s="73">
        <v>12387.4</v>
      </c>
      <c r="Z31" s="73">
        <v>6.626592973E7</v>
      </c>
      <c r="AA31" s="16">
        <f t="shared" si="2"/>
        <v>66265929.73</v>
      </c>
      <c r="AB31" s="16">
        <f t="shared" si="3"/>
        <v>-0.002969421446</v>
      </c>
      <c r="AC31" s="16"/>
      <c r="AD31" s="32" t="s">
        <v>34</v>
      </c>
      <c r="AE31" s="32" t="s">
        <v>37</v>
      </c>
      <c r="AF31" s="32" t="s">
        <v>37</v>
      </c>
      <c r="AG31" s="33">
        <v>1.0</v>
      </c>
      <c r="AH31" s="33">
        <v>0.0</v>
      </c>
      <c r="AI31" s="33">
        <v>4136.76</v>
      </c>
      <c r="AJ31" s="33">
        <v>0.0</v>
      </c>
      <c r="AK31" s="33">
        <f t="shared" si="4"/>
        <v>0</v>
      </c>
      <c r="AL31" s="33">
        <f t="shared" si="6"/>
        <v>0</v>
      </c>
      <c r="AM31" s="33" t="s">
        <v>36</v>
      </c>
      <c r="AN31" s="33" t="s">
        <v>33</v>
      </c>
      <c r="AO31" s="33">
        <v>0.0</v>
      </c>
    </row>
    <row r="32">
      <c r="A32" s="88"/>
      <c r="B32" s="88"/>
      <c r="C32" s="88"/>
      <c r="D32" s="62" t="s">
        <v>36</v>
      </c>
      <c r="E32" s="62" t="s">
        <v>31</v>
      </c>
      <c r="F32" s="61">
        <v>881.92</v>
      </c>
      <c r="G32" s="16"/>
      <c r="H32" s="73" t="s">
        <v>36</v>
      </c>
      <c r="I32" s="73" t="s">
        <v>31</v>
      </c>
      <c r="J32" s="73" t="s">
        <v>31</v>
      </c>
      <c r="K32" s="73">
        <v>1.0</v>
      </c>
      <c r="L32" s="73">
        <v>1061.868738</v>
      </c>
      <c r="M32" s="73">
        <v>881.92</v>
      </c>
      <c r="N32" s="73">
        <v>1.404724916E7</v>
      </c>
      <c r="O32" s="87">
        <f>IFERROR(__xludf.DUMMYFUNCTION("FILTER($F$11:$F$110, TRIM($D$11:$D$110) = TRIM(H32), TRIM($E$11:$E$110) = TRIM(I32))"),881.92)</f>
        <v>881.92</v>
      </c>
      <c r="P32" s="16">
        <f t="shared" si="1"/>
        <v>14047249.16</v>
      </c>
      <c r="Q32" s="16">
        <f t="shared" si="5"/>
        <v>0.001254398376</v>
      </c>
      <c r="R32" s="16"/>
      <c r="S32" s="73" t="s">
        <v>32</v>
      </c>
      <c r="T32" s="73" t="s">
        <v>37</v>
      </c>
      <c r="U32" s="73" t="s">
        <v>35</v>
      </c>
      <c r="V32" s="73" t="s">
        <v>37</v>
      </c>
      <c r="W32" s="73">
        <v>1.0</v>
      </c>
      <c r="X32" s="73">
        <v>658.2451157</v>
      </c>
      <c r="Y32" s="73">
        <v>12387.4</v>
      </c>
      <c r="Z32" s="73">
        <v>9.17318874E7</v>
      </c>
      <c r="AA32" s="16">
        <f t="shared" si="2"/>
        <v>91731887.39</v>
      </c>
      <c r="AB32" s="16">
        <f t="shared" si="3"/>
        <v>-0.005000472069</v>
      </c>
      <c r="AC32" s="16"/>
      <c r="AD32" s="32" t="s">
        <v>36</v>
      </c>
      <c r="AE32" s="32" t="s">
        <v>31</v>
      </c>
      <c r="AF32" s="32" t="s">
        <v>31</v>
      </c>
      <c r="AG32" s="33">
        <v>1.0</v>
      </c>
      <c r="AH32" s="33">
        <v>0.0</v>
      </c>
      <c r="AI32" s="33">
        <v>881.92</v>
      </c>
      <c r="AJ32" s="33">
        <v>0.0</v>
      </c>
      <c r="AK32" s="33">
        <f t="shared" si="4"/>
        <v>0</v>
      </c>
      <c r="AL32" s="33">
        <f t="shared" si="6"/>
        <v>0</v>
      </c>
      <c r="AM32" s="33" t="s">
        <v>36</v>
      </c>
      <c r="AN32" s="33" t="s">
        <v>39</v>
      </c>
      <c r="AO32" s="33">
        <v>0.0</v>
      </c>
    </row>
    <row r="33">
      <c r="A33" s="88"/>
      <c r="B33" s="88"/>
      <c r="C33" s="88"/>
      <c r="D33" s="62" t="s">
        <v>36</v>
      </c>
      <c r="E33" s="62" t="s">
        <v>34</v>
      </c>
      <c r="F33" s="61">
        <v>768.89</v>
      </c>
      <c r="G33" s="16"/>
      <c r="H33" s="73" t="s">
        <v>36</v>
      </c>
      <c r="I33" s="73" t="s">
        <v>34</v>
      </c>
      <c r="J33" s="73" t="s">
        <v>33</v>
      </c>
      <c r="K33" s="73">
        <v>1.0</v>
      </c>
      <c r="L33" s="73">
        <v>397.4791528</v>
      </c>
      <c r="M33" s="73">
        <v>768.89</v>
      </c>
      <c r="N33" s="73">
        <v>4584266.187</v>
      </c>
      <c r="O33" s="87">
        <f>IFERROR(__xludf.DUMMYFUNCTION("FILTER($F$11:$F$110, TRIM($D$11:$D$110) = TRIM(H33), TRIM($E$11:$E$110) = TRIM(I33))"),768.89)</f>
        <v>768.89</v>
      </c>
      <c r="P33" s="16">
        <f t="shared" si="1"/>
        <v>4584266.187</v>
      </c>
      <c r="Q33" s="16">
        <f t="shared" si="5"/>
        <v>-0.00005411915481</v>
      </c>
      <c r="R33" s="16"/>
      <c r="S33" s="73" t="s">
        <v>38</v>
      </c>
      <c r="T33" s="73" t="s">
        <v>35</v>
      </c>
      <c r="U33" s="73" t="s">
        <v>33</v>
      </c>
      <c r="V33" s="73" t="s">
        <v>35</v>
      </c>
      <c r="W33" s="73">
        <v>1.0</v>
      </c>
      <c r="X33" s="73">
        <v>475.5077631</v>
      </c>
      <c r="Y33" s="73">
        <v>20364.36</v>
      </c>
      <c r="Z33" s="73">
        <v>1.089383768E8</v>
      </c>
      <c r="AA33" s="16">
        <f t="shared" si="2"/>
        <v>108938376.8</v>
      </c>
      <c r="AB33" s="16">
        <f t="shared" si="3"/>
        <v>-0.006164938211</v>
      </c>
      <c r="AC33" s="16"/>
      <c r="AD33" s="32" t="s">
        <v>36</v>
      </c>
      <c r="AE33" s="32" t="s">
        <v>34</v>
      </c>
      <c r="AF33" s="32" t="s">
        <v>33</v>
      </c>
      <c r="AG33" s="33">
        <v>1.0</v>
      </c>
      <c r="AH33" s="33">
        <v>966.6814589</v>
      </c>
      <c r="AI33" s="33">
        <v>768.89</v>
      </c>
      <c r="AJ33" s="33">
        <v>1.11490756E7</v>
      </c>
      <c r="AK33" s="33">
        <f t="shared" si="4"/>
        <v>11149075.6</v>
      </c>
      <c r="AL33" s="33">
        <f t="shared" si="6"/>
        <v>0.004004314542</v>
      </c>
      <c r="AM33" s="33" t="s">
        <v>36</v>
      </c>
      <c r="AN33" s="33" t="s">
        <v>35</v>
      </c>
      <c r="AO33" s="33">
        <v>0.0</v>
      </c>
    </row>
    <row r="34">
      <c r="A34" s="88"/>
      <c r="B34" s="88"/>
      <c r="C34" s="88"/>
      <c r="D34" s="62" t="s">
        <v>36</v>
      </c>
      <c r="E34" s="62" t="s">
        <v>36</v>
      </c>
      <c r="F34" s="53">
        <v>0.0</v>
      </c>
      <c r="G34" s="16"/>
      <c r="H34" s="73" t="s">
        <v>36</v>
      </c>
      <c r="I34" s="73" t="s">
        <v>36</v>
      </c>
      <c r="J34" s="73" t="s">
        <v>31</v>
      </c>
      <c r="K34" s="73">
        <v>1.0</v>
      </c>
      <c r="L34" s="73">
        <v>1061.868738</v>
      </c>
      <c r="M34" s="73">
        <v>0.0</v>
      </c>
      <c r="N34" s="73">
        <v>0.0</v>
      </c>
      <c r="O34" s="23">
        <f>IFERROR(__xludf.DUMMYFUNCTION("FILTER($F$11:$F$110, TRIM($D$11:$D$110) = TRIM(H34), TRIM($E$11:$E$110) = TRIM(I34))"),0.0)</f>
        <v>0</v>
      </c>
      <c r="P34" s="16">
        <f t="shared" si="1"/>
        <v>0</v>
      </c>
      <c r="Q34" s="16">
        <f t="shared" si="5"/>
        <v>0</v>
      </c>
      <c r="R34" s="16"/>
      <c r="S34" s="73" t="s">
        <v>38</v>
      </c>
      <c r="T34" s="73" t="s">
        <v>40</v>
      </c>
      <c r="U34" s="73" t="s">
        <v>33</v>
      </c>
      <c r="V34" s="73" t="s">
        <v>35</v>
      </c>
      <c r="W34" s="73">
        <v>1.0</v>
      </c>
      <c r="X34" s="73">
        <v>475.5077631</v>
      </c>
      <c r="Y34" s="73">
        <v>1191.2</v>
      </c>
      <c r="Z34" s="73">
        <v>6372279.534</v>
      </c>
      <c r="AA34" s="16">
        <f t="shared" si="2"/>
        <v>6372279.533</v>
      </c>
      <c r="AB34" s="16">
        <f t="shared" si="3"/>
        <v>-0.0006968993694</v>
      </c>
      <c r="AC34" s="16"/>
      <c r="AD34" s="32" t="s">
        <v>36</v>
      </c>
      <c r="AE34" s="32" t="s">
        <v>36</v>
      </c>
      <c r="AF34" s="32" t="s">
        <v>31</v>
      </c>
      <c r="AG34" s="33">
        <v>1.0</v>
      </c>
      <c r="AH34" s="33">
        <v>1061.868738</v>
      </c>
      <c r="AI34" s="33">
        <v>0.0</v>
      </c>
      <c r="AJ34" s="33">
        <v>0.0</v>
      </c>
      <c r="AK34" s="33">
        <f t="shared" si="4"/>
        <v>0</v>
      </c>
      <c r="AL34" s="33">
        <f t="shared" si="6"/>
        <v>0</v>
      </c>
      <c r="AM34" s="33" t="s">
        <v>36</v>
      </c>
      <c r="AN34" s="33" t="s">
        <v>40</v>
      </c>
      <c r="AO34" s="33">
        <v>0.0</v>
      </c>
    </row>
    <row r="35">
      <c r="A35" s="88"/>
      <c r="B35" s="88"/>
      <c r="C35" s="88"/>
      <c r="D35" s="62" t="s">
        <v>36</v>
      </c>
      <c r="E35" s="62" t="s">
        <v>32</v>
      </c>
      <c r="F35" s="59">
        <v>2095.4</v>
      </c>
      <c r="G35" s="16"/>
      <c r="H35" s="73" t="s">
        <v>36</v>
      </c>
      <c r="I35" s="73" t="s">
        <v>32</v>
      </c>
      <c r="J35" s="73" t="s">
        <v>33</v>
      </c>
      <c r="K35" s="73">
        <v>1.0</v>
      </c>
      <c r="L35" s="73">
        <v>397.4791528</v>
      </c>
      <c r="M35" s="73">
        <v>2095.4</v>
      </c>
      <c r="N35" s="73">
        <v>1.249316725E7</v>
      </c>
      <c r="O35" s="23">
        <f>IFERROR(__xludf.DUMMYFUNCTION("FILTER($F$11:$F$110, TRIM($D$11:$D$110) = TRIM(H35), TRIM($E$11:$E$110) = TRIM(I35))"),2095.4)</f>
        <v>2095.4</v>
      </c>
      <c r="P35" s="16">
        <f t="shared" si="1"/>
        <v>12493167.25</v>
      </c>
      <c r="Q35" s="16">
        <f t="shared" si="5"/>
        <v>0.001656802371</v>
      </c>
      <c r="R35" s="16"/>
      <c r="S35" s="73" t="s">
        <v>38</v>
      </c>
      <c r="T35" s="73" t="s">
        <v>37</v>
      </c>
      <c r="U35" s="73" t="s">
        <v>33</v>
      </c>
      <c r="V35" s="73" t="s">
        <v>35</v>
      </c>
      <c r="W35" s="73">
        <v>1.0</v>
      </c>
      <c r="X35" s="73">
        <v>475.5077631</v>
      </c>
      <c r="Y35" s="73">
        <v>5911.52</v>
      </c>
      <c r="Z35" s="73">
        <v>3.162345358E7</v>
      </c>
      <c r="AA35" s="16">
        <f t="shared" si="2"/>
        <v>31623453.58</v>
      </c>
      <c r="AB35" s="16">
        <f t="shared" si="3"/>
        <v>0.001860264689</v>
      </c>
      <c r="AC35" s="16"/>
      <c r="AD35" s="32" t="s">
        <v>36</v>
      </c>
      <c r="AE35" s="32" t="s">
        <v>32</v>
      </c>
      <c r="AF35" s="32" t="s">
        <v>33</v>
      </c>
      <c r="AG35" s="33">
        <v>1.0</v>
      </c>
      <c r="AH35" s="33">
        <v>525.4495222</v>
      </c>
      <c r="AI35" s="33">
        <v>2095.4</v>
      </c>
      <c r="AJ35" s="33">
        <v>1.651540393E7</v>
      </c>
      <c r="AK35" s="33">
        <f t="shared" si="4"/>
        <v>16515403.93</v>
      </c>
      <c r="AL35" s="33">
        <f t="shared" si="6"/>
        <v>0.00226820074</v>
      </c>
      <c r="AM35" s="33" t="s">
        <v>36</v>
      </c>
      <c r="AN35" s="33" t="s">
        <v>37</v>
      </c>
      <c r="AO35" s="33">
        <v>0.0</v>
      </c>
    </row>
    <row r="36">
      <c r="A36" s="88"/>
      <c r="B36" s="88"/>
      <c r="C36" s="88"/>
      <c r="D36" s="62" t="s">
        <v>36</v>
      </c>
      <c r="E36" s="62" t="s">
        <v>38</v>
      </c>
      <c r="F36" s="61">
        <v>575.8</v>
      </c>
      <c r="G36" s="16"/>
      <c r="H36" s="73" t="s">
        <v>36</v>
      </c>
      <c r="I36" s="73" t="s">
        <v>38</v>
      </c>
      <c r="J36" s="73" t="s">
        <v>33</v>
      </c>
      <c r="K36" s="73">
        <v>1.0</v>
      </c>
      <c r="L36" s="73">
        <v>397.4791528</v>
      </c>
      <c r="M36" s="73">
        <v>575.8</v>
      </c>
      <c r="N36" s="73">
        <v>3433027.443</v>
      </c>
      <c r="O36" s="87">
        <f>IFERROR(__xludf.DUMMYFUNCTION("FILTER($F$11:$F$110, TRIM($D$11:$D$110) = TRIM(H36), TRIM($E$11:$E$110) = TRIM(I36))"),575.8)</f>
        <v>575.8</v>
      </c>
      <c r="P36" s="16">
        <f t="shared" si="1"/>
        <v>3433027.443</v>
      </c>
      <c r="Q36" s="16">
        <f t="shared" si="5"/>
        <v>-0.0002664001659</v>
      </c>
      <c r="R36" s="16"/>
      <c r="S36" s="73" t="s">
        <v>38</v>
      </c>
      <c r="T36" s="73" t="s">
        <v>37</v>
      </c>
      <c r="U36" s="73" t="s">
        <v>35</v>
      </c>
      <c r="V36" s="73" t="s">
        <v>37</v>
      </c>
      <c r="W36" s="73">
        <v>1.0</v>
      </c>
      <c r="X36" s="73">
        <v>658.2451157</v>
      </c>
      <c r="Y36" s="73">
        <v>5911.52</v>
      </c>
      <c r="Z36" s="73">
        <v>4.377632812E7</v>
      </c>
      <c r="AA36" s="16">
        <f t="shared" si="2"/>
        <v>43776328.12</v>
      </c>
      <c r="AB36" s="16">
        <f t="shared" si="3"/>
        <v>0.001582227647</v>
      </c>
      <c r="AC36" s="16"/>
      <c r="AD36" s="32" t="s">
        <v>36</v>
      </c>
      <c r="AE36" s="32" t="s">
        <v>38</v>
      </c>
      <c r="AF36" s="32" t="s">
        <v>33</v>
      </c>
      <c r="AG36" s="33">
        <v>1.0</v>
      </c>
      <c r="AH36" s="33">
        <v>176.4669161</v>
      </c>
      <c r="AI36" s="33">
        <v>575.8</v>
      </c>
      <c r="AJ36" s="33">
        <v>1524144.754</v>
      </c>
      <c r="AK36" s="33">
        <f t="shared" si="4"/>
        <v>1524144.754</v>
      </c>
      <c r="AL36" s="33">
        <f t="shared" si="6"/>
        <v>0.0003556997981</v>
      </c>
      <c r="AM36" s="33" t="s">
        <v>32</v>
      </c>
      <c r="AN36" s="33" t="s">
        <v>38</v>
      </c>
      <c r="AO36" s="33">
        <v>0.0</v>
      </c>
    </row>
    <row r="37">
      <c r="A37" s="88"/>
      <c r="B37" s="88"/>
      <c r="C37" s="88"/>
      <c r="D37" s="62" t="s">
        <v>36</v>
      </c>
      <c r="E37" s="62" t="s">
        <v>33</v>
      </c>
      <c r="F37" s="59">
        <v>4265.72</v>
      </c>
      <c r="G37" s="16"/>
      <c r="H37" s="73" t="s">
        <v>36</v>
      </c>
      <c r="I37" s="73" t="s">
        <v>33</v>
      </c>
      <c r="J37" s="73" t="s">
        <v>33</v>
      </c>
      <c r="K37" s="73">
        <v>1.0</v>
      </c>
      <c r="L37" s="73">
        <v>397.4791528</v>
      </c>
      <c r="M37" s="73">
        <v>4265.72</v>
      </c>
      <c r="N37" s="73">
        <v>2.543302158E7</v>
      </c>
      <c r="O37" s="23">
        <f>IFERROR(__xludf.DUMMYFUNCTION("FILTER($F$11:$F$110, TRIM($D$11:$D$110) = TRIM(H37), TRIM($E$11:$E$110) = TRIM(I37))"),4265.72)</f>
        <v>4265.72</v>
      </c>
      <c r="P37" s="16">
        <f t="shared" si="1"/>
        <v>25433021.58</v>
      </c>
      <c r="Q37" s="16">
        <f t="shared" si="5"/>
        <v>-0.004769753665</v>
      </c>
      <c r="R37" s="16"/>
      <c r="S37" s="73" t="s">
        <v>33</v>
      </c>
      <c r="T37" s="73" t="s">
        <v>31</v>
      </c>
      <c r="U37" s="73" t="s">
        <v>33</v>
      </c>
      <c r="V37" s="73" t="s">
        <v>31</v>
      </c>
      <c r="W37" s="73">
        <v>1.0</v>
      </c>
      <c r="X37" s="73">
        <v>1362.65047</v>
      </c>
      <c r="Y37" s="73">
        <v>2334.6</v>
      </c>
      <c r="Z37" s="73">
        <v>3.578899261E7</v>
      </c>
      <c r="AA37" s="16">
        <f t="shared" si="2"/>
        <v>35788992.61</v>
      </c>
      <c r="AB37" s="16">
        <f t="shared" si="3"/>
        <v>-0.003302499652</v>
      </c>
      <c r="AC37" s="16"/>
      <c r="AD37" s="32" t="s">
        <v>36</v>
      </c>
      <c r="AE37" s="32" t="s">
        <v>33</v>
      </c>
      <c r="AF37" s="32" t="s">
        <v>33</v>
      </c>
      <c r="AG37" s="33">
        <v>1.0</v>
      </c>
      <c r="AH37" s="33">
        <v>0.0</v>
      </c>
      <c r="AI37" s="33">
        <v>4265.72</v>
      </c>
      <c r="AJ37" s="33">
        <v>0.0</v>
      </c>
      <c r="AK37" s="33">
        <f t="shared" si="4"/>
        <v>0</v>
      </c>
      <c r="AL37" s="33">
        <f t="shared" si="6"/>
        <v>0</v>
      </c>
      <c r="AM37" s="33" t="s">
        <v>32</v>
      </c>
      <c r="AN37" s="33" t="s">
        <v>33</v>
      </c>
      <c r="AO37" s="33">
        <v>0.0</v>
      </c>
    </row>
    <row r="38">
      <c r="A38" s="88"/>
      <c r="B38" s="88"/>
      <c r="C38" s="88"/>
      <c r="D38" s="62" t="s">
        <v>36</v>
      </c>
      <c r="E38" s="62" t="s">
        <v>39</v>
      </c>
      <c r="F38" s="59">
        <v>10479.28</v>
      </c>
      <c r="G38" s="16"/>
      <c r="H38" s="73" t="s">
        <v>36</v>
      </c>
      <c r="I38" s="73" t="s">
        <v>39</v>
      </c>
      <c r="J38" s="73" t="s">
        <v>33</v>
      </c>
      <c r="K38" s="73">
        <v>1.0</v>
      </c>
      <c r="L38" s="73">
        <v>397.4791528</v>
      </c>
      <c r="M38" s="73">
        <v>10479.28</v>
      </c>
      <c r="N38" s="73">
        <v>6.247943005E7</v>
      </c>
      <c r="O38" s="23">
        <f>IFERROR(__xludf.DUMMYFUNCTION("FILTER($F$11:$F$110, TRIM($D$11:$D$110) = TRIM(H38), TRIM($E$11:$E$110) = TRIM(I38))"),10479.28)</f>
        <v>10479.28</v>
      </c>
      <c r="P38" s="16">
        <f t="shared" si="1"/>
        <v>62479430.05</v>
      </c>
      <c r="Q38" s="16">
        <f t="shared" si="5"/>
        <v>-0.004690229893</v>
      </c>
      <c r="R38" s="16"/>
      <c r="S38" s="73" t="s">
        <v>33</v>
      </c>
      <c r="T38" s="73" t="s">
        <v>35</v>
      </c>
      <c r="U38" s="73" t="s">
        <v>33</v>
      </c>
      <c r="V38" s="73" t="s">
        <v>35</v>
      </c>
      <c r="W38" s="73">
        <v>1.0</v>
      </c>
      <c r="X38" s="73">
        <v>475.5077631</v>
      </c>
      <c r="Y38" s="73">
        <v>33272.84</v>
      </c>
      <c r="Z38" s="73">
        <v>1.779918044E8</v>
      </c>
      <c r="AA38" s="16">
        <f t="shared" si="2"/>
        <v>177991804.4</v>
      </c>
      <c r="AB38" s="16">
        <f t="shared" si="3"/>
        <v>-0.0456777215</v>
      </c>
      <c r="AC38" s="16"/>
      <c r="AD38" s="32" t="s">
        <v>36</v>
      </c>
      <c r="AE38" s="32" t="s">
        <v>39</v>
      </c>
      <c r="AF38" s="32" t="s">
        <v>33</v>
      </c>
      <c r="AG38" s="33">
        <v>1.0</v>
      </c>
      <c r="AH38" s="33">
        <v>356.1662487</v>
      </c>
      <c r="AI38" s="33">
        <v>10479.28</v>
      </c>
      <c r="AJ38" s="33">
        <v>5.598548771E7</v>
      </c>
      <c r="AK38" s="33">
        <f t="shared" si="4"/>
        <v>55985487.7</v>
      </c>
      <c r="AL38" s="33">
        <f t="shared" si="6"/>
        <v>-0.009845964611</v>
      </c>
      <c r="AM38" s="33" t="s">
        <v>32</v>
      </c>
      <c r="AN38" s="33" t="s">
        <v>39</v>
      </c>
      <c r="AO38" s="33">
        <v>0.0</v>
      </c>
    </row>
    <row r="39">
      <c r="A39" s="88"/>
      <c r="B39" s="88"/>
      <c r="C39" s="88"/>
      <c r="D39" s="62" t="s">
        <v>36</v>
      </c>
      <c r="E39" s="62" t="s">
        <v>35</v>
      </c>
      <c r="F39" s="59">
        <v>5041.36</v>
      </c>
      <c r="G39" s="16"/>
      <c r="H39" s="73" t="s">
        <v>36</v>
      </c>
      <c r="I39" s="73" t="s">
        <v>35</v>
      </c>
      <c r="J39" s="73" t="s">
        <v>33</v>
      </c>
      <c r="K39" s="73">
        <v>1.0</v>
      </c>
      <c r="L39" s="73">
        <v>397.4791528</v>
      </c>
      <c r="M39" s="73">
        <v>5041.36</v>
      </c>
      <c r="N39" s="73">
        <v>3.005753253E7</v>
      </c>
      <c r="O39" s="23">
        <f>IFERROR(__xludf.DUMMYFUNCTION("FILTER($F$11:$F$110, TRIM($D$11:$D$110) = TRIM(H39), TRIM($E$11:$E$110) = TRIM(I39))"),5041.36)</f>
        <v>5041.36</v>
      </c>
      <c r="P39" s="16">
        <f t="shared" si="1"/>
        <v>30057532.53</v>
      </c>
      <c r="Q39" s="16">
        <f t="shared" si="5"/>
        <v>-0.003602880985</v>
      </c>
      <c r="R39" s="16"/>
      <c r="S39" s="73" t="s">
        <v>33</v>
      </c>
      <c r="T39" s="73" t="s">
        <v>40</v>
      </c>
      <c r="U39" s="73" t="s">
        <v>33</v>
      </c>
      <c r="V39" s="73" t="s">
        <v>35</v>
      </c>
      <c r="W39" s="73">
        <v>1.0</v>
      </c>
      <c r="X39" s="73">
        <v>475.5077631</v>
      </c>
      <c r="Y39" s="73">
        <v>2248.87</v>
      </c>
      <c r="Z39" s="73">
        <v>1.203024536E7</v>
      </c>
      <c r="AA39" s="16">
        <f t="shared" si="2"/>
        <v>12030245.36</v>
      </c>
      <c r="AB39" s="16">
        <f t="shared" si="3"/>
        <v>0.001030340791</v>
      </c>
      <c r="AC39" s="16"/>
      <c r="AD39" s="32" t="s">
        <v>36</v>
      </c>
      <c r="AE39" s="32" t="s">
        <v>35</v>
      </c>
      <c r="AF39" s="32" t="s">
        <v>35</v>
      </c>
      <c r="AG39" s="33">
        <v>1.0</v>
      </c>
      <c r="AH39" s="33">
        <v>0.0</v>
      </c>
      <c r="AI39" s="33">
        <v>5041.36</v>
      </c>
      <c r="AJ39" s="33">
        <v>0.0</v>
      </c>
      <c r="AK39" s="33">
        <f t="shared" si="4"/>
        <v>0</v>
      </c>
      <c r="AL39" s="33">
        <f t="shared" si="6"/>
        <v>0</v>
      </c>
      <c r="AM39" s="33" t="s">
        <v>32</v>
      </c>
      <c r="AN39" s="33" t="s">
        <v>35</v>
      </c>
      <c r="AO39" s="33">
        <v>0.0</v>
      </c>
    </row>
    <row r="40">
      <c r="A40" s="88"/>
      <c r="B40" s="88"/>
      <c r="C40" s="88"/>
      <c r="D40" s="62" t="s">
        <v>36</v>
      </c>
      <c r="E40" s="62" t="s">
        <v>40</v>
      </c>
      <c r="F40" s="61">
        <v>841.95</v>
      </c>
      <c r="G40" s="16"/>
      <c r="H40" s="73" t="s">
        <v>36</v>
      </c>
      <c r="I40" s="73" t="s">
        <v>40</v>
      </c>
      <c r="J40" s="73" t="s">
        <v>33</v>
      </c>
      <c r="K40" s="73">
        <v>1.0</v>
      </c>
      <c r="L40" s="73">
        <v>397.4791528</v>
      </c>
      <c r="M40" s="73">
        <v>841.95</v>
      </c>
      <c r="N40" s="73">
        <v>5019863.591</v>
      </c>
      <c r="O40" s="87">
        <f>IFERROR(__xludf.DUMMYFUNCTION("FILTER($F$11:$F$110, TRIM($D$11:$D$110) = TRIM(H40), TRIM($E$11:$E$110) = TRIM(I40))"),841.95)</f>
        <v>841.95</v>
      </c>
      <c r="P40" s="16">
        <f t="shared" si="1"/>
        <v>5019863.59</v>
      </c>
      <c r="Q40" s="16">
        <f t="shared" si="5"/>
        <v>-0.0005005989224</v>
      </c>
      <c r="R40" s="16"/>
      <c r="S40" s="73" t="s">
        <v>33</v>
      </c>
      <c r="T40" s="73" t="s">
        <v>37</v>
      </c>
      <c r="U40" s="73" t="s">
        <v>33</v>
      </c>
      <c r="V40" s="73" t="s">
        <v>35</v>
      </c>
      <c r="W40" s="73">
        <v>1.0</v>
      </c>
      <c r="X40" s="73">
        <v>475.5077631</v>
      </c>
      <c r="Y40" s="73">
        <v>6665.76</v>
      </c>
      <c r="Z40" s="73">
        <v>3.565823206E7</v>
      </c>
      <c r="AA40" s="16">
        <f t="shared" si="2"/>
        <v>35658232.05</v>
      </c>
      <c r="AB40" s="16">
        <f t="shared" si="3"/>
        <v>-0.00668361783</v>
      </c>
      <c r="AC40" s="16"/>
      <c r="AD40" s="32" t="s">
        <v>36</v>
      </c>
      <c r="AE40" s="32" t="s">
        <v>40</v>
      </c>
      <c r="AF40" s="32" t="s">
        <v>35</v>
      </c>
      <c r="AG40" s="33">
        <v>1.0</v>
      </c>
      <c r="AH40" s="33">
        <v>403.0102135</v>
      </c>
      <c r="AI40" s="33">
        <v>841.95</v>
      </c>
      <c r="AJ40" s="33">
        <v>5089716.739</v>
      </c>
      <c r="AK40" s="33">
        <f t="shared" si="4"/>
        <v>5089716.739</v>
      </c>
      <c r="AL40" s="33">
        <f t="shared" si="6"/>
        <v>-0.000155123882</v>
      </c>
      <c r="AM40" s="33" t="s">
        <v>32</v>
      </c>
      <c r="AN40" s="33" t="s">
        <v>40</v>
      </c>
      <c r="AO40" s="33">
        <v>0.0</v>
      </c>
    </row>
    <row r="41">
      <c r="A41" s="88"/>
      <c r="B41" s="88"/>
      <c r="C41" s="88"/>
      <c r="D41" s="62" t="s">
        <v>36</v>
      </c>
      <c r="E41" s="62" t="s">
        <v>37</v>
      </c>
      <c r="F41" s="59">
        <v>2415.04</v>
      </c>
      <c r="G41" s="16"/>
      <c r="H41" s="73" t="s">
        <v>36</v>
      </c>
      <c r="I41" s="73" t="s">
        <v>37</v>
      </c>
      <c r="J41" s="73" t="s">
        <v>33</v>
      </c>
      <c r="K41" s="73">
        <v>1.0</v>
      </c>
      <c r="L41" s="73">
        <v>397.4791528</v>
      </c>
      <c r="M41" s="73">
        <v>2415.04</v>
      </c>
      <c r="N41" s="73">
        <v>1.43989208E7</v>
      </c>
      <c r="O41" s="23">
        <f>IFERROR(__xludf.DUMMYFUNCTION("FILTER($F$11:$F$110, TRIM($D$11:$D$110) = TRIM(H41), TRIM($E$11:$E$110) = TRIM(I41))"),2415.04)</f>
        <v>2415.04</v>
      </c>
      <c r="P41" s="16">
        <f t="shared" si="1"/>
        <v>14398920.8</v>
      </c>
      <c r="Q41" s="16">
        <f t="shared" si="5"/>
        <v>-0.002328319475</v>
      </c>
      <c r="R41" s="16"/>
      <c r="S41" s="73" t="s">
        <v>33</v>
      </c>
      <c r="T41" s="73" t="s">
        <v>37</v>
      </c>
      <c r="U41" s="73" t="s">
        <v>35</v>
      </c>
      <c r="V41" s="73" t="s">
        <v>37</v>
      </c>
      <c r="W41" s="73">
        <v>1.0</v>
      </c>
      <c r="X41" s="73">
        <v>658.2451157</v>
      </c>
      <c r="Y41" s="73">
        <v>6665.76</v>
      </c>
      <c r="Z41" s="73">
        <v>4.936166958E7</v>
      </c>
      <c r="AA41" s="16">
        <f t="shared" si="2"/>
        <v>49361669.58</v>
      </c>
      <c r="AB41" s="16">
        <f t="shared" si="3"/>
        <v>-0.002680130303</v>
      </c>
      <c r="AC41" s="16"/>
      <c r="AD41" s="32" t="s">
        <v>36</v>
      </c>
      <c r="AE41" s="32" t="s">
        <v>37</v>
      </c>
      <c r="AF41" s="32" t="s">
        <v>37</v>
      </c>
      <c r="AG41" s="33">
        <v>1.0</v>
      </c>
      <c r="AH41" s="33">
        <v>0.0</v>
      </c>
      <c r="AI41" s="33">
        <v>2415.04</v>
      </c>
      <c r="AJ41" s="33">
        <v>0.0</v>
      </c>
      <c r="AK41" s="33">
        <f t="shared" si="4"/>
        <v>0</v>
      </c>
      <c r="AL41" s="33">
        <f t="shared" si="6"/>
        <v>0</v>
      </c>
      <c r="AM41" s="33" t="s">
        <v>32</v>
      </c>
      <c r="AN41" s="33" t="s">
        <v>37</v>
      </c>
      <c r="AO41" s="33">
        <v>0.0</v>
      </c>
    </row>
    <row r="42">
      <c r="A42" s="89"/>
      <c r="B42" s="89"/>
      <c r="C42" s="89"/>
      <c r="D42" s="63" t="s">
        <v>32</v>
      </c>
      <c r="E42" s="63" t="s">
        <v>31</v>
      </c>
      <c r="F42" s="59">
        <v>2877.88</v>
      </c>
      <c r="G42" s="16"/>
      <c r="H42" s="73" t="s">
        <v>32</v>
      </c>
      <c r="I42" s="73" t="s">
        <v>31</v>
      </c>
      <c r="J42" s="73" t="s">
        <v>31</v>
      </c>
      <c r="K42" s="73">
        <v>1.0</v>
      </c>
      <c r="L42" s="73">
        <v>909.2041188</v>
      </c>
      <c r="M42" s="73">
        <v>2877.88</v>
      </c>
      <c r="N42" s="73">
        <v>3.924870524E7</v>
      </c>
      <c r="O42" s="23">
        <f>IFERROR(__xludf.DUMMYFUNCTION("FILTER($F$11:$F$110, TRIM($D$11:$D$110) = TRIM(H42), TRIM($E$11:$E$110) = TRIM(I42))"),2877.88)</f>
        <v>2877.88</v>
      </c>
      <c r="P42" s="16">
        <f t="shared" si="1"/>
        <v>39248705.24</v>
      </c>
      <c r="Q42" s="16">
        <f t="shared" si="5"/>
        <v>0.001182153821</v>
      </c>
      <c r="R42" s="16"/>
      <c r="S42" s="73" t="s">
        <v>39</v>
      </c>
      <c r="T42" s="73" t="s">
        <v>31</v>
      </c>
      <c r="U42" s="73" t="s">
        <v>33</v>
      </c>
      <c r="V42" s="73" t="s">
        <v>31</v>
      </c>
      <c r="W42" s="73">
        <v>1.0</v>
      </c>
      <c r="X42" s="73">
        <v>1362.65047</v>
      </c>
      <c r="Y42" s="73">
        <v>2873.96</v>
      </c>
      <c r="Z42" s="73">
        <v>4.405728313E7</v>
      </c>
      <c r="AA42" s="16">
        <f t="shared" si="2"/>
        <v>44057283.13</v>
      </c>
      <c r="AB42" s="16">
        <f t="shared" si="3"/>
        <v>-0.001436501741</v>
      </c>
      <c r="AC42" s="16"/>
      <c r="AD42" s="32" t="s">
        <v>32</v>
      </c>
      <c r="AE42" s="32" t="s">
        <v>31</v>
      </c>
      <c r="AF42" s="32" t="s">
        <v>31</v>
      </c>
      <c r="AG42" s="33">
        <v>1.0</v>
      </c>
      <c r="AH42" s="33">
        <v>0.0</v>
      </c>
      <c r="AI42" s="33">
        <v>2877.88</v>
      </c>
      <c r="AJ42" s="33">
        <v>0.0</v>
      </c>
      <c r="AK42" s="33">
        <f t="shared" si="4"/>
        <v>0</v>
      </c>
      <c r="AL42" s="33">
        <f t="shared" si="6"/>
        <v>0</v>
      </c>
      <c r="AM42" s="33" t="s">
        <v>38</v>
      </c>
      <c r="AN42" s="33" t="s">
        <v>33</v>
      </c>
      <c r="AO42" s="33">
        <v>0.0</v>
      </c>
    </row>
    <row r="43">
      <c r="A43" s="89"/>
      <c r="B43" s="89"/>
      <c r="C43" s="89"/>
      <c r="D43" s="63" t="s">
        <v>32</v>
      </c>
      <c r="E43" s="63" t="s">
        <v>34</v>
      </c>
      <c r="F43" s="59">
        <v>2837.35</v>
      </c>
      <c r="G43" s="16"/>
      <c r="H43" s="73" t="s">
        <v>32</v>
      </c>
      <c r="I43" s="73" t="s">
        <v>34</v>
      </c>
      <c r="J43" s="73" t="s">
        <v>31</v>
      </c>
      <c r="K43" s="73">
        <v>1.0</v>
      </c>
      <c r="L43" s="73">
        <v>909.2041188</v>
      </c>
      <c r="M43" s="73">
        <v>2837.35</v>
      </c>
      <c r="N43" s="73">
        <v>3.86959546E7</v>
      </c>
      <c r="O43" s="23">
        <f>IFERROR(__xludf.DUMMYFUNCTION("FILTER($F$11:$F$110, TRIM($D$11:$D$110) = TRIM(H43), TRIM($E$11:$E$110) = TRIM(I43))"),2837.35)</f>
        <v>2837.35</v>
      </c>
      <c r="P43" s="16">
        <f t="shared" si="1"/>
        <v>38695954.6</v>
      </c>
      <c r="Q43" s="16">
        <f t="shared" si="5"/>
        <v>-0.002842307091</v>
      </c>
      <c r="R43" s="16"/>
      <c r="S43" s="73" t="s">
        <v>39</v>
      </c>
      <c r="T43" s="73" t="s">
        <v>37</v>
      </c>
      <c r="U43" s="73" t="s">
        <v>35</v>
      </c>
      <c r="V43" s="73" t="s">
        <v>37</v>
      </c>
      <c r="W43" s="73">
        <v>1.0</v>
      </c>
      <c r="X43" s="73">
        <v>658.2451157</v>
      </c>
      <c r="Y43" s="73">
        <v>8546.4</v>
      </c>
      <c r="Z43" s="73">
        <v>6.328829314E7</v>
      </c>
      <c r="AA43" s="16">
        <f t="shared" si="2"/>
        <v>63288293.14</v>
      </c>
      <c r="AB43" s="16">
        <f t="shared" si="3"/>
        <v>-0.000792093575</v>
      </c>
      <c r="AC43" s="16"/>
      <c r="AD43" s="32" t="s">
        <v>32</v>
      </c>
      <c r="AE43" s="32" t="s">
        <v>34</v>
      </c>
      <c r="AF43" s="32" t="s">
        <v>31</v>
      </c>
      <c r="AG43" s="33">
        <v>1.0</v>
      </c>
      <c r="AH43" s="33">
        <v>404.8971745</v>
      </c>
      <c r="AI43" s="33">
        <v>2837.35</v>
      </c>
      <c r="AJ43" s="33">
        <v>1.723252497E7</v>
      </c>
      <c r="AK43" s="33">
        <f t="shared" si="4"/>
        <v>17232524.97</v>
      </c>
      <c r="AL43" s="33">
        <f t="shared" si="6"/>
        <v>0.001013625413</v>
      </c>
      <c r="AM43" s="33" t="s">
        <v>38</v>
      </c>
      <c r="AN43" s="33" t="s">
        <v>39</v>
      </c>
      <c r="AO43" s="33">
        <v>0.0</v>
      </c>
    </row>
    <row r="44">
      <c r="A44" s="89"/>
      <c r="B44" s="89"/>
      <c r="C44" s="89"/>
      <c r="D44" s="63" t="s">
        <v>32</v>
      </c>
      <c r="E44" s="63" t="s">
        <v>36</v>
      </c>
      <c r="F44" s="59">
        <v>2340.64</v>
      </c>
      <c r="G44" s="16"/>
      <c r="H44" s="73" t="s">
        <v>32</v>
      </c>
      <c r="I44" s="73" t="s">
        <v>36</v>
      </c>
      <c r="J44" s="73" t="s">
        <v>33</v>
      </c>
      <c r="K44" s="73">
        <v>1.0</v>
      </c>
      <c r="L44" s="73">
        <v>525.4495222</v>
      </c>
      <c r="M44" s="73">
        <v>2340.64</v>
      </c>
      <c r="N44" s="73">
        <v>1.844832254E7</v>
      </c>
      <c r="O44" s="23">
        <f>IFERROR(__xludf.DUMMYFUNCTION("FILTER($F$11:$F$110, TRIM($D$11:$D$110) = TRIM(H44), TRIM($E$11:$E$110) = TRIM(I44))"),2340.64)</f>
        <v>2340.64</v>
      </c>
      <c r="P44" s="16">
        <f t="shared" si="1"/>
        <v>18448322.54</v>
      </c>
      <c r="Q44" s="16">
        <f t="shared" si="5"/>
        <v>0.004633121192</v>
      </c>
      <c r="R44" s="16"/>
      <c r="S44" s="73" t="s">
        <v>35</v>
      </c>
      <c r="T44" s="73" t="s">
        <v>31</v>
      </c>
      <c r="U44" s="73" t="s">
        <v>33</v>
      </c>
      <c r="V44" s="73" t="s">
        <v>31</v>
      </c>
      <c r="W44" s="73">
        <v>1.0</v>
      </c>
      <c r="X44" s="73">
        <v>1362.65047</v>
      </c>
      <c r="Y44" s="73">
        <v>30724.48</v>
      </c>
      <c r="Z44" s="73">
        <v>4.7100068E8</v>
      </c>
      <c r="AA44" s="16">
        <f t="shared" si="2"/>
        <v>471000680</v>
      </c>
      <c r="AB44" s="16">
        <f t="shared" si="3"/>
        <v>0.01568800211</v>
      </c>
      <c r="AC44" s="16"/>
      <c r="AD44" s="32" t="s">
        <v>32</v>
      </c>
      <c r="AE44" s="32" t="s">
        <v>36</v>
      </c>
      <c r="AF44" s="32" t="s">
        <v>33</v>
      </c>
      <c r="AG44" s="33">
        <v>1.0</v>
      </c>
      <c r="AH44" s="33">
        <v>397.4791528</v>
      </c>
      <c r="AI44" s="33">
        <v>2340.64</v>
      </c>
      <c r="AJ44" s="33">
        <v>1.395533406E7</v>
      </c>
      <c r="AK44" s="33">
        <f t="shared" si="4"/>
        <v>13955334.06</v>
      </c>
      <c r="AL44" s="33">
        <f t="shared" si="6"/>
        <v>0.003146879375</v>
      </c>
      <c r="AM44" s="33" t="s">
        <v>38</v>
      </c>
      <c r="AN44" s="33" t="s">
        <v>35</v>
      </c>
      <c r="AO44" s="33">
        <v>0.0</v>
      </c>
    </row>
    <row r="45">
      <c r="A45" s="89"/>
      <c r="B45" s="89"/>
      <c r="C45" s="89"/>
      <c r="D45" s="63" t="s">
        <v>32</v>
      </c>
      <c r="E45" s="63" t="s">
        <v>32</v>
      </c>
      <c r="F45" s="53">
        <v>0.0</v>
      </c>
      <c r="G45" s="16"/>
      <c r="H45" s="73" t="s">
        <v>32</v>
      </c>
      <c r="I45" s="73" t="s">
        <v>32</v>
      </c>
      <c r="J45" s="73" t="s">
        <v>31</v>
      </c>
      <c r="K45" s="73">
        <v>1.0</v>
      </c>
      <c r="L45" s="73">
        <v>909.2041188</v>
      </c>
      <c r="M45" s="73">
        <v>0.0</v>
      </c>
      <c r="N45" s="73">
        <v>0.0</v>
      </c>
      <c r="O45" s="23">
        <f>IFERROR(__xludf.DUMMYFUNCTION("FILTER($F$11:$F$110, TRIM($D$11:$D$110) = TRIM(H45), TRIM($E$11:$E$110) = TRIM(I45))"),0.0)</f>
        <v>0</v>
      </c>
      <c r="P45" s="16">
        <f t="shared" si="1"/>
        <v>0</v>
      </c>
      <c r="Q45" s="16">
        <f t="shared" si="5"/>
        <v>0</v>
      </c>
      <c r="R45" s="16"/>
      <c r="S45" s="73" t="s">
        <v>35</v>
      </c>
      <c r="T45" s="73" t="s">
        <v>31</v>
      </c>
      <c r="U45" s="73" t="s">
        <v>35</v>
      </c>
      <c r="V45" s="73" t="s">
        <v>33</v>
      </c>
      <c r="W45" s="73">
        <v>1.0</v>
      </c>
      <c r="X45" s="73">
        <v>475.5077631</v>
      </c>
      <c r="Y45" s="73">
        <v>30724.48</v>
      </c>
      <c r="Z45" s="73">
        <v>1.643594485E8</v>
      </c>
      <c r="AA45" s="16">
        <f t="shared" si="2"/>
        <v>164359448.5</v>
      </c>
      <c r="AB45" s="16">
        <f t="shared" si="3"/>
        <v>0.01862025261</v>
      </c>
      <c r="AC45" s="16"/>
      <c r="AD45" s="32" t="s">
        <v>32</v>
      </c>
      <c r="AE45" s="32" t="s">
        <v>32</v>
      </c>
      <c r="AF45" s="32" t="s">
        <v>31</v>
      </c>
      <c r="AG45" s="33">
        <v>1.0</v>
      </c>
      <c r="AH45" s="33">
        <v>909.2041188</v>
      </c>
      <c r="AI45" s="33">
        <v>0.0</v>
      </c>
      <c r="AJ45" s="33">
        <v>0.0</v>
      </c>
      <c r="AK45" s="33">
        <f t="shared" si="4"/>
        <v>0</v>
      </c>
      <c r="AL45" s="33">
        <f t="shared" si="6"/>
        <v>0</v>
      </c>
      <c r="AM45" s="33" t="s">
        <v>38</v>
      </c>
      <c r="AN45" s="33" t="s">
        <v>40</v>
      </c>
      <c r="AO45" s="33">
        <v>0.0</v>
      </c>
    </row>
    <row r="46">
      <c r="A46" s="89"/>
      <c r="B46" s="89"/>
      <c r="C46" s="89"/>
      <c r="D46" s="63" t="s">
        <v>32</v>
      </c>
      <c r="E46" s="63" t="s">
        <v>38</v>
      </c>
      <c r="F46" s="59">
        <v>1346.84</v>
      </c>
      <c r="G46" s="16"/>
      <c r="H46" s="73" t="s">
        <v>32</v>
      </c>
      <c r="I46" s="73" t="s">
        <v>38</v>
      </c>
      <c r="J46" s="73" t="s">
        <v>33</v>
      </c>
      <c r="K46" s="73">
        <v>1.0</v>
      </c>
      <c r="L46" s="73">
        <v>525.4495222</v>
      </c>
      <c r="M46" s="73">
        <v>1346.84</v>
      </c>
      <c r="N46" s="73">
        <v>1.061544652E7</v>
      </c>
      <c r="O46" s="23">
        <f>IFERROR(__xludf.DUMMYFUNCTION("FILTER($F$11:$F$110, TRIM($D$11:$D$110) = TRIM(H46), TRIM($E$11:$E$110) = TRIM(I46))"),1346.84)</f>
        <v>1346.84</v>
      </c>
      <c r="P46" s="16">
        <f t="shared" si="1"/>
        <v>10615446.52</v>
      </c>
      <c r="Q46" s="16">
        <f t="shared" si="5"/>
        <v>-0.002802280709</v>
      </c>
      <c r="R46" s="16"/>
      <c r="S46" s="73" t="s">
        <v>35</v>
      </c>
      <c r="T46" s="73" t="s">
        <v>34</v>
      </c>
      <c r="U46" s="73" t="s">
        <v>35</v>
      </c>
      <c r="V46" s="73" t="s">
        <v>33</v>
      </c>
      <c r="W46" s="73">
        <v>1.0</v>
      </c>
      <c r="X46" s="73">
        <v>475.5077631</v>
      </c>
      <c r="Y46" s="73">
        <v>6826.26</v>
      </c>
      <c r="Z46" s="73">
        <v>3.651682076E7</v>
      </c>
      <c r="AA46" s="16">
        <f t="shared" si="2"/>
        <v>36516820.76</v>
      </c>
      <c r="AB46" s="16">
        <f t="shared" si="3"/>
        <v>-0.001936174929</v>
      </c>
      <c r="AC46" s="16"/>
      <c r="AD46" s="32" t="s">
        <v>32</v>
      </c>
      <c r="AE46" s="32" t="s">
        <v>38</v>
      </c>
      <c r="AF46" s="32" t="s">
        <v>33</v>
      </c>
      <c r="AG46" s="33">
        <v>1.0</v>
      </c>
      <c r="AH46" s="33">
        <v>176.4669161</v>
      </c>
      <c r="AI46" s="33">
        <v>1346.84</v>
      </c>
      <c r="AJ46" s="33">
        <v>3565090.519</v>
      </c>
      <c r="AK46" s="33">
        <f t="shared" si="4"/>
        <v>3565090.519</v>
      </c>
      <c r="AL46" s="33">
        <f t="shared" si="6"/>
        <v>0.0002018595114</v>
      </c>
      <c r="AM46" s="33" t="s">
        <v>38</v>
      </c>
      <c r="AN46" s="33" t="s">
        <v>37</v>
      </c>
      <c r="AO46" s="33">
        <v>0.0</v>
      </c>
    </row>
    <row r="47">
      <c r="A47" s="89"/>
      <c r="B47" s="89"/>
      <c r="C47" s="89"/>
      <c r="D47" s="63" t="s">
        <v>32</v>
      </c>
      <c r="E47" s="63" t="s">
        <v>33</v>
      </c>
      <c r="F47" s="59">
        <v>7897.68</v>
      </c>
      <c r="G47" s="16"/>
      <c r="H47" s="73" t="s">
        <v>32</v>
      </c>
      <c r="I47" s="73" t="s">
        <v>33</v>
      </c>
      <c r="J47" s="73" t="s">
        <v>33</v>
      </c>
      <c r="K47" s="73">
        <v>1.0</v>
      </c>
      <c r="L47" s="73">
        <v>525.4495222</v>
      </c>
      <c r="M47" s="73">
        <v>7897.68</v>
      </c>
      <c r="N47" s="73">
        <v>6.224748274E7</v>
      </c>
      <c r="O47" s="23">
        <f>IFERROR(__xludf.DUMMYFUNCTION("FILTER($F$11:$F$110, TRIM($D$11:$D$110) = TRIM(H47), TRIM($E$11:$E$110) = TRIM(I47))"),7897.68)</f>
        <v>7897.68</v>
      </c>
      <c r="P47" s="16">
        <f t="shared" si="1"/>
        <v>62247482.74</v>
      </c>
      <c r="Q47" s="16">
        <f t="shared" si="5"/>
        <v>-0.002672560513</v>
      </c>
      <c r="R47" s="16"/>
      <c r="S47" s="73" t="s">
        <v>35</v>
      </c>
      <c r="T47" s="73" t="s">
        <v>36</v>
      </c>
      <c r="U47" s="73" t="s">
        <v>35</v>
      </c>
      <c r="V47" s="73" t="s">
        <v>33</v>
      </c>
      <c r="W47" s="73">
        <v>1.0</v>
      </c>
      <c r="X47" s="73">
        <v>475.5077631</v>
      </c>
      <c r="Y47" s="73">
        <v>12802.76</v>
      </c>
      <c r="Z47" s="73">
        <v>6.848788241E7</v>
      </c>
      <c r="AA47" s="16">
        <f t="shared" si="2"/>
        <v>68487882.4</v>
      </c>
      <c r="AB47" s="16">
        <f t="shared" si="3"/>
        <v>-0.007555738091</v>
      </c>
      <c r="AC47" s="16"/>
      <c r="AD47" s="32" t="s">
        <v>32</v>
      </c>
      <c r="AE47" s="32" t="s">
        <v>33</v>
      </c>
      <c r="AF47" s="32" t="s">
        <v>33</v>
      </c>
      <c r="AG47" s="33">
        <v>1.0</v>
      </c>
      <c r="AH47" s="33">
        <v>0.0</v>
      </c>
      <c r="AI47" s="33">
        <v>7897.68</v>
      </c>
      <c r="AJ47" s="33">
        <v>0.0</v>
      </c>
      <c r="AK47" s="33">
        <f t="shared" si="4"/>
        <v>0</v>
      </c>
      <c r="AL47" s="33">
        <f t="shared" si="6"/>
        <v>0</v>
      </c>
      <c r="AM47" s="33" t="s">
        <v>33</v>
      </c>
      <c r="AN47" s="33" t="s">
        <v>39</v>
      </c>
      <c r="AO47" s="33">
        <v>0.0</v>
      </c>
    </row>
    <row r="48">
      <c r="A48" s="89"/>
      <c r="B48" s="89"/>
      <c r="C48" s="89"/>
      <c r="D48" s="63" t="s">
        <v>32</v>
      </c>
      <c r="E48" s="63" t="s">
        <v>39</v>
      </c>
      <c r="F48" s="59">
        <v>3023.8</v>
      </c>
      <c r="G48" s="16"/>
      <c r="H48" s="73" t="s">
        <v>32</v>
      </c>
      <c r="I48" s="73" t="s">
        <v>39</v>
      </c>
      <c r="J48" s="73" t="s">
        <v>33</v>
      </c>
      <c r="K48" s="73">
        <v>1.0</v>
      </c>
      <c r="L48" s="73">
        <v>525.4495222</v>
      </c>
      <c r="M48" s="73">
        <v>3023.8</v>
      </c>
      <c r="N48" s="73">
        <v>2.383281398E7</v>
      </c>
      <c r="O48" s="23">
        <f>IFERROR(__xludf.DUMMYFUNCTION("FILTER($F$11:$F$110, TRIM($D$11:$D$110) = TRIM(H48), TRIM($E$11:$E$110) = TRIM(I48))"),3023.8)</f>
        <v>3023.8</v>
      </c>
      <c r="P48" s="16">
        <f t="shared" si="1"/>
        <v>23832813.98</v>
      </c>
      <c r="Q48" s="16">
        <f t="shared" si="5"/>
        <v>-0.001574598253</v>
      </c>
      <c r="R48" s="16"/>
      <c r="S48" s="73" t="s">
        <v>35</v>
      </c>
      <c r="T48" s="73" t="s">
        <v>32</v>
      </c>
      <c r="U48" s="73" t="s">
        <v>35</v>
      </c>
      <c r="V48" s="73" t="s">
        <v>33</v>
      </c>
      <c r="W48" s="73">
        <v>1.0</v>
      </c>
      <c r="X48" s="73">
        <v>475.5077631</v>
      </c>
      <c r="Y48" s="73">
        <v>72304.0</v>
      </c>
      <c r="Z48" s="73">
        <v>3.867875247E8</v>
      </c>
      <c r="AA48" s="16">
        <f t="shared" si="2"/>
        <v>386787524.7</v>
      </c>
      <c r="AB48" s="16">
        <f t="shared" si="3"/>
        <v>-0.03919798136</v>
      </c>
      <c r="AC48" s="16"/>
      <c r="AD48" s="32" t="s">
        <v>32</v>
      </c>
      <c r="AE48" s="32" t="s">
        <v>39</v>
      </c>
      <c r="AF48" s="32" t="s">
        <v>33</v>
      </c>
      <c r="AG48" s="33">
        <v>1.0</v>
      </c>
      <c r="AH48" s="33">
        <v>356.1662487</v>
      </c>
      <c r="AI48" s="33">
        <v>3023.8</v>
      </c>
      <c r="AJ48" s="33">
        <v>1.615463254E7</v>
      </c>
      <c r="AK48" s="33">
        <f t="shared" si="4"/>
        <v>16154632.54</v>
      </c>
      <c r="AL48" s="33">
        <f t="shared" si="6"/>
        <v>0.002285899594</v>
      </c>
      <c r="AM48" s="33" t="s">
        <v>33</v>
      </c>
      <c r="AN48" s="33" t="s">
        <v>35</v>
      </c>
      <c r="AO48" s="33">
        <v>1.0</v>
      </c>
    </row>
    <row r="49">
      <c r="A49" s="89"/>
      <c r="B49" s="89"/>
      <c r="C49" s="89"/>
      <c r="D49" s="63" t="s">
        <v>32</v>
      </c>
      <c r="E49" s="63" t="s">
        <v>35</v>
      </c>
      <c r="F49" s="59">
        <v>15699.2</v>
      </c>
      <c r="G49" s="16"/>
      <c r="H49" s="73" t="s">
        <v>32</v>
      </c>
      <c r="I49" s="73" t="s">
        <v>35</v>
      </c>
      <c r="J49" s="73" t="s">
        <v>33</v>
      </c>
      <c r="K49" s="73">
        <v>1.0</v>
      </c>
      <c r="L49" s="73">
        <v>525.4495222</v>
      </c>
      <c r="M49" s="73">
        <v>15699.2</v>
      </c>
      <c r="N49" s="73">
        <v>1.237370571E8</v>
      </c>
      <c r="O49" s="23">
        <f>IFERROR(__xludf.DUMMYFUNCTION("FILTER($F$11:$F$110, TRIM($D$11:$D$110) = TRIM(H49), TRIM($E$11:$E$110) = TRIM(I49))"),15699.2)</f>
        <v>15699.2</v>
      </c>
      <c r="P49" s="16">
        <f t="shared" si="1"/>
        <v>123737057.1</v>
      </c>
      <c r="Q49" s="16">
        <f t="shared" si="5"/>
        <v>-0.01616638899</v>
      </c>
      <c r="R49" s="16"/>
      <c r="S49" s="73" t="s">
        <v>35</v>
      </c>
      <c r="T49" s="73" t="s">
        <v>38</v>
      </c>
      <c r="U49" s="73" t="s">
        <v>35</v>
      </c>
      <c r="V49" s="73" t="s">
        <v>33</v>
      </c>
      <c r="W49" s="73">
        <v>1.0</v>
      </c>
      <c r="X49" s="73">
        <v>475.5077631</v>
      </c>
      <c r="Y49" s="73">
        <v>34996.76</v>
      </c>
      <c r="Z49" s="73">
        <v>1.872138495E8</v>
      </c>
      <c r="AA49" s="16">
        <f t="shared" si="2"/>
        <v>187213849.5</v>
      </c>
      <c r="AB49" s="16">
        <f t="shared" si="3"/>
        <v>-0.03733998537</v>
      </c>
      <c r="AC49" s="16"/>
      <c r="AD49" s="32" t="s">
        <v>32</v>
      </c>
      <c r="AE49" s="32" t="s">
        <v>35</v>
      </c>
      <c r="AF49" s="32" t="s">
        <v>35</v>
      </c>
      <c r="AG49" s="33">
        <v>1.0</v>
      </c>
      <c r="AH49" s="33">
        <v>0.0</v>
      </c>
      <c r="AI49" s="33">
        <v>15699.2</v>
      </c>
      <c r="AJ49" s="33">
        <v>0.0</v>
      </c>
      <c r="AK49" s="33">
        <f t="shared" si="4"/>
        <v>0</v>
      </c>
      <c r="AL49" s="33">
        <f t="shared" si="6"/>
        <v>0</v>
      </c>
      <c r="AM49" s="33" t="s">
        <v>33</v>
      </c>
      <c r="AN49" s="33" t="s">
        <v>40</v>
      </c>
      <c r="AO49" s="33">
        <v>0.0</v>
      </c>
    </row>
    <row r="50">
      <c r="A50" s="89"/>
      <c r="B50" s="89"/>
      <c r="C50" s="89"/>
      <c r="D50" s="63" t="s">
        <v>32</v>
      </c>
      <c r="E50" s="63" t="s">
        <v>40</v>
      </c>
      <c r="F50" s="59">
        <v>2504.17</v>
      </c>
      <c r="G50" s="16"/>
      <c r="H50" s="73" t="s">
        <v>32</v>
      </c>
      <c r="I50" s="73" t="s">
        <v>40</v>
      </c>
      <c r="J50" s="73" t="s">
        <v>33</v>
      </c>
      <c r="K50" s="73">
        <v>1.0</v>
      </c>
      <c r="L50" s="73">
        <v>525.4495222</v>
      </c>
      <c r="M50" s="73">
        <v>2504.17</v>
      </c>
      <c r="N50" s="73">
        <v>1.973722395E7</v>
      </c>
      <c r="O50" s="23">
        <f>IFERROR(__xludf.DUMMYFUNCTION("FILTER($F$11:$F$110, TRIM($D$11:$D$110) = TRIM(H50), TRIM($E$11:$E$110) = TRIM(I50))"),2504.17)</f>
        <v>2504.17</v>
      </c>
      <c r="P50" s="16">
        <f t="shared" si="1"/>
        <v>19737223.95</v>
      </c>
      <c r="Q50" s="16">
        <f t="shared" si="5"/>
        <v>0.0001136101782</v>
      </c>
      <c r="R50" s="16"/>
      <c r="S50" s="73" t="s">
        <v>35</v>
      </c>
      <c r="T50" s="73" t="s">
        <v>33</v>
      </c>
      <c r="U50" s="73" t="s">
        <v>35</v>
      </c>
      <c r="V50" s="73" t="s">
        <v>33</v>
      </c>
      <c r="W50" s="73">
        <v>1.0</v>
      </c>
      <c r="X50" s="73">
        <v>475.5077631</v>
      </c>
      <c r="Y50" s="73">
        <v>121568.92</v>
      </c>
      <c r="Z50" s="73">
        <v>6.503283587E8</v>
      </c>
      <c r="AA50" s="16">
        <f t="shared" si="2"/>
        <v>650328358.6</v>
      </c>
      <c r="AB50" s="16">
        <f t="shared" si="3"/>
        <v>-0.06856799126</v>
      </c>
      <c r="AC50" s="16"/>
      <c r="AD50" s="32" t="s">
        <v>32</v>
      </c>
      <c r="AE50" s="32" t="s">
        <v>40</v>
      </c>
      <c r="AF50" s="32" t="s">
        <v>35</v>
      </c>
      <c r="AG50" s="33">
        <v>1.0</v>
      </c>
      <c r="AH50" s="33">
        <v>403.0102135</v>
      </c>
      <c r="AI50" s="33">
        <v>2504.17</v>
      </c>
      <c r="AJ50" s="33">
        <v>1.51380913E7</v>
      </c>
      <c r="AK50" s="33">
        <f t="shared" si="4"/>
        <v>15138091.3</v>
      </c>
      <c r="AL50" s="33">
        <f t="shared" si="6"/>
        <v>-0.004895573482</v>
      </c>
      <c r="AM50" s="33" t="s">
        <v>33</v>
      </c>
      <c r="AN50" s="33" t="s">
        <v>37</v>
      </c>
      <c r="AO50" s="33">
        <v>0.0</v>
      </c>
    </row>
    <row r="51">
      <c r="A51" s="89"/>
      <c r="B51" s="89"/>
      <c r="C51" s="89"/>
      <c r="D51" s="63" t="s">
        <v>32</v>
      </c>
      <c r="E51" s="63" t="s">
        <v>37</v>
      </c>
      <c r="F51" s="59">
        <v>12387.4</v>
      </c>
      <c r="G51" s="16"/>
      <c r="H51" s="73" t="s">
        <v>32</v>
      </c>
      <c r="I51" s="73" t="s">
        <v>37</v>
      </c>
      <c r="J51" s="73" t="s">
        <v>33</v>
      </c>
      <c r="K51" s="73">
        <v>1.0</v>
      </c>
      <c r="L51" s="73">
        <v>525.4495222</v>
      </c>
      <c r="M51" s="73">
        <v>12387.4</v>
      </c>
      <c r="N51" s="73">
        <v>9.763430117E7</v>
      </c>
      <c r="O51" s="23">
        <f>IFERROR(__xludf.DUMMYFUNCTION("FILTER($F$11:$F$110, TRIM($D$11:$D$110) = TRIM(H51), TRIM($E$11:$E$110) = TRIM(I51))"),12387.4)</f>
        <v>12387.4</v>
      </c>
      <c r="P51" s="16">
        <f t="shared" si="1"/>
        <v>97634301.17</v>
      </c>
      <c r="Q51" s="16">
        <f t="shared" si="5"/>
        <v>-0.0004958063364</v>
      </c>
      <c r="R51" s="16"/>
      <c r="S51" s="73" t="s">
        <v>35</v>
      </c>
      <c r="T51" s="73" t="s">
        <v>37</v>
      </c>
      <c r="U51" s="73" t="s">
        <v>35</v>
      </c>
      <c r="V51" s="73" t="s">
        <v>37</v>
      </c>
      <c r="W51" s="73">
        <v>1.0</v>
      </c>
      <c r="X51" s="73">
        <v>658.2451157</v>
      </c>
      <c r="Y51" s="73">
        <v>101245.44</v>
      </c>
      <c r="Z51" s="73">
        <v>7.497485592E8</v>
      </c>
      <c r="AA51" s="16">
        <f t="shared" si="2"/>
        <v>749748559.1</v>
      </c>
      <c r="AB51" s="16">
        <f t="shared" si="3"/>
        <v>-0.07240414619</v>
      </c>
      <c r="AC51" s="16"/>
      <c r="AD51" s="32" t="s">
        <v>32</v>
      </c>
      <c r="AE51" s="32" t="s">
        <v>37</v>
      </c>
      <c r="AF51" s="32" t="s">
        <v>37</v>
      </c>
      <c r="AG51" s="33">
        <v>1.0</v>
      </c>
      <c r="AH51" s="33">
        <v>0.0</v>
      </c>
      <c r="AI51" s="33">
        <v>12387.4</v>
      </c>
      <c r="AJ51" s="33">
        <v>0.0</v>
      </c>
      <c r="AK51" s="33">
        <f t="shared" si="4"/>
        <v>0</v>
      </c>
      <c r="AL51" s="33">
        <f t="shared" si="6"/>
        <v>0</v>
      </c>
      <c r="AM51" s="33" t="s">
        <v>39</v>
      </c>
      <c r="AN51" s="33" t="s">
        <v>35</v>
      </c>
      <c r="AO51" s="33">
        <v>0.0</v>
      </c>
    </row>
    <row r="52">
      <c r="A52" s="90"/>
      <c r="B52" s="90"/>
      <c r="C52" s="90"/>
      <c r="D52" s="64" t="s">
        <v>38</v>
      </c>
      <c r="E52" s="64" t="s">
        <v>31</v>
      </c>
      <c r="F52" s="59">
        <v>1916.56</v>
      </c>
      <c r="G52" s="16"/>
      <c r="H52" s="73" t="s">
        <v>38</v>
      </c>
      <c r="I52" s="73" t="s">
        <v>31</v>
      </c>
      <c r="J52" s="73" t="s">
        <v>31</v>
      </c>
      <c r="K52" s="73">
        <v>1.0</v>
      </c>
      <c r="L52" s="73">
        <v>1187.826192</v>
      </c>
      <c r="M52" s="73">
        <v>1916.56</v>
      </c>
      <c r="N52" s="73">
        <v>3.414810251E7</v>
      </c>
      <c r="O52" s="23">
        <f>IFERROR(__xludf.DUMMYFUNCTION("FILTER($F$11:$F$110, TRIM($D$11:$D$110) = TRIM(H52), TRIM($E$11:$E$110) = TRIM(I52))"),1916.56)</f>
        <v>1916.56</v>
      </c>
      <c r="P52" s="16">
        <f t="shared" si="1"/>
        <v>34148102.5</v>
      </c>
      <c r="Q52" s="16">
        <f t="shared" si="5"/>
        <v>-0.01190719754</v>
      </c>
      <c r="R52" s="16"/>
      <c r="S52" s="18" t="s">
        <v>40</v>
      </c>
      <c r="T52" s="18" t="s">
        <v>31</v>
      </c>
      <c r="U52" s="18" t="s">
        <v>33</v>
      </c>
      <c r="V52" s="18" t="s">
        <v>31</v>
      </c>
      <c r="W52" s="18">
        <v>1.0</v>
      </c>
      <c r="X52" s="18">
        <v>1362.65047</v>
      </c>
      <c r="Y52" s="18">
        <v>535.69</v>
      </c>
      <c r="Z52" s="18">
        <v>8212030.09</v>
      </c>
      <c r="AA52" s="16">
        <f t="shared" si="2"/>
        <v>8212030.091</v>
      </c>
      <c r="AB52" s="16">
        <f t="shared" si="3"/>
        <v>0.0005858764052</v>
      </c>
      <c r="AC52" s="16"/>
      <c r="AD52" s="32" t="s">
        <v>38</v>
      </c>
      <c r="AE52" s="32" t="s">
        <v>31</v>
      </c>
      <c r="AF52" s="32" t="s">
        <v>31</v>
      </c>
      <c r="AG52" s="33">
        <v>1.0</v>
      </c>
      <c r="AH52" s="33">
        <v>0.0</v>
      </c>
      <c r="AI52" s="33">
        <v>1916.56</v>
      </c>
      <c r="AJ52" s="33">
        <v>0.0</v>
      </c>
      <c r="AK52" s="33">
        <f t="shared" si="4"/>
        <v>0</v>
      </c>
      <c r="AL52" s="33">
        <f t="shared" si="6"/>
        <v>0</v>
      </c>
      <c r="AM52" s="33" t="s">
        <v>39</v>
      </c>
      <c r="AN52" s="33" t="s">
        <v>40</v>
      </c>
      <c r="AO52" s="33">
        <v>0.0</v>
      </c>
    </row>
    <row r="53">
      <c r="A53" s="90"/>
      <c r="B53" s="90"/>
      <c r="C53" s="90"/>
      <c r="D53" s="64" t="s">
        <v>38</v>
      </c>
      <c r="E53" s="64" t="s">
        <v>34</v>
      </c>
      <c r="F53" s="61">
        <v>453.68</v>
      </c>
      <c r="G53" s="16"/>
      <c r="H53" s="73" t="s">
        <v>38</v>
      </c>
      <c r="I53" s="73" t="s">
        <v>34</v>
      </c>
      <c r="J53" s="73" t="s">
        <v>33</v>
      </c>
      <c r="K53" s="73">
        <v>1.0</v>
      </c>
      <c r="L53" s="73">
        <v>176.4669161</v>
      </c>
      <c r="M53" s="73">
        <v>453.68</v>
      </c>
      <c r="N53" s="73">
        <v>1200892.657</v>
      </c>
      <c r="O53" s="87">
        <f>IFERROR(__xludf.DUMMYFUNCTION("FILTER($F$11:$F$110, TRIM($D$11:$D$110) = TRIM(H53), TRIM($E$11:$E$110) = TRIM(I53))"),453.68)</f>
        <v>453.68</v>
      </c>
      <c r="P53" s="16">
        <f t="shared" si="1"/>
        <v>1200892.657</v>
      </c>
      <c r="Q53" s="16">
        <f t="shared" si="5"/>
        <v>0.0004437200259</v>
      </c>
      <c r="R53" s="16"/>
      <c r="S53" s="18" t="s">
        <v>40</v>
      </c>
      <c r="T53" s="18" t="s">
        <v>31</v>
      </c>
      <c r="U53" s="18" t="s">
        <v>35</v>
      </c>
      <c r="V53" s="18" t="s">
        <v>33</v>
      </c>
      <c r="W53" s="18">
        <v>1.0</v>
      </c>
      <c r="X53" s="18">
        <v>475.5077631</v>
      </c>
      <c r="Y53" s="18">
        <v>535.69</v>
      </c>
      <c r="Z53" s="18">
        <v>2865653.478</v>
      </c>
      <c r="AA53" s="16">
        <f t="shared" si="2"/>
        <v>2865653.478</v>
      </c>
      <c r="AB53" s="16">
        <f t="shared" si="3"/>
        <v>0.0001691891812</v>
      </c>
      <c r="AC53" s="16"/>
      <c r="AD53" s="32" t="s">
        <v>38</v>
      </c>
      <c r="AE53" s="32" t="s">
        <v>34</v>
      </c>
      <c r="AF53" s="32" t="s">
        <v>33</v>
      </c>
      <c r="AG53" s="33">
        <v>1.0</v>
      </c>
      <c r="AH53" s="33">
        <v>966.6814589</v>
      </c>
      <c r="AI53" s="33">
        <v>453.68</v>
      </c>
      <c r="AJ53" s="33">
        <v>6578460.664</v>
      </c>
      <c r="AK53" s="33">
        <f t="shared" si="4"/>
        <v>6578460.664</v>
      </c>
      <c r="AL53" s="33">
        <f t="shared" si="6"/>
        <v>0.0001062806696</v>
      </c>
      <c r="AM53" s="33" t="s">
        <v>39</v>
      </c>
      <c r="AN53" s="33" t="s">
        <v>37</v>
      </c>
      <c r="AO53" s="33">
        <v>0.0</v>
      </c>
    </row>
    <row r="54">
      <c r="A54" s="90"/>
      <c r="B54" s="90"/>
      <c r="C54" s="90"/>
      <c r="D54" s="64" t="s">
        <v>38</v>
      </c>
      <c r="E54" s="64" t="s">
        <v>36</v>
      </c>
      <c r="F54" s="61">
        <v>821.08</v>
      </c>
      <c r="G54" s="16"/>
      <c r="H54" s="73" t="s">
        <v>38</v>
      </c>
      <c r="I54" s="73" t="s">
        <v>36</v>
      </c>
      <c r="J54" s="73" t="s">
        <v>33</v>
      </c>
      <c r="K54" s="73">
        <v>1.0</v>
      </c>
      <c r="L54" s="73">
        <v>176.4669161</v>
      </c>
      <c r="M54" s="73">
        <v>821.08</v>
      </c>
      <c r="N54" s="73">
        <v>2173401.832</v>
      </c>
      <c r="O54" s="87">
        <f>IFERROR(__xludf.DUMMYFUNCTION("FILTER($F$11:$F$110, TRIM($D$11:$D$110) = TRIM(H54), TRIM($E$11:$E$110) = TRIM(I54))"),821.08)</f>
        <v>821.08</v>
      </c>
      <c r="P54" s="16">
        <f t="shared" si="1"/>
        <v>2173401.832</v>
      </c>
      <c r="Q54" s="16">
        <f t="shared" si="5"/>
        <v>0.00007082009688</v>
      </c>
      <c r="R54" s="16"/>
      <c r="S54" s="18" t="s">
        <v>40</v>
      </c>
      <c r="T54" s="18" t="s">
        <v>34</v>
      </c>
      <c r="U54" s="18" t="s">
        <v>35</v>
      </c>
      <c r="V54" s="18" t="s">
        <v>33</v>
      </c>
      <c r="W54" s="18">
        <v>1.0</v>
      </c>
      <c r="X54" s="18">
        <v>475.5077631</v>
      </c>
      <c r="Y54" s="18">
        <v>1238.12</v>
      </c>
      <c r="Z54" s="18">
        <v>6623276.307</v>
      </c>
      <c r="AA54" s="16">
        <f t="shared" si="2"/>
        <v>6623276.306</v>
      </c>
      <c r="AB54" s="16">
        <f t="shared" si="3"/>
        <v>-0.0009445650503</v>
      </c>
      <c r="AC54" s="16"/>
      <c r="AD54" s="32" t="s">
        <v>38</v>
      </c>
      <c r="AE54" s="32" t="s">
        <v>36</v>
      </c>
      <c r="AF54" s="32" t="s">
        <v>33</v>
      </c>
      <c r="AG54" s="33">
        <v>1.0</v>
      </c>
      <c r="AH54" s="33">
        <v>397.4791528</v>
      </c>
      <c r="AI54" s="33">
        <v>821.08</v>
      </c>
      <c r="AJ54" s="33">
        <v>4895432.742</v>
      </c>
      <c r="AK54" s="33">
        <f t="shared" si="4"/>
        <v>4895432.742</v>
      </c>
      <c r="AL54" s="33">
        <f t="shared" si="6"/>
        <v>-0.0002846391872</v>
      </c>
      <c r="AM54" s="33" t="s">
        <v>35</v>
      </c>
      <c r="AN54" s="33" t="s">
        <v>40</v>
      </c>
      <c r="AO54" s="33">
        <v>0.0</v>
      </c>
    </row>
    <row r="55">
      <c r="A55" s="90"/>
      <c r="B55" s="90"/>
      <c r="C55" s="90"/>
      <c r="D55" s="64" t="s">
        <v>38</v>
      </c>
      <c r="E55" s="64" t="s">
        <v>32</v>
      </c>
      <c r="F55" s="59">
        <v>3869.6</v>
      </c>
      <c r="G55" s="16"/>
      <c r="H55" s="73" t="s">
        <v>38</v>
      </c>
      <c r="I55" s="73" t="s">
        <v>32</v>
      </c>
      <c r="J55" s="73" t="s">
        <v>33</v>
      </c>
      <c r="K55" s="73">
        <v>1.0</v>
      </c>
      <c r="L55" s="73">
        <v>176.4669161</v>
      </c>
      <c r="M55" s="73">
        <v>3869.6</v>
      </c>
      <c r="N55" s="73">
        <v>1.024284568E7</v>
      </c>
      <c r="O55" s="23">
        <f>IFERROR(__xludf.DUMMYFUNCTION("FILTER($F$11:$F$110, TRIM($D$11:$D$110) = TRIM(H55), TRIM($E$11:$E$110) = TRIM(I55))"),3869.6)</f>
        <v>3869.6</v>
      </c>
      <c r="P55" s="16">
        <f t="shared" si="1"/>
        <v>10242845.68</v>
      </c>
      <c r="Q55" s="16">
        <f t="shared" si="5"/>
        <v>-0.001891601831</v>
      </c>
      <c r="R55" s="16"/>
      <c r="S55" s="18" t="s">
        <v>40</v>
      </c>
      <c r="T55" s="18" t="s">
        <v>36</v>
      </c>
      <c r="U55" s="18" t="s">
        <v>35</v>
      </c>
      <c r="V55" s="18" t="s">
        <v>33</v>
      </c>
      <c r="W55" s="18">
        <v>1.0</v>
      </c>
      <c r="X55" s="18">
        <v>475.5077631</v>
      </c>
      <c r="Y55" s="18">
        <v>540.3</v>
      </c>
      <c r="Z55" s="18">
        <v>2890314.5</v>
      </c>
      <c r="AA55" s="16">
        <f t="shared" si="2"/>
        <v>2890314.5</v>
      </c>
      <c r="AB55" s="16">
        <f t="shared" si="3"/>
        <v>-0.0004670377821</v>
      </c>
      <c r="AC55" s="16"/>
      <c r="AD55" s="32" t="s">
        <v>38</v>
      </c>
      <c r="AE55" s="32" t="s">
        <v>32</v>
      </c>
      <c r="AF55" s="32" t="s">
        <v>33</v>
      </c>
      <c r="AG55" s="33">
        <v>1.0</v>
      </c>
      <c r="AH55" s="33">
        <v>525.4495222</v>
      </c>
      <c r="AI55" s="33">
        <v>3869.6</v>
      </c>
      <c r="AJ55" s="33">
        <v>3.049919207E7</v>
      </c>
      <c r="AK55" s="33">
        <f t="shared" si="4"/>
        <v>30499192.07</v>
      </c>
      <c r="AL55" s="33">
        <f t="shared" si="6"/>
        <v>-0.003423199058</v>
      </c>
      <c r="AM55" s="33" t="s">
        <v>35</v>
      </c>
      <c r="AN55" s="33" t="s">
        <v>37</v>
      </c>
      <c r="AO55" s="33">
        <v>1.0</v>
      </c>
    </row>
    <row r="56">
      <c r="A56" s="90"/>
      <c r="B56" s="90"/>
      <c r="C56" s="90"/>
      <c r="D56" s="64" t="s">
        <v>38</v>
      </c>
      <c r="E56" s="64" t="s">
        <v>38</v>
      </c>
      <c r="F56" s="53">
        <v>0.0</v>
      </c>
      <c r="G56" s="16"/>
      <c r="H56" s="73" t="s">
        <v>38</v>
      </c>
      <c r="I56" s="73" t="s">
        <v>38</v>
      </c>
      <c r="J56" s="73" t="s">
        <v>31</v>
      </c>
      <c r="K56" s="73">
        <v>1.0</v>
      </c>
      <c r="L56" s="73">
        <v>1187.826192</v>
      </c>
      <c r="M56" s="73">
        <v>0.0</v>
      </c>
      <c r="N56" s="73">
        <v>0.0</v>
      </c>
      <c r="O56" s="23">
        <f>IFERROR(__xludf.DUMMYFUNCTION("FILTER($F$11:$F$110, TRIM($D$11:$D$110) = TRIM(H56), TRIM($E$11:$E$110) = TRIM(I56))"),0.0)</f>
        <v>0</v>
      </c>
      <c r="P56" s="16">
        <f t="shared" si="1"/>
        <v>0</v>
      </c>
      <c r="Q56" s="16">
        <f t="shared" si="5"/>
        <v>0</v>
      </c>
      <c r="R56" s="16"/>
      <c r="S56" s="18" t="s">
        <v>40</v>
      </c>
      <c r="T56" s="18" t="s">
        <v>32</v>
      </c>
      <c r="U56" s="18" t="s">
        <v>35</v>
      </c>
      <c r="V56" s="18" t="s">
        <v>33</v>
      </c>
      <c r="W56" s="18">
        <v>1.0</v>
      </c>
      <c r="X56" s="18">
        <v>475.5077631</v>
      </c>
      <c r="Y56" s="18">
        <v>1578.11</v>
      </c>
      <c r="Z56" s="18">
        <v>8442040.006</v>
      </c>
      <c r="AA56" s="16">
        <f t="shared" si="2"/>
        <v>8442040.005</v>
      </c>
      <c r="AB56" s="16">
        <f t="shared" si="3"/>
        <v>-0.0007104128599</v>
      </c>
      <c r="AC56" s="16"/>
      <c r="AD56" s="32" t="s">
        <v>38</v>
      </c>
      <c r="AE56" s="32" t="s">
        <v>38</v>
      </c>
      <c r="AF56" s="32" t="s">
        <v>31</v>
      </c>
      <c r="AG56" s="33">
        <v>1.0</v>
      </c>
      <c r="AH56" s="33">
        <v>1187.826192</v>
      </c>
      <c r="AI56" s="33">
        <v>0.0</v>
      </c>
      <c r="AJ56" s="33">
        <v>0.0</v>
      </c>
      <c r="AK56" s="33">
        <f t="shared" si="4"/>
        <v>0</v>
      </c>
      <c r="AL56" s="33">
        <f t="shared" si="6"/>
        <v>0</v>
      </c>
      <c r="AM56" s="33" t="s">
        <v>40</v>
      </c>
      <c r="AN56" s="33" t="s">
        <v>37</v>
      </c>
      <c r="AO56" s="33">
        <v>0.0</v>
      </c>
    </row>
    <row r="57">
      <c r="A57" s="90"/>
      <c r="B57" s="90"/>
      <c r="C57" s="90"/>
      <c r="D57" s="64" t="s">
        <v>38</v>
      </c>
      <c r="E57" s="64" t="s">
        <v>33</v>
      </c>
      <c r="F57" s="59">
        <v>5400.56</v>
      </c>
      <c r="G57" s="16"/>
      <c r="H57" s="73" t="s">
        <v>38</v>
      </c>
      <c r="I57" s="73" t="s">
        <v>33</v>
      </c>
      <c r="J57" s="73" t="s">
        <v>33</v>
      </c>
      <c r="K57" s="73">
        <v>1.0</v>
      </c>
      <c r="L57" s="73">
        <v>176.4669161</v>
      </c>
      <c r="M57" s="73">
        <v>5400.56</v>
      </c>
      <c r="N57" s="73">
        <v>1.429530252E7</v>
      </c>
      <c r="O57" s="23">
        <f>IFERROR(__xludf.DUMMYFUNCTION("FILTER($F$11:$F$110, TRIM($D$11:$D$110) = TRIM(H57), TRIM($E$11:$E$110) = TRIM(I57))"),5400.56)</f>
        <v>5400.56</v>
      </c>
      <c r="P57" s="16">
        <f t="shared" si="1"/>
        <v>14295302.53</v>
      </c>
      <c r="Q57" s="16">
        <f t="shared" si="5"/>
        <v>0.006195239723</v>
      </c>
      <c r="R57" s="16"/>
      <c r="S57" s="18" t="s">
        <v>40</v>
      </c>
      <c r="T57" s="18" t="s">
        <v>38</v>
      </c>
      <c r="U57" s="18" t="s">
        <v>35</v>
      </c>
      <c r="V57" s="18" t="s">
        <v>33</v>
      </c>
      <c r="W57" s="18">
        <v>1.0</v>
      </c>
      <c r="X57" s="18">
        <v>475.5077631</v>
      </c>
      <c r="Y57" s="18">
        <v>310.92</v>
      </c>
      <c r="Z57" s="18">
        <v>1663254.829</v>
      </c>
      <c r="AA57" s="16">
        <f t="shared" si="2"/>
        <v>1663254.829</v>
      </c>
      <c r="AB57" s="16">
        <f t="shared" si="3"/>
        <v>0.0001593353227</v>
      </c>
      <c r="AC57" s="16"/>
      <c r="AD57" s="32" t="s">
        <v>38</v>
      </c>
      <c r="AE57" s="32" t="s">
        <v>33</v>
      </c>
      <c r="AF57" s="32" t="s">
        <v>33</v>
      </c>
      <c r="AG57" s="33">
        <v>1.0</v>
      </c>
      <c r="AH57" s="33">
        <v>0.0</v>
      </c>
      <c r="AI57" s="33">
        <v>5400.56</v>
      </c>
      <c r="AJ57" s="33">
        <v>0.0</v>
      </c>
      <c r="AK57" s="33">
        <f t="shared" si="4"/>
        <v>0</v>
      </c>
      <c r="AL57" s="33">
        <f t="shared" si="6"/>
        <v>0</v>
      </c>
      <c r="AM57" s="33"/>
      <c r="AN57" s="33"/>
      <c r="AO57" s="33"/>
    </row>
    <row r="58">
      <c r="A58" s="90"/>
      <c r="B58" s="90"/>
      <c r="C58" s="90"/>
      <c r="D58" s="64" t="s">
        <v>38</v>
      </c>
      <c r="E58" s="64" t="s">
        <v>39</v>
      </c>
      <c r="F58" s="61">
        <v>977.52</v>
      </c>
      <c r="G58" s="16"/>
      <c r="H58" s="73" t="s">
        <v>38</v>
      </c>
      <c r="I58" s="73" t="s">
        <v>39</v>
      </c>
      <c r="J58" s="73" t="s">
        <v>33</v>
      </c>
      <c r="K58" s="73">
        <v>1.0</v>
      </c>
      <c r="L58" s="73">
        <v>176.4669161</v>
      </c>
      <c r="M58" s="73">
        <v>977.52</v>
      </c>
      <c r="N58" s="73">
        <v>2587499.097</v>
      </c>
      <c r="O58" s="87">
        <f>IFERROR(__xludf.DUMMYFUNCTION("FILTER($F$11:$F$110, TRIM($D$11:$D$110) = TRIM(H58), TRIM($E$11:$E$110) = TRIM(I58))"),977.52)</f>
        <v>977.52</v>
      </c>
      <c r="P58" s="16">
        <f t="shared" si="1"/>
        <v>2587499.097</v>
      </c>
      <c r="Q58" s="16">
        <f t="shared" si="5"/>
        <v>0.0003910795785</v>
      </c>
      <c r="R58" s="16"/>
      <c r="S58" s="18" t="s">
        <v>40</v>
      </c>
      <c r="T58" s="18" t="s">
        <v>33</v>
      </c>
      <c r="U58" s="18" t="s">
        <v>35</v>
      </c>
      <c r="V58" s="18" t="s">
        <v>33</v>
      </c>
      <c r="W58" s="18">
        <v>1.0</v>
      </c>
      <c r="X58" s="18">
        <v>475.5077631</v>
      </c>
      <c r="Y58" s="18">
        <v>2948.54</v>
      </c>
      <c r="Z58" s="18">
        <v>1.577310367E7</v>
      </c>
      <c r="AA58" s="16">
        <f t="shared" si="2"/>
        <v>15773103.67</v>
      </c>
      <c r="AB58" s="16">
        <f t="shared" si="3"/>
        <v>0.002872332931</v>
      </c>
      <c r="AC58" s="16"/>
      <c r="AD58" s="32" t="s">
        <v>38</v>
      </c>
      <c r="AE58" s="32" t="s">
        <v>39</v>
      </c>
      <c r="AF58" s="32" t="s">
        <v>33</v>
      </c>
      <c r="AG58" s="33">
        <v>1.0</v>
      </c>
      <c r="AH58" s="33">
        <v>356.1662487</v>
      </c>
      <c r="AI58" s="33">
        <v>977.52</v>
      </c>
      <c r="AJ58" s="33">
        <v>5222394.472</v>
      </c>
      <c r="AK58" s="33">
        <f t="shared" si="4"/>
        <v>5222394.471</v>
      </c>
      <c r="AL58" s="33">
        <f t="shared" si="6"/>
        <v>-0.0005616405979</v>
      </c>
      <c r="AM58" s="33"/>
      <c r="AN58" s="33"/>
      <c r="AO58" s="33"/>
    </row>
    <row r="59">
      <c r="A59" s="90"/>
      <c r="B59" s="90"/>
      <c r="C59" s="90"/>
      <c r="D59" s="64" t="s">
        <v>38</v>
      </c>
      <c r="E59" s="64" t="s">
        <v>35</v>
      </c>
      <c r="F59" s="59">
        <v>20364.36</v>
      </c>
      <c r="G59" s="16"/>
      <c r="H59" s="73" t="s">
        <v>38</v>
      </c>
      <c r="I59" s="73" t="s">
        <v>35</v>
      </c>
      <c r="J59" s="73" t="s">
        <v>33</v>
      </c>
      <c r="K59" s="73">
        <v>1.0</v>
      </c>
      <c r="L59" s="73">
        <v>176.4669161</v>
      </c>
      <c r="M59" s="73">
        <v>20364.36</v>
      </c>
      <c r="N59" s="73">
        <v>5.390453711E7</v>
      </c>
      <c r="O59" s="23">
        <f>IFERROR(__xludf.DUMMYFUNCTION("FILTER($F$11:$F$110, TRIM($D$11:$D$110) = TRIM(H59), TRIM($E$11:$E$110) = TRIM(I59))"),20364.36)</f>
        <v>20364.36</v>
      </c>
      <c r="P59" s="16">
        <f t="shared" si="1"/>
        <v>53904537.11</v>
      </c>
      <c r="Q59" s="16">
        <f t="shared" si="5"/>
        <v>0.00325293839</v>
      </c>
      <c r="R59" s="16"/>
      <c r="S59" s="18" t="s">
        <v>37</v>
      </c>
      <c r="T59" s="18" t="s">
        <v>31</v>
      </c>
      <c r="U59" s="18" t="s">
        <v>33</v>
      </c>
      <c r="V59" s="18" t="s">
        <v>31</v>
      </c>
      <c r="W59" s="18">
        <v>1.0</v>
      </c>
      <c r="X59" s="18">
        <v>1362.65047</v>
      </c>
      <c r="Y59" s="18">
        <v>29981.56</v>
      </c>
      <c r="Z59" s="18">
        <v>4.596118518E8</v>
      </c>
      <c r="AA59" s="16">
        <f t="shared" si="2"/>
        <v>459611851.8</v>
      </c>
      <c r="AB59" s="16">
        <f t="shared" si="3"/>
        <v>-0.01500147581</v>
      </c>
      <c r="AC59" s="16"/>
      <c r="AD59" s="32" t="s">
        <v>38</v>
      </c>
      <c r="AE59" s="32" t="s">
        <v>35</v>
      </c>
      <c r="AF59" s="32" t="s">
        <v>35</v>
      </c>
      <c r="AG59" s="33">
        <v>1.0</v>
      </c>
      <c r="AH59" s="33">
        <v>0.0</v>
      </c>
      <c r="AI59" s="33">
        <v>20364.36</v>
      </c>
      <c r="AJ59" s="33">
        <v>0.0</v>
      </c>
      <c r="AK59" s="33">
        <f t="shared" si="4"/>
        <v>0</v>
      </c>
      <c r="AL59" s="33">
        <f t="shared" si="6"/>
        <v>0</v>
      </c>
      <c r="AM59" s="33"/>
      <c r="AN59" s="33"/>
      <c r="AO59" s="33"/>
    </row>
    <row r="60">
      <c r="A60" s="90"/>
      <c r="B60" s="90"/>
      <c r="C60" s="90"/>
      <c r="D60" s="64" t="s">
        <v>38</v>
      </c>
      <c r="E60" s="64" t="s">
        <v>40</v>
      </c>
      <c r="F60" s="59">
        <v>1191.2</v>
      </c>
      <c r="G60" s="16"/>
      <c r="H60" s="73" t="s">
        <v>38</v>
      </c>
      <c r="I60" s="73" t="s">
        <v>40</v>
      </c>
      <c r="J60" s="73" t="s">
        <v>33</v>
      </c>
      <c r="K60" s="73">
        <v>1.0</v>
      </c>
      <c r="L60" s="73">
        <v>176.4669161</v>
      </c>
      <c r="M60" s="73">
        <v>1191.2</v>
      </c>
      <c r="N60" s="73">
        <v>3153110.856</v>
      </c>
      <c r="O60" s="23">
        <f>IFERROR(__xludf.DUMMYFUNCTION("FILTER($F$11:$F$110, TRIM($D$11:$D$110) = TRIM(H60), TRIM($E$11:$E$110) = TRIM(I60))"),1191.2)</f>
        <v>1191.2</v>
      </c>
      <c r="P60" s="16">
        <f t="shared" si="1"/>
        <v>3153110.857</v>
      </c>
      <c r="Q60" s="16">
        <f t="shared" si="5"/>
        <v>0.0008747996762</v>
      </c>
      <c r="R60" s="16"/>
      <c r="S60" s="18" t="s">
        <v>37</v>
      </c>
      <c r="T60" s="18" t="s">
        <v>31</v>
      </c>
      <c r="U60" s="18" t="s">
        <v>35</v>
      </c>
      <c r="V60" s="18" t="s">
        <v>33</v>
      </c>
      <c r="W60" s="18">
        <v>1.0</v>
      </c>
      <c r="X60" s="18">
        <v>475.5077631</v>
      </c>
      <c r="Y60" s="18">
        <v>29981.56</v>
      </c>
      <c r="Z60" s="18">
        <v>1.60385226E8</v>
      </c>
      <c r="AA60" s="16">
        <f t="shared" si="2"/>
        <v>160385226</v>
      </c>
      <c r="AB60" s="16">
        <f t="shared" si="3"/>
        <v>-0.03920507431</v>
      </c>
      <c r="AC60" s="16"/>
      <c r="AD60" s="32" t="s">
        <v>38</v>
      </c>
      <c r="AE60" s="32" t="s">
        <v>40</v>
      </c>
      <c r="AF60" s="32" t="s">
        <v>35</v>
      </c>
      <c r="AG60" s="33">
        <v>1.0</v>
      </c>
      <c r="AH60" s="33">
        <v>403.0102135</v>
      </c>
      <c r="AI60" s="33">
        <v>1191.2</v>
      </c>
      <c r="AJ60" s="33">
        <v>7200986.495</v>
      </c>
      <c r="AK60" s="33">
        <f t="shared" si="4"/>
        <v>7200986.495</v>
      </c>
      <c r="AL60" s="33">
        <f t="shared" si="6"/>
        <v>-0.0001819990575</v>
      </c>
      <c r="AM60" s="33"/>
      <c r="AN60" s="33"/>
      <c r="AO60" s="33"/>
    </row>
    <row r="61">
      <c r="A61" s="90"/>
      <c r="B61" s="90"/>
      <c r="C61" s="90"/>
      <c r="D61" s="64" t="s">
        <v>38</v>
      </c>
      <c r="E61" s="64" t="s">
        <v>37</v>
      </c>
      <c r="F61" s="59">
        <v>5911.52</v>
      </c>
      <c r="G61" s="16"/>
      <c r="H61" s="73" t="s">
        <v>38</v>
      </c>
      <c r="I61" s="73" t="s">
        <v>37</v>
      </c>
      <c r="J61" s="73" t="s">
        <v>33</v>
      </c>
      <c r="K61" s="73">
        <v>1.0</v>
      </c>
      <c r="L61" s="73">
        <v>176.4669161</v>
      </c>
      <c r="M61" s="73">
        <v>5911.52</v>
      </c>
      <c r="N61" s="73">
        <v>1.564781556E7</v>
      </c>
      <c r="O61" s="23">
        <f>IFERROR(__xludf.DUMMYFUNCTION("FILTER($F$11:$F$110, TRIM($D$11:$D$110) = TRIM(H61), TRIM($E$11:$E$110) = TRIM(I61))"),5911.52)</f>
        <v>5911.52</v>
      </c>
      <c r="P61" s="16">
        <f t="shared" si="1"/>
        <v>15647815.56</v>
      </c>
      <c r="Q61" s="16">
        <f t="shared" si="5"/>
        <v>-0.0020479206</v>
      </c>
      <c r="R61" s="16"/>
      <c r="S61" s="18" t="s">
        <v>37</v>
      </c>
      <c r="T61" s="18" t="s">
        <v>31</v>
      </c>
      <c r="U61" s="18" t="s">
        <v>37</v>
      </c>
      <c r="V61" s="18" t="s">
        <v>35</v>
      </c>
      <c r="W61" s="18">
        <v>1.0</v>
      </c>
      <c r="X61" s="18">
        <v>658.2451157</v>
      </c>
      <c r="Y61" s="18">
        <v>29981.56</v>
      </c>
      <c r="Z61" s="18">
        <v>2.220211736E8</v>
      </c>
      <c r="AA61" s="16">
        <f t="shared" si="2"/>
        <v>222021173.6</v>
      </c>
      <c r="AB61" s="16">
        <f t="shared" si="3"/>
        <v>-0.0005019307137</v>
      </c>
      <c r="AC61" s="16"/>
      <c r="AD61" s="32" t="s">
        <v>38</v>
      </c>
      <c r="AE61" s="32" t="s">
        <v>37</v>
      </c>
      <c r="AF61" s="32" t="s">
        <v>37</v>
      </c>
      <c r="AG61" s="33">
        <v>1.0</v>
      </c>
      <c r="AH61" s="33">
        <v>0.0</v>
      </c>
      <c r="AI61" s="33">
        <v>5911.52</v>
      </c>
      <c r="AJ61" s="33">
        <v>0.0</v>
      </c>
      <c r="AK61" s="33">
        <f t="shared" si="4"/>
        <v>0</v>
      </c>
      <c r="AL61" s="33">
        <f t="shared" si="6"/>
        <v>0</v>
      </c>
      <c r="AM61" s="33"/>
      <c r="AN61" s="33"/>
      <c r="AO61" s="33"/>
    </row>
    <row r="62">
      <c r="A62" s="91"/>
      <c r="B62" s="91"/>
      <c r="C62" s="91"/>
      <c r="D62" s="65" t="s">
        <v>33</v>
      </c>
      <c r="E62" s="65" t="s">
        <v>31</v>
      </c>
      <c r="F62" s="59">
        <v>2334.6</v>
      </c>
      <c r="G62" s="16"/>
      <c r="H62" s="73" t="s">
        <v>33</v>
      </c>
      <c r="I62" s="73" t="s">
        <v>31</v>
      </c>
      <c r="J62" s="73" t="s">
        <v>33</v>
      </c>
      <c r="K62" s="73">
        <v>1.0</v>
      </c>
      <c r="L62" s="73">
        <v>0.0</v>
      </c>
      <c r="M62" s="73">
        <v>2334.6</v>
      </c>
      <c r="N62" s="73">
        <v>0.0</v>
      </c>
      <c r="O62" s="23">
        <f>IFERROR(__xludf.DUMMYFUNCTION("FILTER($F$11:$F$110, TRIM($D$11:$D$110) = TRIM(H62), TRIM($E$11:$E$110) = TRIM(I62))"),2334.6)</f>
        <v>2334.6</v>
      </c>
      <c r="P62" s="16">
        <f t="shared" si="1"/>
        <v>0</v>
      </c>
      <c r="Q62" s="16">
        <f t="shared" si="5"/>
        <v>0</v>
      </c>
      <c r="R62" s="16"/>
      <c r="S62" s="18" t="s">
        <v>37</v>
      </c>
      <c r="T62" s="18" t="s">
        <v>34</v>
      </c>
      <c r="U62" s="18" t="s">
        <v>35</v>
      </c>
      <c r="V62" s="18" t="s">
        <v>33</v>
      </c>
      <c r="W62" s="18">
        <v>1.0</v>
      </c>
      <c r="X62" s="18">
        <v>475.5077631</v>
      </c>
      <c r="Y62" s="18">
        <v>2231.22</v>
      </c>
      <c r="Z62" s="18">
        <v>1.193582735E7</v>
      </c>
      <c r="AA62" s="16">
        <f t="shared" si="2"/>
        <v>11935827.35</v>
      </c>
      <c r="AB62" s="16">
        <f t="shared" si="3"/>
        <v>0.0008197966963</v>
      </c>
      <c r="AC62" s="16"/>
      <c r="AD62" s="32" t="s">
        <v>33</v>
      </c>
      <c r="AE62" s="32" t="s">
        <v>31</v>
      </c>
      <c r="AF62" s="32" t="s">
        <v>31</v>
      </c>
      <c r="AG62" s="33">
        <v>1.0</v>
      </c>
      <c r="AH62" s="33">
        <v>0.0</v>
      </c>
      <c r="AI62" s="33">
        <v>2334.6</v>
      </c>
      <c r="AJ62" s="33">
        <v>0.0</v>
      </c>
      <c r="AK62" s="33">
        <f t="shared" si="4"/>
        <v>0</v>
      </c>
      <c r="AL62" s="33">
        <f t="shared" si="6"/>
        <v>0</v>
      </c>
      <c r="AM62" s="33"/>
      <c r="AN62" s="33"/>
      <c r="AO62" s="33"/>
    </row>
    <row r="63">
      <c r="A63" s="91"/>
      <c r="B63" s="91"/>
      <c r="C63" s="91"/>
      <c r="D63" s="65" t="s">
        <v>33</v>
      </c>
      <c r="E63" s="65" t="s">
        <v>34</v>
      </c>
      <c r="F63" s="59">
        <v>2285.37</v>
      </c>
      <c r="G63" s="16"/>
      <c r="H63" s="73" t="s">
        <v>33</v>
      </c>
      <c r="I63" s="73" t="s">
        <v>34</v>
      </c>
      <c r="J63" s="73" t="s">
        <v>33</v>
      </c>
      <c r="K63" s="73">
        <v>1.0</v>
      </c>
      <c r="L63" s="73">
        <v>0.0</v>
      </c>
      <c r="M63" s="73">
        <v>2285.37</v>
      </c>
      <c r="N63" s="73">
        <v>0.0</v>
      </c>
      <c r="O63" s="23">
        <f>IFERROR(__xludf.DUMMYFUNCTION("FILTER($F$11:$F$110, TRIM($D$11:$D$110) = TRIM(H63), TRIM($E$11:$E$110) = TRIM(I63))"),2285.37)</f>
        <v>2285.37</v>
      </c>
      <c r="P63" s="16">
        <f t="shared" si="1"/>
        <v>0</v>
      </c>
      <c r="Q63" s="16">
        <f t="shared" si="5"/>
        <v>0</v>
      </c>
      <c r="R63" s="16"/>
      <c r="S63" s="18" t="s">
        <v>37</v>
      </c>
      <c r="T63" s="18" t="s">
        <v>34</v>
      </c>
      <c r="U63" s="18" t="s">
        <v>37</v>
      </c>
      <c r="V63" s="18" t="s">
        <v>35</v>
      </c>
      <c r="W63" s="18">
        <v>1.0</v>
      </c>
      <c r="X63" s="18">
        <v>658.2451157</v>
      </c>
      <c r="Y63" s="18">
        <v>2231.22</v>
      </c>
      <c r="Z63" s="18">
        <v>1.652275876E7</v>
      </c>
      <c r="AA63" s="16">
        <f t="shared" si="2"/>
        <v>16522758.75</v>
      </c>
      <c r="AB63" s="16">
        <f t="shared" si="3"/>
        <v>-0.005663266405</v>
      </c>
      <c r="AC63" s="16"/>
      <c r="AD63" s="32" t="s">
        <v>33</v>
      </c>
      <c r="AE63" s="32" t="s">
        <v>34</v>
      </c>
      <c r="AF63" s="32" t="s">
        <v>33</v>
      </c>
      <c r="AG63" s="33">
        <v>1.0</v>
      </c>
      <c r="AH63" s="33">
        <v>966.6814589</v>
      </c>
      <c r="AI63" s="33">
        <v>2285.37</v>
      </c>
      <c r="AJ63" s="33">
        <v>3.313837209E7</v>
      </c>
      <c r="AK63" s="33">
        <f t="shared" si="4"/>
        <v>33138372.09</v>
      </c>
      <c r="AL63" s="33">
        <f t="shared" si="6"/>
        <v>-0.004105605185</v>
      </c>
      <c r="AM63" s="33"/>
      <c r="AN63" s="33"/>
      <c r="AO63" s="33"/>
    </row>
    <row r="64">
      <c r="A64" s="91"/>
      <c r="B64" s="91"/>
      <c r="C64" s="91"/>
      <c r="D64" s="65" t="s">
        <v>33</v>
      </c>
      <c r="E64" s="65" t="s">
        <v>36</v>
      </c>
      <c r="F64" s="59">
        <v>2193.32</v>
      </c>
      <c r="G64" s="16"/>
      <c r="H64" s="73" t="s">
        <v>33</v>
      </c>
      <c r="I64" s="73" t="s">
        <v>36</v>
      </c>
      <c r="J64" s="73" t="s">
        <v>33</v>
      </c>
      <c r="K64" s="73">
        <v>1.0</v>
      </c>
      <c r="L64" s="73">
        <v>0.0</v>
      </c>
      <c r="M64" s="73">
        <v>2193.32</v>
      </c>
      <c r="N64" s="73">
        <v>0.0</v>
      </c>
      <c r="O64" s="23">
        <f>IFERROR(__xludf.DUMMYFUNCTION("FILTER($F$11:$F$110, TRIM($D$11:$D$110) = TRIM(H64), TRIM($E$11:$E$110) = TRIM(I64))"),2193.32)</f>
        <v>2193.32</v>
      </c>
      <c r="P64" s="16">
        <f t="shared" si="1"/>
        <v>0</v>
      </c>
      <c r="Q64" s="16">
        <f t="shared" si="5"/>
        <v>0</v>
      </c>
      <c r="R64" s="16"/>
      <c r="S64" s="18" t="s">
        <v>37</v>
      </c>
      <c r="T64" s="18" t="s">
        <v>36</v>
      </c>
      <c r="U64" s="18" t="s">
        <v>35</v>
      </c>
      <c r="V64" s="18" t="s">
        <v>33</v>
      </c>
      <c r="W64" s="18">
        <v>1.0</v>
      </c>
      <c r="X64" s="18">
        <v>475.5077631</v>
      </c>
      <c r="Y64" s="18">
        <v>3648.96</v>
      </c>
      <c r="Z64" s="18">
        <v>1.951997408E7</v>
      </c>
      <c r="AA64" s="16">
        <f t="shared" si="2"/>
        <v>19519974.08</v>
      </c>
      <c r="AB64" s="16">
        <f t="shared" si="3"/>
        <v>0.001465480775</v>
      </c>
      <c r="AC64" s="16"/>
      <c r="AD64" s="32" t="s">
        <v>33</v>
      </c>
      <c r="AE64" s="32" t="s">
        <v>36</v>
      </c>
      <c r="AF64" s="32" t="s">
        <v>33</v>
      </c>
      <c r="AG64" s="33">
        <v>1.0</v>
      </c>
      <c r="AH64" s="33">
        <v>397.4791528</v>
      </c>
      <c r="AI64" s="33">
        <v>2193.32</v>
      </c>
      <c r="AJ64" s="33">
        <v>1.307698463E7</v>
      </c>
      <c r="AK64" s="33">
        <f t="shared" si="4"/>
        <v>13076984.63</v>
      </c>
      <c r="AL64" s="33">
        <f t="shared" si="6"/>
        <v>0.001289442182</v>
      </c>
      <c r="AM64" s="33"/>
      <c r="AN64" s="33"/>
      <c r="AO64" s="33"/>
    </row>
    <row r="65">
      <c r="A65" s="91"/>
      <c r="B65" s="91"/>
      <c r="C65" s="91"/>
      <c r="D65" s="65" t="s">
        <v>33</v>
      </c>
      <c r="E65" s="65" t="s">
        <v>32</v>
      </c>
      <c r="F65" s="59">
        <v>10240.56</v>
      </c>
      <c r="G65" s="16"/>
      <c r="H65" s="73" t="s">
        <v>33</v>
      </c>
      <c r="I65" s="73" t="s">
        <v>32</v>
      </c>
      <c r="J65" s="73" t="s">
        <v>33</v>
      </c>
      <c r="K65" s="73">
        <v>1.0</v>
      </c>
      <c r="L65" s="73">
        <v>0.0</v>
      </c>
      <c r="M65" s="73">
        <v>10240.56</v>
      </c>
      <c r="N65" s="73">
        <v>0.0</v>
      </c>
      <c r="O65" s="23">
        <f>IFERROR(__xludf.DUMMYFUNCTION("FILTER($F$11:$F$110, TRIM($D$11:$D$110) = TRIM(H65), TRIM($E$11:$E$110) = TRIM(I65))"),10240.56)</f>
        <v>10240.56</v>
      </c>
      <c r="P65" s="16">
        <f t="shared" si="1"/>
        <v>0</v>
      </c>
      <c r="Q65" s="16">
        <f t="shared" si="5"/>
        <v>0</v>
      </c>
      <c r="R65" s="16"/>
      <c r="S65" s="18" t="s">
        <v>37</v>
      </c>
      <c r="T65" s="18" t="s">
        <v>36</v>
      </c>
      <c r="U65" s="18" t="s">
        <v>37</v>
      </c>
      <c r="V65" s="18" t="s">
        <v>35</v>
      </c>
      <c r="W65" s="18">
        <v>1.0</v>
      </c>
      <c r="X65" s="18">
        <v>658.2451157</v>
      </c>
      <c r="Y65" s="18">
        <v>3648.96</v>
      </c>
      <c r="Z65" s="18">
        <v>2.70214886E7</v>
      </c>
      <c r="AA65" s="16">
        <f t="shared" si="2"/>
        <v>27021488.6</v>
      </c>
      <c r="AB65" s="16">
        <f t="shared" si="3"/>
        <v>-0.0044224374</v>
      </c>
      <c r="AC65" s="16"/>
      <c r="AD65" s="32" t="s">
        <v>33</v>
      </c>
      <c r="AE65" s="32" t="s">
        <v>32</v>
      </c>
      <c r="AF65" s="32" t="s">
        <v>33</v>
      </c>
      <c r="AG65" s="33">
        <v>1.0</v>
      </c>
      <c r="AH65" s="33">
        <v>525.4495222</v>
      </c>
      <c r="AI65" s="33">
        <v>10240.56</v>
      </c>
      <c r="AJ65" s="33">
        <v>8.071346039E7</v>
      </c>
      <c r="AK65" s="33">
        <f t="shared" si="4"/>
        <v>80713460.39</v>
      </c>
      <c r="AL65" s="33">
        <f t="shared" si="6"/>
        <v>-0.004093527794</v>
      </c>
      <c r="AM65" s="33"/>
      <c r="AN65" s="33"/>
      <c r="AO65" s="33"/>
    </row>
    <row r="66">
      <c r="A66" s="91"/>
      <c r="B66" s="91"/>
      <c r="C66" s="91"/>
      <c r="D66" s="65" t="s">
        <v>33</v>
      </c>
      <c r="E66" s="65" t="s">
        <v>38</v>
      </c>
      <c r="F66" s="59">
        <v>2693.56</v>
      </c>
      <c r="G66" s="16"/>
      <c r="H66" s="73" t="s">
        <v>33</v>
      </c>
      <c r="I66" s="73" t="s">
        <v>38</v>
      </c>
      <c r="J66" s="73" t="s">
        <v>33</v>
      </c>
      <c r="K66" s="73">
        <v>1.0</v>
      </c>
      <c r="L66" s="73">
        <v>0.0</v>
      </c>
      <c r="M66" s="73">
        <v>2693.56</v>
      </c>
      <c r="N66" s="73">
        <v>0.0</v>
      </c>
      <c r="O66" s="23">
        <f>IFERROR(__xludf.DUMMYFUNCTION("FILTER($F$11:$F$110, TRIM($D$11:$D$110) = TRIM(H66), TRIM($E$11:$E$110) = TRIM(I66))"),2693.56)</f>
        <v>2693.56</v>
      </c>
      <c r="P66" s="16">
        <f t="shared" si="1"/>
        <v>0</v>
      </c>
      <c r="Q66" s="16">
        <f t="shared" si="5"/>
        <v>0</v>
      </c>
      <c r="R66" s="16"/>
      <c r="S66" s="18" t="s">
        <v>37</v>
      </c>
      <c r="T66" s="18" t="s">
        <v>32</v>
      </c>
      <c r="U66" s="18" t="s">
        <v>35</v>
      </c>
      <c r="V66" s="18" t="s">
        <v>33</v>
      </c>
      <c r="W66" s="18">
        <v>1.0</v>
      </c>
      <c r="X66" s="18">
        <v>475.5077631</v>
      </c>
      <c r="Y66" s="18">
        <v>35048.12</v>
      </c>
      <c r="Z66" s="18">
        <v>1.874885979E8</v>
      </c>
      <c r="AA66" s="16">
        <f t="shared" si="2"/>
        <v>187488597.8</v>
      </c>
      <c r="AB66" s="16">
        <f t="shared" si="3"/>
        <v>-0.05182081461</v>
      </c>
      <c r="AC66" s="16"/>
      <c r="AD66" s="32" t="s">
        <v>33</v>
      </c>
      <c r="AE66" s="32" t="s">
        <v>38</v>
      </c>
      <c r="AF66" s="32" t="s">
        <v>33</v>
      </c>
      <c r="AG66" s="33">
        <v>1.0</v>
      </c>
      <c r="AH66" s="33">
        <v>176.4669161</v>
      </c>
      <c r="AI66" s="33">
        <v>2693.56</v>
      </c>
      <c r="AJ66" s="33">
        <v>7129863.397</v>
      </c>
      <c r="AK66" s="33">
        <f t="shared" si="4"/>
        <v>7129863.398</v>
      </c>
      <c r="AL66" s="33">
        <f t="shared" si="6"/>
        <v>0.0009547388181</v>
      </c>
      <c r="AM66" s="33"/>
      <c r="AN66" s="33"/>
      <c r="AO66" s="33"/>
    </row>
    <row r="67">
      <c r="A67" s="91"/>
      <c r="B67" s="91"/>
      <c r="C67" s="91"/>
      <c r="D67" s="65" t="s">
        <v>33</v>
      </c>
      <c r="E67" s="65" t="s">
        <v>33</v>
      </c>
      <c r="F67" s="53">
        <v>0.0</v>
      </c>
      <c r="G67" s="16"/>
      <c r="H67" s="73" t="s">
        <v>33</v>
      </c>
      <c r="I67" s="73" t="s">
        <v>33</v>
      </c>
      <c r="J67" s="73" t="s">
        <v>31</v>
      </c>
      <c r="K67" s="73">
        <v>1.0</v>
      </c>
      <c r="L67" s="73">
        <v>1362.65047</v>
      </c>
      <c r="M67" s="73">
        <v>0.0</v>
      </c>
      <c r="N67" s="73">
        <v>0.0</v>
      </c>
      <c r="O67" s="23">
        <f>IFERROR(__xludf.DUMMYFUNCTION("FILTER($F$11:$F$110, TRIM($D$11:$D$110) = TRIM(H67), TRIM($E$11:$E$110) = TRIM(I67))"),0.0)</f>
        <v>0</v>
      </c>
      <c r="P67" s="16">
        <f t="shared" si="1"/>
        <v>0</v>
      </c>
      <c r="Q67" s="16">
        <f t="shared" si="5"/>
        <v>0</v>
      </c>
      <c r="R67" s="16"/>
      <c r="S67" s="18" t="s">
        <v>37</v>
      </c>
      <c r="T67" s="18" t="s">
        <v>32</v>
      </c>
      <c r="U67" s="18" t="s">
        <v>37</v>
      </c>
      <c r="V67" s="18" t="s">
        <v>35</v>
      </c>
      <c r="W67" s="18">
        <v>1.0</v>
      </c>
      <c r="X67" s="18">
        <v>658.2451157</v>
      </c>
      <c r="Y67" s="18">
        <v>35048.12</v>
      </c>
      <c r="Z67" s="18">
        <v>2.595403553E8</v>
      </c>
      <c r="AA67" s="16">
        <f t="shared" si="2"/>
        <v>259540355.3</v>
      </c>
      <c r="AB67" s="16">
        <f t="shared" si="3"/>
        <v>0.0002592206001</v>
      </c>
      <c r="AC67" s="16"/>
      <c r="AD67" s="32" t="s">
        <v>33</v>
      </c>
      <c r="AE67" s="32" t="s">
        <v>33</v>
      </c>
      <c r="AF67" s="32" t="s">
        <v>31</v>
      </c>
      <c r="AG67" s="33">
        <v>1.0</v>
      </c>
      <c r="AH67" s="33">
        <v>1362.65047</v>
      </c>
      <c r="AI67" s="33">
        <v>0.0</v>
      </c>
      <c r="AJ67" s="33">
        <v>0.0</v>
      </c>
      <c r="AK67" s="33">
        <f t="shared" si="4"/>
        <v>0</v>
      </c>
      <c r="AL67" s="33">
        <f t="shared" si="6"/>
        <v>0</v>
      </c>
      <c r="AM67" s="33"/>
      <c r="AN67" s="33"/>
      <c r="AO67" s="33"/>
    </row>
    <row r="68">
      <c r="A68" s="91"/>
      <c r="B68" s="91"/>
      <c r="C68" s="91"/>
      <c r="D68" s="65" t="s">
        <v>33</v>
      </c>
      <c r="E68" s="65" t="s">
        <v>39</v>
      </c>
      <c r="F68" s="59">
        <v>2535.32</v>
      </c>
      <c r="G68" s="16"/>
      <c r="H68" s="73" t="s">
        <v>33</v>
      </c>
      <c r="I68" s="73" t="s">
        <v>39</v>
      </c>
      <c r="J68" s="73" t="s">
        <v>33</v>
      </c>
      <c r="K68" s="73">
        <v>1.0</v>
      </c>
      <c r="L68" s="73">
        <v>0.0</v>
      </c>
      <c r="M68" s="73">
        <v>2535.32</v>
      </c>
      <c r="N68" s="73">
        <v>0.0</v>
      </c>
      <c r="O68" s="23">
        <f>IFERROR(__xludf.DUMMYFUNCTION("FILTER($F$11:$F$110, TRIM($D$11:$D$110) = TRIM(H68), TRIM($E$11:$E$110) = TRIM(I68))"),2535.32)</f>
        <v>2535.32</v>
      </c>
      <c r="P68" s="16">
        <f t="shared" si="1"/>
        <v>0</v>
      </c>
      <c r="Q68" s="16">
        <f t="shared" si="5"/>
        <v>0</v>
      </c>
      <c r="R68" s="16"/>
      <c r="S68" s="18" t="s">
        <v>37</v>
      </c>
      <c r="T68" s="18" t="s">
        <v>38</v>
      </c>
      <c r="U68" s="18" t="s">
        <v>35</v>
      </c>
      <c r="V68" s="18" t="s">
        <v>33</v>
      </c>
      <c r="W68" s="18">
        <v>1.0</v>
      </c>
      <c r="X68" s="18">
        <v>475.5077631</v>
      </c>
      <c r="Y68" s="18">
        <v>4802.16</v>
      </c>
      <c r="Z68" s="18">
        <v>2.568897405E7</v>
      </c>
      <c r="AA68" s="16">
        <f t="shared" si="2"/>
        <v>25688974.05</v>
      </c>
      <c r="AB68" s="16">
        <f t="shared" si="3"/>
        <v>-0.003956671804</v>
      </c>
      <c r="AC68" s="16"/>
      <c r="AD68" s="32" t="s">
        <v>33</v>
      </c>
      <c r="AE68" s="32" t="s">
        <v>39</v>
      </c>
      <c r="AF68" s="32" t="s">
        <v>33</v>
      </c>
      <c r="AG68" s="33">
        <v>1.0</v>
      </c>
      <c r="AH68" s="33">
        <v>356.1662487</v>
      </c>
      <c r="AI68" s="33">
        <v>2535.32</v>
      </c>
      <c r="AJ68" s="33">
        <v>1.354493121E7</v>
      </c>
      <c r="AK68" s="33">
        <f t="shared" si="4"/>
        <v>13544931.2</v>
      </c>
      <c r="AL68" s="33">
        <f t="shared" si="6"/>
        <v>-0.00518874079</v>
      </c>
      <c r="AM68" s="33"/>
      <c r="AN68" s="33"/>
      <c r="AO68" s="33"/>
    </row>
    <row r="69">
      <c r="A69" s="91"/>
      <c r="B69" s="91"/>
      <c r="C69" s="91"/>
      <c r="D69" s="65" t="s">
        <v>33</v>
      </c>
      <c r="E69" s="65" t="s">
        <v>35</v>
      </c>
      <c r="F69" s="59">
        <v>33272.84</v>
      </c>
      <c r="G69" s="16"/>
      <c r="H69" s="73" t="s">
        <v>33</v>
      </c>
      <c r="I69" s="73" t="s">
        <v>35</v>
      </c>
      <c r="J69" s="73" t="s">
        <v>33</v>
      </c>
      <c r="K69" s="73">
        <v>1.0</v>
      </c>
      <c r="L69" s="73">
        <v>0.0</v>
      </c>
      <c r="M69" s="73">
        <v>33272.84</v>
      </c>
      <c r="N69" s="73">
        <v>0.0</v>
      </c>
      <c r="O69" s="23">
        <f>IFERROR(__xludf.DUMMYFUNCTION("FILTER($F$11:$F$110, TRIM($D$11:$D$110) = TRIM(H69), TRIM($E$11:$E$110) = TRIM(I69))"),33272.84)</f>
        <v>33272.84</v>
      </c>
      <c r="P69" s="16">
        <f t="shared" si="1"/>
        <v>0</v>
      </c>
      <c r="Q69" s="16">
        <f t="shared" si="5"/>
        <v>0</v>
      </c>
      <c r="R69" s="16"/>
      <c r="S69" s="18" t="s">
        <v>37</v>
      </c>
      <c r="T69" s="18" t="s">
        <v>38</v>
      </c>
      <c r="U69" s="18" t="s">
        <v>37</v>
      </c>
      <c r="V69" s="18" t="s">
        <v>35</v>
      </c>
      <c r="W69" s="18">
        <v>1.0</v>
      </c>
      <c r="X69" s="18">
        <v>658.2451157</v>
      </c>
      <c r="Y69" s="18">
        <v>4802.16</v>
      </c>
      <c r="Z69" s="18">
        <v>3.556123161E7</v>
      </c>
      <c r="AA69" s="16">
        <f t="shared" si="2"/>
        <v>35561231.6</v>
      </c>
      <c r="AB69" s="16">
        <f t="shared" si="3"/>
        <v>-0.005888484418</v>
      </c>
      <c r="AC69" s="16"/>
      <c r="AD69" s="32" t="s">
        <v>33</v>
      </c>
      <c r="AE69" s="32" t="s">
        <v>35</v>
      </c>
      <c r="AF69" s="32" t="s">
        <v>35</v>
      </c>
      <c r="AG69" s="33">
        <v>1.0</v>
      </c>
      <c r="AH69" s="33">
        <v>0.0</v>
      </c>
      <c r="AI69" s="33">
        <v>33272.84</v>
      </c>
      <c r="AJ69" s="33">
        <v>0.0</v>
      </c>
      <c r="AK69" s="33">
        <f t="shared" si="4"/>
        <v>0</v>
      </c>
      <c r="AL69" s="33">
        <f t="shared" si="6"/>
        <v>0</v>
      </c>
      <c r="AM69" s="33"/>
      <c r="AN69" s="33"/>
      <c r="AO69" s="33"/>
    </row>
    <row r="70">
      <c r="A70" s="91"/>
      <c r="B70" s="91"/>
      <c r="C70" s="91"/>
      <c r="D70" s="65" t="s">
        <v>33</v>
      </c>
      <c r="E70" s="65" t="s">
        <v>40</v>
      </c>
      <c r="F70" s="59">
        <v>2248.87</v>
      </c>
      <c r="G70" s="16"/>
      <c r="H70" s="73" t="s">
        <v>33</v>
      </c>
      <c r="I70" s="73" t="s">
        <v>40</v>
      </c>
      <c r="J70" s="73" t="s">
        <v>33</v>
      </c>
      <c r="K70" s="73">
        <v>1.0</v>
      </c>
      <c r="L70" s="73">
        <v>0.0</v>
      </c>
      <c r="M70" s="73">
        <v>2248.87</v>
      </c>
      <c r="N70" s="73">
        <v>0.0</v>
      </c>
      <c r="O70" s="23">
        <f>IFERROR(__xludf.DUMMYFUNCTION("FILTER($F$11:$F$110, TRIM($D$11:$D$110) = TRIM(H70), TRIM($E$11:$E$110) = TRIM(I70))"),2248.87)</f>
        <v>2248.87</v>
      </c>
      <c r="P70" s="16">
        <f t="shared" si="1"/>
        <v>0</v>
      </c>
      <c r="Q70" s="16">
        <f t="shared" si="5"/>
        <v>0</v>
      </c>
      <c r="R70" s="16"/>
      <c r="S70" s="18" t="s">
        <v>37</v>
      </c>
      <c r="T70" s="18" t="s">
        <v>33</v>
      </c>
      <c r="U70" s="18" t="s">
        <v>35</v>
      </c>
      <c r="V70" s="18" t="s">
        <v>33</v>
      </c>
      <c r="W70" s="18">
        <v>1.0</v>
      </c>
      <c r="X70" s="18">
        <v>475.5077631</v>
      </c>
      <c r="Y70" s="18">
        <v>19692.68</v>
      </c>
      <c r="Z70" s="18">
        <v>1.053452499E8</v>
      </c>
      <c r="AA70" s="16">
        <f t="shared" si="2"/>
        <v>105345249.9</v>
      </c>
      <c r="AB70" s="16">
        <f t="shared" si="3"/>
        <v>0.03274621069</v>
      </c>
      <c r="AC70" s="16"/>
      <c r="AD70" s="32" t="s">
        <v>33</v>
      </c>
      <c r="AE70" s="32" t="s">
        <v>40</v>
      </c>
      <c r="AF70" s="32" t="s">
        <v>35</v>
      </c>
      <c r="AG70" s="33">
        <v>1.0</v>
      </c>
      <c r="AH70" s="33">
        <v>403.0102135</v>
      </c>
      <c r="AI70" s="33">
        <v>2248.87</v>
      </c>
      <c r="AJ70" s="33">
        <v>1.359476368E7</v>
      </c>
      <c r="AK70" s="33">
        <f t="shared" si="4"/>
        <v>13594763.68</v>
      </c>
      <c r="AL70" s="33">
        <f t="shared" si="6"/>
        <v>0.00250617601</v>
      </c>
      <c r="AM70" s="33"/>
      <c r="AN70" s="33"/>
      <c r="AO70" s="33"/>
    </row>
    <row r="71">
      <c r="A71" s="91"/>
      <c r="B71" s="91"/>
      <c r="C71" s="91"/>
      <c r="D71" s="65" t="s">
        <v>33</v>
      </c>
      <c r="E71" s="65" t="s">
        <v>37</v>
      </c>
      <c r="F71" s="59">
        <v>6665.76</v>
      </c>
      <c r="G71" s="16"/>
      <c r="H71" s="73" t="s">
        <v>33</v>
      </c>
      <c r="I71" s="73" t="s">
        <v>37</v>
      </c>
      <c r="J71" s="73" t="s">
        <v>33</v>
      </c>
      <c r="K71" s="73">
        <v>1.0</v>
      </c>
      <c r="L71" s="73">
        <v>0.0</v>
      </c>
      <c r="M71" s="73">
        <v>6665.76</v>
      </c>
      <c r="N71" s="73">
        <v>0.0</v>
      </c>
      <c r="O71" s="23">
        <f>IFERROR(__xludf.DUMMYFUNCTION("FILTER($F$11:$F$110, TRIM($D$11:$D$110) = TRIM(H71), TRIM($E$11:$E$110) = TRIM(I71))"),6665.76)</f>
        <v>6665.76</v>
      </c>
      <c r="P71" s="16">
        <f t="shared" si="1"/>
        <v>0</v>
      </c>
      <c r="Q71" s="16">
        <f t="shared" si="5"/>
        <v>0</v>
      </c>
      <c r="R71" s="16"/>
      <c r="S71" s="18" t="s">
        <v>37</v>
      </c>
      <c r="T71" s="18" t="s">
        <v>33</v>
      </c>
      <c r="U71" s="18" t="s">
        <v>37</v>
      </c>
      <c r="V71" s="18" t="s">
        <v>35</v>
      </c>
      <c r="W71" s="18">
        <v>1.0</v>
      </c>
      <c r="X71" s="18">
        <v>658.2451157</v>
      </c>
      <c r="Y71" s="18">
        <v>19692.68</v>
      </c>
      <c r="Z71" s="18">
        <v>1.458293673E8</v>
      </c>
      <c r="AA71" s="16">
        <f t="shared" si="2"/>
        <v>145829367.3</v>
      </c>
      <c r="AB71" s="16">
        <f t="shared" si="3"/>
        <v>-0.01826539636</v>
      </c>
      <c r="AC71" s="16"/>
      <c r="AD71" s="32" t="s">
        <v>33</v>
      </c>
      <c r="AE71" s="32" t="s">
        <v>37</v>
      </c>
      <c r="AF71" s="32" t="s">
        <v>37</v>
      </c>
      <c r="AG71" s="33">
        <v>1.0</v>
      </c>
      <c r="AH71" s="33">
        <v>0.0</v>
      </c>
      <c r="AI71" s="33">
        <v>6665.76</v>
      </c>
      <c r="AJ71" s="33">
        <v>0.0</v>
      </c>
      <c r="AK71" s="33">
        <f t="shared" si="4"/>
        <v>0</v>
      </c>
      <c r="AL71" s="33">
        <f t="shared" si="6"/>
        <v>0</v>
      </c>
      <c r="AM71" s="33"/>
      <c r="AN71" s="33"/>
      <c r="AO71" s="33"/>
    </row>
    <row r="72">
      <c r="A72" s="92"/>
      <c r="B72" s="92"/>
      <c r="C72" s="92"/>
      <c r="D72" s="67" t="s">
        <v>39</v>
      </c>
      <c r="E72" s="67" t="s">
        <v>31</v>
      </c>
      <c r="F72" s="59">
        <v>2873.96</v>
      </c>
      <c r="G72" s="16"/>
      <c r="H72" s="73" t="s">
        <v>39</v>
      </c>
      <c r="I72" s="73" t="s">
        <v>31</v>
      </c>
      <c r="J72" s="73" t="s">
        <v>33</v>
      </c>
      <c r="K72" s="73">
        <v>1.0</v>
      </c>
      <c r="L72" s="73">
        <v>356.1662487</v>
      </c>
      <c r="M72" s="73">
        <v>2873.96</v>
      </c>
      <c r="N72" s="73">
        <v>1.535411328E7</v>
      </c>
      <c r="O72" s="23">
        <f>IFERROR(__xludf.DUMMYFUNCTION("FILTER($F$11:$F$110, TRIM($D$11:$D$110) = TRIM(H72), TRIM($E$11:$E$110) = TRIM(I72))"),2873.96)</f>
        <v>2873.96</v>
      </c>
      <c r="P72" s="16">
        <f t="shared" si="1"/>
        <v>15354113.28</v>
      </c>
      <c r="Q72" s="16">
        <f t="shared" si="5"/>
        <v>0.001707779244</v>
      </c>
      <c r="R72" s="16"/>
      <c r="S72" s="18" t="s">
        <v>37</v>
      </c>
      <c r="T72" s="18" t="s">
        <v>39</v>
      </c>
      <c r="U72" s="18" t="s">
        <v>37</v>
      </c>
      <c r="V72" s="18" t="s">
        <v>35</v>
      </c>
      <c r="W72" s="18">
        <v>1.0</v>
      </c>
      <c r="X72" s="18">
        <v>658.2451157</v>
      </c>
      <c r="Y72" s="18">
        <v>4405.52</v>
      </c>
      <c r="Z72" s="18">
        <v>3.262401025E7</v>
      </c>
      <c r="AA72" s="16">
        <f t="shared" si="2"/>
        <v>32624010.25</v>
      </c>
      <c r="AB72" s="16">
        <f t="shared" si="3"/>
        <v>-0.001165024936</v>
      </c>
      <c r="AC72" s="16"/>
      <c r="AD72" s="32" t="s">
        <v>39</v>
      </c>
      <c r="AE72" s="32" t="s">
        <v>31</v>
      </c>
      <c r="AF72" s="32" t="s">
        <v>31</v>
      </c>
      <c r="AG72" s="33">
        <v>1.0</v>
      </c>
      <c r="AH72" s="33">
        <v>0.0</v>
      </c>
      <c r="AI72" s="33">
        <v>2873.96</v>
      </c>
      <c r="AJ72" s="33">
        <v>0.0</v>
      </c>
      <c r="AK72" s="33">
        <f t="shared" si="4"/>
        <v>0</v>
      </c>
      <c r="AL72" s="33">
        <f t="shared" si="6"/>
        <v>0</v>
      </c>
      <c r="AM72" s="33"/>
      <c r="AN72" s="33"/>
      <c r="AO72" s="33"/>
    </row>
    <row r="73">
      <c r="A73" s="92"/>
      <c r="B73" s="92"/>
      <c r="C73" s="92"/>
      <c r="D73" s="67" t="s">
        <v>39</v>
      </c>
      <c r="E73" s="67" t="s">
        <v>34</v>
      </c>
      <c r="F73" s="59">
        <v>3207.09</v>
      </c>
      <c r="G73" s="16"/>
      <c r="H73" s="73" t="s">
        <v>39</v>
      </c>
      <c r="I73" s="73" t="s">
        <v>34</v>
      </c>
      <c r="J73" s="73" t="s">
        <v>33</v>
      </c>
      <c r="K73" s="73">
        <v>1.0</v>
      </c>
      <c r="L73" s="73">
        <v>356.1662487</v>
      </c>
      <c r="M73" s="73">
        <v>3207.09</v>
      </c>
      <c r="N73" s="73">
        <v>1.713385822E7</v>
      </c>
      <c r="O73" s="23">
        <f>IFERROR(__xludf.DUMMYFUNCTION("FILTER($F$11:$F$110, TRIM($D$11:$D$110) = TRIM(H73), TRIM($E$11:$E$110) = TRIM(I73))"),3207.09)</f>
        <v>3207.09</v>
      </c>
      <c r="P73" s="16">
        <f t="shared" si="1"/>
        <v>17133858.22</v>
      </c>
      <c r="Q73" s="16">
        <f t="shared" si="5"/>
        <v>-0.001850754023</v>
      </c>
      <c r="R73" s="16"/>
      <c r="S73" s="18" t="s">
        <v>37</v>
      </c>
      <c r="T73" s="18" t="s">
        <v>35</v>
      </c>
      <c r="U73" s="18" t="s">
        <v>37</v>
      </c>
      <c r="V73" s="18" t="s">
        <v>35</v>
      </c>
      <c r="W73" s="18">
        <v>1.0</v>
      </c>
      <c r="X73" s="18">
        <v>658.2451157</v>
      </c>
      <c r="Y73" s="18">
        <v>51923.64</v>
      </c>
      <c r="Z73" s="18">
        <v>3.845079272E8</v>
      </c>
      <c r="AA73" s="16">
        <f t="shared" si="2"/>
        <v>384507927.2</v>
      </c>
      <c r="AB73" s="16">
        <f t="shared" si="3"/>
        <v>0.01785796881</v>
      </c>
      <c r="AC73" s="16"/>
      <c r="AD73" s="32" t="s">
        <v>39</v>
      </c>
      <c r="AE73" s="32" t="s">
        <v>34</v>
      </c>
      <c r="AF73" s="32" t="s">
        <v>33</v>
      </c>
      <c r="AG73" s="33">
        <v>1.0</v>
      </c>
      <c r="AH73" s="33">
        <v>966.6814589</v>
      </c>
      <c r="AI73" s="33">
        <v>3207.09</v>
      </c>
      <c r="AJ73" s="33">
        <v>4.65035166E7</v>
      </c>
      <c r="AK73" s="33">
        <f t="shared" si="4"/>
        <v>46503516.6</v>
      </c>
      <c r="AL73" s="33">
        <f t="shared" si="6"/>
        <v>0.0003540143371</v>
      </c>
      <c r="AM73" s="33"/>
      <c r="AN73" s="33"/>
      <c r="AO73" s="33"/>
    </row>
    <row r="74">
      <c r="A74" s="92"/>
      <c r="B74" s="92"/>
      <c r="C74" s="92"/>
      <c r="D74" s="67" t="s">
        <v>39</v>
      </c>
      <c r="E74" s="67" t="s">
        <v>36</v>
      </c>
      <c r="F74" s="59">
        <v>22608.32</v>
      </c>
      <c r="G74" s="16"/>
      <c r="H74" s="73" t="s">
        <v>39</v>
      </c>
      <c r="I74" s="73" t="s">
        <v>36</v>
      </c>
      <c r="J74" s="73" t="s">
        <v>33</v>
      </c>
      <c r="K74" s="73">
        <v>1.0</v>
      </c>
      <c r="L74" s="73">
        <v>356.1662487</v>
      </c>
      <c r="M74" s="73">
        <v>22608.32</v>
      </c>
      <c r="N74" s="73">
        <v>1.207848079E8</v>
      </c>
      <c r="O74" s="23">
        <f>IFERROR(__xludf.DUMMYFUNCTION("FILTER($F$11:$F$110, TRIM($D$11:$D$110) = TRIM(H74), TRIM($E$11:$E$110) = TRIM(I74))"),22608.32)</f>
        <v>22608.32</v>
      </c>
      <c r="P74" s="16">
        <f t="shared" si="1"/>
        <v>120784807.9</v>
      </c>
      <c r="Q74" s="16">
        <f t="shared" si="5"/>
        <v>-0.0428622663</v>
      </c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32" t="s">
        <v>39</v>
      </c>
      <c r="AE74" s="32" t="s">
        <v>36</v>
      </c>
      <c r="AF74" s="32" t="s">
        <v>33</v>
      </c>
      <c r="AG74" s="33">
        <v>1.0</v>
      </c>
      <c r="AH74" s="33">
        <v>397.4791528</v>
      </c>
      <c r="AI74" s="33">
        <v>22608.32</v>
      </c>
      <c r="AJ74" s="33">
        <v>1.347950382E8</v>
      </c>
      <c r="AK74" s="33">
        <f t="shared" si="4"/>
        <v>134795038.2</v>
      </c>
      <c r="AL74" s="33">
        <f t="shared" si="6"/>
        <v>-0.002530544996</v>
      </c>
      <c r="AM74" s="33"/>
      <c r="AN74" s="33"/>
      <c r="AO74" s="33"/>
    </row>
    <row r="75">
      <c r="A75" s="92"/>
      <c r="B75" s="92"/>
      <c r="C75" s="92"/>
      <c r="D75" s="67" t="s">
        <v>39</v>
      </c>
      <c r="E75" s="67" t="s">
        <v>32</v>
      </c>
      <c r="F75" s="59">
        <v>6602.08</v>
      </c>
      <c r="G75" s="16"/>
      <c r="H75" s="73" t="s">
        <v>39</v>
      </c>
      <c r="I75" s="73" t="s">
        <v>32</v>
      </c>
      <c r="J75" s="73" t="s">
        <v>33</v>
      </c>
      <c r="K75" s="73">
        <v>1.0</v>
      </c>
      <c r="L75" s="73">
        <v>356.1662487</v>
      </c>
      <c r="M75" s="73">
        <v>6602.08</v>
      </c>
      <c r="N75" s="73">
        <v>3.527157101E7</v>
      </c>
      <c r="O75" s="23">
        <f>IFERROR(__xludf.DUMMYFUNCTION("FILTER($F$11:$F$110, TRIM($D$11:$D$110) = TRIM(H75), TRIM($E$11:$E$110) = TRIM(I75))"),6602.08)</f>
        <v>6602.08</v>
      </c>
      <c r="P75" s="16">
        <f t="shared" si="1"/>
        <v>35271571.01</v>
      </c>
      <c r="Q75" s="16">
        <f t="shared" si="5"/>
        <v>-0.001740559936</v>
      </c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32" t="s">
        <v>39</v>
      </c>
      <c r="AE75" s="32" t="s">
        <v>32</v>
      </c>
      <c r="AF75" s="32" t="s">
        <v>33</v>
      </c>
      <c r="AG75" s="33">
        <v>1.0</v>
      </c>
      <c r="AH75" s="33">
        <v>525.4495222</v>
      </c>
      <c r="AI75" s="33">
        <v>6602.08</v>
      </c>
      <c r="AJ75" s="33">
        <v>5.203589672E7</v>
      </c>
      <c r="AK75" s="33">
        <f t="shared" si="4"/>
        <v>52035896.72</v>
      </c>
      <c r="AL75" s="33">
        <f t="shared" si="6"/>
        <v>0.002892643213</v>
      </c>
      <c r="AM75" s="33"/>
      <c r="AN75" s="33"/>
      <c r="AO75" s="33"/>
    </row>
    <row r="76">
      <c r="A76" s="92"/>
      <c r="B76" s="92"/>
      <c r="C76" s="92"/>
      <c r="D76" s="67" t="s">
        <v>39</v>
      </c>
      <c r="E76" s="67" t="s">
        <v>38</v>
      </c>
      <c r="F76" s="59">
        <v>1576.64</v>
      </c>
      <c r="G76" s="16"/>
      <c r="H76" s="73" t="s">
        <v>39</v>
      </c>
      <c r="I76" s="73" t="s">
        <v>38</v>
      </c>
      <c r="J76" s="73" t="s">
        <v>33</v>
      </c>
      <c r="K76" s="73">
        <v>1.0</v>
      </c>
      <c r="L76" s="73">
        <v>356.1662487</v>
      </c>
      <c r="M76" s="73">
        <v>1576.64</v>
      </c>
      <c r="N76" s="73">
        <v>8423189.316</v>
      </c>
      <c r="O76" s="23">
        <f>IFERROR(__xludf.DUMMYFUNCTION("FILTER($F$11:$F$110, TRIM($D$11:$D$110) = TRIM(H76), TRIM($E$11:$E$110) = TRIM(I76))"),1576.64)</f>
        <v>1576.64</v>
      </c>
      <c r="P76" s="16">
        <f t="shared" si="1"/>
        <v>8423189.315</v>
      </c>
      <c r="Q76" s="16">
        <f t="shared" si="5"/>
        <v>-0.0007444806397</v>
      </c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32" t="s">
        <v>39</v>
      </c>
      <c r="AE76" s="32" t="s">
        <v>38</v>
      </c>
      <c r="AF76" s="32" t="s">
        <v>33</v>
      </c>
      <c r="AG76" s="33">
        <v>1.0</v>
      </c>
      <c r="AH76" s="33">
        <v>176.4669161</v>
      </c>
      <c r="AI76" s="33">
        <v>1576.64</v>
      </c>
      <c r="AJ76" s="33">
        <v>4173371.978</v>
      </c>
      <c r="AK76" s="33">
        <f t="shared" si="4"/>
        <v>4173371.979</v>
      </c>
      <c r="AL76" s="33">
        <f t="shared" si="6"/>
        <v>0.0009985598736</v>
      </c>
      <c r="AM76" s="33"/>
      <c r="AN76" s="33"/>
      <c r="AO76" s="33"/>
    </row>
    <row r="77">
      <c r="A77" s="92"/>
      <c r="B77" s="92"/>
      <c r="C77" s="92"/>
      <c r="D77" s="67" t="s">
        <v>39</v>
      </c>
      <c r="E77" s="67" t="s">
        <v>33</v>
      </c>
      <c r="F77" s="59">
        <v>11335.92</v>
      </c>
      <c r="G77" s="16"/>
      <c r="H77" s="73" t="s">
        <v>39</v>
      </c>
      <c r="I77" s="73" t="s">
        <v>33</v>
      </c>
      <c r="J77" s="73" t="s">
        <v>33</v>
      </c>
      <c r="K77" s="73">
        <v>1.0</v>
      </c>
      <c r="L77" s="73">
        <v>356.1662487</v>
      </c>
      <c r="M77" s="73">
        <v>11335.92</v>
      </c>
      <c r="N77" s="73">
        <v>6.056208154E7</v>
      </c>
      <c r="O77" s="23">
        <f>IFERROR(__xludf.DUMMYFUNCTION("FILTER($F$11:$F$110, TRIM($D$11:$D$110) = TRIM(H77), TRIM($E$11:$E$110) = TRIM(I77))"),11335.92)</f>
        <v>11335.92</v>
      </c>
      <c r="P77" s="16">
        <f t="shared" si="1"/>
        <v>60562081.53</v>
      </c>
      <c r="Q77" s="16">
        <f t="shared" si="5"/>
        <v>-0.01055044681</v>
      </c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32" t="s">
        <v>39</v>
      </c>
      <c r="AE77" s="32" t="s">
        <v>33</v>
      </c>
      <c r="AF77" s="32" t="s">
        <v>33</v>
      </c>
      <c r="AG77" s="33">
        <v>1.0</v>
      </c>
      <c r="AH77" s="33">
        <v>0.0</v>
      </c>
      <c r="AI77" s="33">
        <v>11335.92</v>
      </c>
      <c r="AJ77" s="33">
        <v>0.0</v>
      </c>
      <c r="AK77" s="33">
        <f t="shared" si="4"/>
        <v>0</v>
      </c>
      <c r="AL77" s="33">
        <f t="shared" si="6"/>
        <v>0</v>
      </c>
      <c r="AM77" s="33"/>
      <c r="AN77" s="33"/>
      <c r="AO77" s="33"/>
    </row>
    <row r="78">
      <c r="A78" s="92"/>
      <c r="B78" s="92"/>
      <c r="C78" s="92"/>
      <c r="D78" s="67" t="s">
        <v>39</v>
      </c>
      <c r="E78" s="67" t="s">
        <v>39</v>
      </c>
      <c r="F78" s="53">
        <v>0.0</v>
      </c>
      <c r="G78" s="16"/>
      <c r="H78" s="73" t="s">
        <v>39</v>
      </c>
      <c r="I78" s="73" t="s">
        <v>39</v>
      </c>
      <c r="J78" s="73" t="s">
        <v>31</v>
      </c>
      <c r="K78" s="73">
        <v>1.0</v>
      </c>
      <c r="L78" s="73">
        <v>1641.9398</v>
      </c>
      <c r="M78" s="73">
        <v>0.0</v>
      </c>
      <c r="N78" s="73">
        <v>0.0</v>
      </c>
      <c r="O78" s="23">
        <f>IFERROR(__xludf.DUMMYFUNCTION("FILTER($F$11:$F$110, TRIM($D$11:$D$110) = TRIM(H78), TRIM($E$11:$E$110) = TRIM(I78))"),0.0)</f>
        <v>0</v>
      </c>
      <c r="P78" s="16">
        <f t="shared" si="1"/>
        <v>0</v>
      </c>
      <c r="Q78" s="16">
        <f t="shared" si="5"/>
        <v>0</v>
      </c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32" t="s">
        <v>39</v>
      </c>
      <c r="AE78" s="32" t="s">
        <v>39</v>
      </c>
      <c r="AF78" s="32" t="s">
        <v>31</v>
      </c>
      <c r="AG78" s="33">
        <v>1.0</v>
      </c>
      <c r="AH78" s="33">
        <v>1641.9398</v>
      </c>
      <c r="AI78" s="33">
        <v>0.0</v>
      </c>
      <c r="AJ78" s="33">
        <v>0.0</v>
      </c>
      <c r="AK78" s="33">
        <f t="shared" si="4"/>
        <v>0</v>
      </c>
      <c r="AL78" s="33">
        <f t="shared" si="6"/>
        <v>0</v>
      </c>
      <c r="AM78" s="33"/>
      <c r="AN78" s="33"/>
      <c r="AO78" s="33"/>
    </row>
    <row r="79">
      <c r="A79" s="92"/>
      <c r="B79" s="92"/>
      <c r="C79" s="92"/>
      <c r="D79" s="67" t="s">
        <v>39</v>
      </c>
      <c r="E79" s="67" t="s">
        <v>35</v>
      </c>
      <c r="F79" s="59">
        <v>14964.48</v>
      </c>
      <c r="G79" s="16"/>
      <c r="H79" s="73" t="s">
        <v>39</v>
      </c>
      <c r="I79" s="73" t="s">
        <v>35</v>
      </c>
      <c r="J79" s="73" t="s">
        <v>35</v>
      </c>
      <c r="K79" s="73">
        <v>1.0</v>
      </c>
      <c r="L79" s="73">
        <v>186.1799846</v>
      </c>
      <c r="M79" s="73">
        <v>14964.48</v>
      </c>
      <c r="N79" s="73">
        <v>4.179129983E7</v>
      </c>
      <c r="O79" s="23">
        <f>IFERROR(__xludf.DUMMYFUNCTION("FILTER($F$11:$F$110, TRIM($D$11:$D$110) = TRIM(H79), TRIM($E$11:$E$110) = TRIM(I79))"),14964.48)</f>
        <v>14964.48</v>
      </c>
      <c r="P79" s="16">
        <f t="shared" si="1"/>
        <v>41791299.84</v>
      </c>
      <c r="Q79" s="16">
        <f t="shared" si="5"/>
        <v>0.009205125272</v>
      </c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32" t="s">
        <v>39</v>
      </c>
      <c r="AE79" s="32" t="s">
        <v>35</v>
      </c>
      <c r="AF79" s="32" t="s">
        <v>35</v>
      </c>
      <c r="AG79" s="33">
        <v>1.0</v>
      </c>
      <c r="AH79" s="33">
        <v>0.0</v>
      </c>
      <c r="AI79" s="33">
        <v>14964.48</v>
      </c>
      <c r="AJ79" s="33">
        <v>0.0</v>
      </c>
      <c r="AK79" s="33">
        <f t="shared" si="4"/>
        <v>0</v>
      </c>
      <c r="AL79" s="33">
        <f t="shared" si="6"/>
        <v>0</v>
      </c>
      <c r="AM79" s="33"/>
      <c r="AN79" s="33"/>
      <c r="AO79" s="33"/>
    </row>
    <row r="80">
      <c r="A80" s="92"/>
      <c r="B80" s="92"/>
      <c r="C80" s="92"/>
      <c r="D80" s="67" t="s">
        <v>39</v>
      </c>
      <c r="E80" s="67" t="s">
        <v>40</v>
      </c>
      <c r="F80" s="59">
        <v>3552.95</v>
      </c>
      <c r="G80" s="16"/>
      <c r="H80" s="73" t="s">
        <v>39</v>
      </c>
      <c r="I80" s="73" t="s">
        <v>40</v>
      </c>
      <c r="J80" s="73" t="s">
        <v>35</v>
      </c>
      <c r="K80" s="73">
        <v>1.0</v>
      </c>
      <c r="L80" s="73">
        <v>186.1799846</v>
      </c>
      <c r="M80" s="73">
        <v>3552.95</v>
      </c>
      <c r="N80" s="73">
        <v>9922322.642</v>
      </c>
      <c r="O80" s="23">
        <f>IFERROR(__xludf.DUMMYFUNCTION("FILTER($F$11:$F$110, TRIM($D$11:$D$110) = TRIM(H80), TRIM($E$11:$E$110) = TRIM(I80))"),3552.95)</f>
        <v>3552.95</v>
      </c>
      <c r="P80" s="16">
        <f t="shared" si="1"/>
        <v>9922322.644</v>
      </c>
      <c r="Q80" s="16">
        <f t="shared" si="5"/>
        <v>0.002268549055</v>
      </c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32" t="s">
        <v>39</v>
      </c>
      <c r="AE80" s="32" t="s">
        <v>40</v>
      </c>
      <c r="AF80" s="32" t="s">
        <v>35</v>
      </c>
      <c r="AG80" s="33">
        <v>1.0</v>
      </c>
      <c r="AH80" s="33">
        <v>403.0102135</v>
      </c>
      <c r="AI80" s="33">
        <v>3552.95</v>
      </c>
      <c r="AJ80" s="33">
        <v>2.147812707E7</v>
      </c>
      <c r="AK80" s="33">
        <f t="shared" si="4"/>
        <v>21478127.07</v>
      </c>
      <c r="AL80" s="33">
        <f t="shared" si="6"/>
        <v>0.0008223764598</v>
      </c>
      <c r="AM80" s="33"/>
      <c r="AN80" s="33"/>
      <c r="AO80" s="33"/>
    </row>
    <row r="81">
      <c r="A81" s="92"/>
      <c r="B81" s="92"/>
      <c r="C81" s="92"/>
      <c r="D81" s="67" t="s">
        <v>39</v>
      </c>
      <c r="E81" s="67" t="s">
        <v>37</v>
      </c>
      <c r="F81" s="59">
        <v>8546.4</v>
      </c>
      <c r="G81" s="16"/>
      <c r="H81" s="73" t="s">
        <v>39</v>
      </c>
      <c r="I81" s="73" t="s">
        <v>37</v>
      </c>
      <c r="J81" s="73" t="s">
        <v>35</v>
      </c>
      <c r="K81" s="73">
        <v>1.0</v>
      </c>
      <c r="L81" s="73">
        <v>186.1799846</v>
      </c>
      <c r="M81" s="73">
        <v>8546.4</v>
      </c>
      <c r="N81" s="73">
        <v>2.38675293E7</v>
      </c>
      <c r="O81" s="23">
        <f>IFERROR(__xludf.DUMMYFUNCTION("FILTER($F$11:$F$110, TRIM($D$11:$D$110) = TRIM(H81), TRIM($E$11:$E$110) = TRIM(I81))"),8546.4)</f>
        <v>8546.4</v>
      </c>
      <c r="P81" s="16">
        <f t="shared" si="1"/>
        <v>23867529.31</v>
      </c>
      <c r="Q81" s="16">
        <f t="shared" si="5"/>
        <v>0.005781602114</v>
      </c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32" t="s">
        <v>39</v>
      </c>
      <c r="AE81" s="32" t="s">
        <v>37</v>
      </c>
      <c r="AF81" s="32" t="s">
        <v>37</v>
      </c>
      <c r="AG81" s="33">
        <v>1.0</v>
      </c>
      <c r="AH81" s="33">
        <v>0.0</v>
      </c>
      <c r="AI81" s="33">
        <v>8546.4</v>
      </c>
      <c r="AJ81" s="33">
        <v>0.0</v>
      </c>
      <c r="AK81" s="33">
        <f t="shared" si="4"/>
        <v>0</v>
      </c>
      <c r="AL81" s="33">
        <f t="shared" si="6"/>
        <v>0</v>
      </c>
      <c r="AM81" s="33"/>
      <c r="AN81" s="33"/>
      <c r="AO81" s="33"/>
    </row>
    <row r="82">
      <c r="A82" s="93"/>
      <c r="B82" s="93"/>
      <c r="C82" s="93"/>
      <c r="D82" s="68" t="s">
        <v>35</v>
      </c>
      <c r="E82" s="68" t="s">
        <v>31</v>
      </c>
      <c r="F82" s="59">
        <v>30724.48</v>
      </c>
      <c r="G82" s="16"/>
      <c r="H82" s="73" t="s">
        <v>35</v>
      </c>
      <c r="I82" s="73" t="s">
        <v>31</v>
      </c>
      <c r="J82" s="73" t="s">
        <v>35</v>
      </c>
      <c r="K82" s="73">
        <v>1.0</v>
      </c>
      <c r="L82" s="73">
        <v>0.0</v>
      </c>
      <c r="M82" s="73">
        <v>30724.48</v>
      </c>
      <c r="N82" s="73">
        <v>0.0</v>
      </c>
      <c r="O82" s="23">
        <f>IFERROR(__xludf.DUMMYFUNCTION("FILTER($F$11:$F$110, TRIM($D$11:$D$110) = TRIM(H82), TRIM($E$11:$E$110) = TRIM(I82))"),30724.48)</f>
        <v>30724.48</v>
      </c>
      <c r="P82" s="16">
        <f t="shared" si="1"/>
        <v>0</v>
      </c>
      <c r="Q82" s="16">
        <f t="shared" si="5"/>
        <v>0</v>
      </c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32" t="s">
        <v>35</v>
      </c>
      <c r="AE82" s="32" t="s">
        <v>31</v>
      </c>
      <c r="AF82" s="32" t="s">
        <v>31</v>
      </c>
      <c r="AG82" s="33">
        <v>1.0</v>
      </c>
      <c r="AH82" s="33">
        <v>0.0</v>
      </c>
      <c r="AI82" s="33">
        <v>30724.48</v>
      </c>
      <c r="AJ82" s="33">
        <v>0.0</v>
      </c>
      <c r="AK82" s="33">
        <f t="shared" si="4"/>
        <v>0</v>
      </c>
      <c r="AL82" s="33">
        <f t="shared" si="6"/>
        <v>0</v>
      </c>
      <c r="AM82" s="33"/>
      <c r="AN82" s="33"/>
      <c r="AO82" s="33"/>
    </row>
    <row r="83">
      <c r="A83" s="93"/>
      <c r="B83" s="93"/>
      <c r="C83" s="93"/>
      <c r="D83" s="68" t="s">
        <v>35</v>
      </c>
      <c r="E83" s="68" t="s">
        <v>34</v>
      </c>
      <c r="F83" s="59">
        <v>6826.26</v>
      </c>
      <c r="G83" s="16"/>
      <c r="H83" s="73" t="s">
        <v>35</v>
      </c>
      <c r="I83" s="73" t="s">
        <v>34</v>
      </c>
      <c r="J83" s="73" t="s">
        <v>35</v>
      </c>
      <c r="K83" s="73">
        <v>1.0</v>
      </c>
      <c r="L83" s="73">
        <v>0.0</v>
      </c>
      <c r="M83" s="73">
        <v>6826.26</v>
      </c>
      <c r="N83" s="73">
        <v>0.0</v>
      </c>
      <c r="O83" s="23">
        <f>IFERROR(__xludf.DUMMYFUNCTION("FILTER($F$11:$F$110, TRIM($D$11:$D$110) = TRIM(H83), TRIM($E$11:$E$110) = TRIM(I83))"),6826.26)</f>
        <v>6826.26</v>
      </c>
      <c r="P83" s="16">
        <f t="shared" si="1"/>
        <v>0</v>
      </c>
      <c r="Q83" s="16">
        <f t="shared" si="5"/>
        <v>0</v>
      </c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32" t="s">
        <v>35</v>
      </c>
      <c r="AE83" s="32" t="s">
        <v>34</v>
      </c>
      <c r="AF83" s="32" t="s">
        <v>33</v>
      </c>
      <c r="AG83" s="33">
        <v>1.0</v>
      </c>
      <c r="AH83" s="33">
        <v>966.6814589</v>
      </c>
      <c r="AI83" s="33">
        <v>6826.26</v>
      </c>
      <c r="AJ83" s="33">
        <v>9.898228463E7</v>
      </c>
      <c r="AK83" s="33">
        <f t="shared" si="4"/>
        <v>98982284.63</v>
      </c>
      <c r="AL83" s="33">
        <f t="shared" si="6"/>
        <v>0.004460722208</v>
      </c>
      <c r="AM83" s="33"/>
      <c r="AN83" s="33"/>
      <c r="AO83" s="33"/>
    </row>
    <row r="84">
      <c r="A84" s="93"/>
      <c r="B84" s="93"/>
      <c r="C84" s="93"/>
      <c r="D84" s="68" t="s">
        <v>35</v>
      </c>
      <c r="E84" s="68" t="s">
        <v>36</v>
      </c>
      <c r="F84" s="59">
        <v>12802.76</v>
      </c>
      <c r="G84" s="16"/>
      <c r="H84" s="73" t="s">
        <v>35</v>
      </c>
      <c r="I84" s="73" t="s">
        <v>36</v>
      </c>
      <c r="J84" s="73" t="s">
        <v>35</v>
      </c>
      <c r="K84" s="73">
        <v>1.0</v>
      </c>
      <c r="L84" s="73">
        <v>0.0</v>
      </c>
      <c r="M84" s="73">
        <v>12802.76</v>
      </c>
      <c r="N84" s="73">
        <v>0.0</v>
      </c>
      <c r="O84" s="23">
        <f>IFERROR(__xludf.DUMMYFUNCTION("FILTER($F$11:$F$110, TRIM($D$11:$D$110) = TRIM(H84), TRIM($E$11:$E$110) = TRIM(I84))"),12802.76)</f>
        <v>12802.76</v>
      </c>
      <c r="P84" s="16">
        <f t="shared" si="1"/>
        <v>0</v>
      </c>
      <c r="Q84" s="16">
        <f t="shared" si="5"/>
        <v>0</v>
      </c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32" t="s">
        <v>35</v>
      </c>
      <c r="AE84" s="32" t="s">
        <v>36</v>
      </c>
      <c r="AF84" s="32" t="s">
        <v>33</v>
      </c>
      <c r="AG84" s="33">
        <v>1.0</v>
      </c>
      <c r="AH84" s="33">
        <v>397.4791528</v>
      </c>
      <c r="AI84" s="33">
        <v>12802.76</v>
      </c>
      <c r="AJ84" s="33">
        <v>7.633245298E7</v>
      </c>
      <c r="AK84" s="33">
        <f t="shared" si="4"/>
        <v>76332452.97</v>
      </c>
      <c r="AL84" s="33">
        <f t="shared" si="6"/>
        <v>-0.005474075675</v>
      </c>
      <c r="AM84" s="33"/>
      <c r="AN84" s="33"/>
      <c r="AO84" s="33"/>
    </row>
    <row r="85">
      <c r="A85" s="93"/>
      <c r="B85" s="93"/>
      <c r="C85" s="93"/>
      <c r="D85" s="68" t="s">
        <v>35</v>
      </c>
      <c r="E85" s="68" t="s">
        <v>32</v>
      </c>
      <c r="F85" s="59">
        <v>72304.0</v>
      </c>
      <c r="G85" s="16"/>
      <c r="H85" s="73" t="s">
        <v>35</v>
      </c>
      <c r="I85" s="73" t="s">
        <v>32</v>
      </c>
      <c r="J85" s="73" t="s">
        <v>35</v>
      </c>
      <c r="K85" s="73">
        <v>1.0</v>
      </c>
      <c r="L85" s="73">
        <v>0.0</v>
      </c>
      <c r="M85" s="73">
        <v>72304.0</v>
      </c>
      <c r="N85" s="73">
        <v>0.0</v>
      </c>
      <c r="O85" s="23">
        <f>IFERROR(__xludf.DUMMYFUNCTION("FILTER($F$11:$F$110, TRIM($D$11:$D$110) = TRIM(H85), TRIM($E$11:$E$110) = TRIM(I85))"),72304.0)</f>
        <v>72304</v>
      </c>
      <c r="P85" s="16">
        <f t="shared" si="1"/>
        <v>0</v>
      </c>
      <c r="Q85" s="16">
        <f t="shared" si="5"/>
        <v>0</v>
      </c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32" t="s">
        <v>35</v>
      </c>
      <c r="AE85" s="32" t="s">
        <v>32</v>
      </c>
      <c r="AF85" s="32" t="s">
        <v>33</v>
      </c>
      <c r="AG85" s="33">
        <v>1.0</v>
      </c>
      <c r="AH85" s="33">
        <v>525.4495222</v>
      </c>
      <c r="AI85" s="33">
        <v>72304.0</v>
      </c>
      <c r="AJ85" s="33">
        <v>5.698815338E8</v>
      </c>
      <c r="AK85" s="33">
        <f t="shared" si="4"/>
        <v>569881533.8</v>
      </c>
      <c r="AL85" s="33">
        <f t="shared" si="6"/>
        <v>-0.002767920494</v>
      </c>
      <c r="AM85" s="33"/>
      <c r="AN85" s="33"/>
      <c r="AO85" s="33"/>
    </row>
    <row r="86">
      <c r="A86" s="93"/>
      <c r="B86" s="93"/>
      <c r="C86" s="93"/>
      <c r="D86" s="68" t="s">
        <v>35</v>
      </c>
      <c r="E86" s="68" t="s">
        <v>38</v>
      </c>
      <c r="F86" s="59">
        <v>34996.76</v>
      </c>
      <c r="G86" s="16"/>
      <c r="H86" s="73" t="s">
        <v>35</v>
      </c>
      <c r="I86" s="73" t="s">
        <v>38</v>
      </c>
      <c r="J86" s="73" t="s">
        <v>35</v>
      </c>
      <c r="K86" s="73">
        <v>1.0</v>
      </c>
      <c r="L86" s="73">
        <v>0.0</v>
      </c>
      <c r="M86" s="73">
        <v>34996.76</v>
      </c>
      <c r="N86" s="73">
        <v>0.0</v>
      </c>
      <c r="O86" s="23">
        <f>IFERROR(__xludf.DUMMYFUNCTION("FILTER($F$11:$F$110, TRIM($D$11:$D$110) = TRIM(H86), TRIM($E$11:$E$110) = TRIM(I86))"),34996.76)</f>
        <v>34996.76</v>
      </c>
      <c r="P86" s="16">
        <f t="shared" si="1"/>
        <v>0</v>
      </c>
      <c r="Q86" s="16">
        <f t="shared" si="5"/>
        <v>0</v>
      </c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32" t="s">
        <v>35</v>
      </c>
      <c r="AE86" s="32" t="s">
        <v>38</v>
      </c>
      <c r="AF86" s="32" t="s">
        <v>33</v>
      </c>
      <c r="AG86" s="33">
        <v>1.0</v>
      </c>
      <c r="AH86" s="33">
        <v>176.4669161</v>
      </c>
      <c r="AI86" s="33">
        <v>34996.76</v>
      </c>
      <c r="AJ86" s="33">
        <v>9.263655465E7</v>
      </c>
      <c r="AK86" s="33">
        <f t="shared" si="4"/>
        <v>92636554.66</v>
      </c>
      <c r="AL86" s="33">
        <f t="shared" si="6"/>
        <v>0.01037752628</v>
      </c>
      <c r="AM86" s="33"/>
      <c r="AN86" s="33"/>
      <c r="AO86" s="33"/>
    </row>
    <row r="87">
      <c r="A87" s="93"/>
      <c r="B87" s="93"/>
      <c r="C87" s="93"/>
      <c r="D87" s="68" t="s">
        <v>35</v>
      </c>
      <c r="E87" s="68" t="s">
        <v>33</v>
      </c>
      <c r="F87" s="59">
        <v>121568.92</v>
      </c>
      <c r="G87" s="16"/>
      <c r="H87" s="73" t="s">
        <v>35</v>
      </c>
      <c r="I87" s="73" t="s">
        <v>33</v>
      </c>
      <c r="J87" s="73" t="s">
        <v>35</v>
      </c>
      <c r="K87" s="73">
        <v>1.0</v>
      </c>
      <c r="L87" s="73">
        <v>0.0</v>
      </c>
      <c r="M87" s="73">
        <v>121568.92</v>
      </c>
      <c r="N87" s="73">
        <v>0.0</v>
      </c>
      <c r="O87" s="23">
        <f>IFERROR(__xludf.DUMMYFUNCTION("FILTER($F$11:$F$110, TRIM($D$11:$D$110) = TRIM(H87), TRIM($E$11:$E$110) = TRIM(I87))"),121568.92)</f>
        <v>121568.92</v>
      </c>
      <c r="P87" s="16">
        <f t="shared" si="1"/>
        <v>0</v>
      </c>
      <c r="Q87" s="16">
        <f t="shared" si="5"/>
        <v>0</v>
      </c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32" t="s">
        <v>35</v>
      </c>
      <c r="AE87" s="32" t="s">
        <v>33</v>
      </c>
      <c r="AF87" s="32" t="s">
        <v>33</v>
      </c>
      <c r="AG87" s="33">
        <v>1.0</v>
      </c>
      <c r="AH87" s="33">
        <v>0.0</v>
      </c>
      <c r="AI87" s="33">
        <v>121568.92</v>
      </c>
      <c r="AJ87" s="33">
        <v>0.0</v>
      </c>
      <c r="AK87" s="33">
        <f t="shared" si="4"/>
        <v>0</v>
      </c>
      <c r="AL87" s="33">
        <f t="shared" si="6"/>
        <v>0</v>
      </c>
      <c r="AM87" s="33"/>
      <c r="AN87" s="33"/>
      <c r="AO87" s="33"/>
    </row>
    <row r="88">
      <c r="A88" s="93"/>
      <c r="B88" s="93"/>
      <c r="C88" s="93"/>
      <c r="D88" s="68" t="s">
        <v>35</v>
      </c>
      <c r="E88" s="68" t="s">
        <v>39</v>
      </c>
      <c r="F88" s="59">
        <v>16938.64</v>
      </c>
      <c r="G88" s="16"/>
      <c r="H88" s="73" t="s">
        <v>35</v>
      </c>
      <c r="I88" s="73" t="s">
        <v>39</v>
      </c>
      <c r="J88" s="73" t="s">
        <v>35</v>
      </c>
      <c r="K88" s="73">
        <v>1.0</v>
      </c>
      <c r="L88" s="73">
        <v>0.0</v>
      </c>
      <c r="M88" s="73">
        <v>16938.64</v>
      </c>
      <c r="N88" s="73">
        <v>0.0</v>
      </c>
      <c r="O88" s="23">
        <f>IFERROR(__xludf.DUMMYFUNCTION("FILTER($F$11:$F$110, TRIM($D$11:$D$110) = TRIM(H88), TRIM($E$11:$E$110) = TRIM(I88))"),16938.64)</f>
        <v>16938.64</v>
      </c>
      <c r="P88" s="16">
        <f t="shared" si="1"/>
        <v>0</v>
      </c>
      <c r="Q88" s="16">
        <f t="shared" si="5"/>
        <v>0</v>
      </c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32" t="s">
        <v>35</v>
      </c>
      <c r="AE88" s="32" t="s">
        <v>39</v>
      </c>
      <c r="AF88" s="32" t="s">
        <v>35</v>
      </c>
      <c r="AG88" s="33">
        <v>1.0</v>
      </c>
      <c r="AH88" s="33">
        <v>186.1799846</v>
      </c>
      <c r="AI88" s="33">
        <v>16938.64</v>
      </c>
      <c r="AJ88" s="33">
        <v>4.730453601E7</v>
      </c>
      <c r="AK88" s="33">
        <f t="shared" si="4"/>
        <v>47304536.02</v>
      </c>
      <c r="AL88" s="33">
        <f t="shared" si="6"/>
        <v>0.005174167454</v>
      </c>
      <c r="AM88" s="33"/>
      <c r="AN88" s="33"/>
      <c r="AO88" s="33"/>
    </row>
    <row r="89">
      <c r="A89" s="93"/>
      <c r="B89" s="93"/>
      <c r="C89" s="93"/>
      <c r="D89" s="68" t="s">
        <v>35</v>
      </c>
      <c r="E89" s="68" t="s">
        <v>35</v>
      </c>
      <c r="F89" s="69">
        <v>0.0</v>
      </c>
      <c r="G89" s="16"/>
      <c r="H89" s="73" t="s">
        <v>35</v>
      </c>
      <c r="I89" s="73" t="s">
        <v>35</v>
      </c>
      <c r="J89" s="73" t="s">
        <v>31</v>
      </c>
      <c r="K89" s="73">
        <v>1.0</v>
      </c>
      <c r="L89" s="73">
        <v>1810.495095</v>
      </c>
      <c r="M89" s="73">
        <v>0.0</v>
      </c>
      <c r="N89" s="73">
        <v>0.0</v>
      </c>
      <c r="O89" s="87">
        <f>IFERROR(__xludf.DUMMYFUNCTION("FILTER($F$11:$F$110, TRIM($D$11:$D$110) = TRIM(H89), TRIM($E$11:$E$110) = TRIM(I89))"),0.0)</f>
        <v>0</v>
      </c>
      <c r="P89" s="16">
        <f t="shared" si="1"/>
        <v>0</v>
      </c>
      <c r="Q89" s="16">
        <f t="shared" si="5"/>
        <v>0</v>
      </c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32" t="s">
        <v>35</v>
      </c>
      <c r="AE89" s="32" t="s">
        <v>35</v>
      </c>
      <c r="AF89" s="32" t="s">
        <v>31</v>
      </c>
      <c r="AG89" s="33">
        <v>1.0</v>
      </c>
      <c r="AH89" s="33">
        <v>1810.495095</v>
      </c>
      <c r="AI89" s="33">
        <v>0.0</v>
      </c>
      <c r="AJ89" s="33">
        <v>0.0</v>
      </c>
      <c r="AK89" s="33">
        <f t="shared" si="4"/>
        <v>0</v>
      </c>
      <c r="AL89" s="33">
        <f t="shared" si="6"/>
        <v>0</v>
      </c>
      <c r="AM89" s="33"/>
      <c r="AN89" s="33"/>
      <c r="AO89" s="33"/>
    </row>
    <row r="90">
      <c r="A90" s="93"/>
      <c r="B90" s="93"/>
      <c r="C90" s="93"/>
      <c r="D90" s="68" t="s">
        <v>35</v>
      </c>
      <c r="E90" s="68" t="s">
        <v>40</v>
      </c>
      <c r="F90" s="59">
        <v>23542.82</v>
      </c>
      <c r="G90" s="16"/>
      <c r="H90" s="73" t="s">
        <v>35</v>
      </c>
      <c r="I90" s="73" t="s">
        <v>40</v>
      </c>
      <c r="J90" s="73" t="s">
        <v>35</v>
      </c>
      <c r="K90" s="73">
        <v>1.0</v>
      </c>
      <c r="L90" s="73">
        <v>0.0</v>
      </c>
      <c r="M90" s="73">
        <v>23542.82</v>
      </c>
      <c r="N90" s="73">
        <v>0.0</v>
      </c>
      <c r="O90" s="23">
        <f>IFERROR(__xludf.DUMMYFUNCTION("FILTER($F$11:$F$110, TRIM($D$11:$D$110) = TRIM(H90), TRIM($E$11:$E$110) = TRIM(I90))"),23542.82)</f>
        <v>23542.82</v>
      </c>
      <c r="P90" s="16">
        <f t="shared" si="1"/>
        <v>0</v>
      </c>
      <c r="Q90" s="16">
        <f t="shared" si="5"/>
        <v>0</v>
      </c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32" t="s">
        <v>35</v>
      </c>
      <c r="AE90" s="32" t="s">
        <v>40</v>
      </c>
      <c r="AF90" s="32" t="s">
        <v>35</v>
      </c>
      <c r="AG90" s="33">
        <v>1.0</v>
      </c>
      <c r="AH90" s="33">
        <v>403.0102135</v>
      </c>
      <c r="AI90" s="33">
        <v>23542.82</v>
      </c>
      <c r="AJ90" s="33">
        <v>1.423199537E8</v>
      </c>
      <c r="AK90" s="33">
        <f t="shared" si="4"/>
        <v>142319953.7</v>
      </c>
      <c r="AL90" s="33">
        <f t="shared" si="6"/>
        <v>0.01888108253</v>
      </c>
      <c r="AM90" s="33"/>
      <c r="AN90" s="33"/>
      <c r="AO90" s="33"/>
    </row>
    <row r="91">
      <c r="A91" s="93"/>
      <c r="B91" s="93"/>
      <c r="C91" s="93"/>
      <c r="D91" s="68" t="s">
        <v>35</v>
      </c>
      <c r="E91" s="68" t="s">
        <v>37</v>
      </c>
      <c r="F91" s="59">
        <v>101245.44</v>
      </c>
      <c r="G91" s="16"/>
      <c r="H91" s="73" t="s">
        <v>35</v>
      </c>
      <c r="I91" s="73" t="s">
        <v>37</v>
      </c>
      <c r="J91" s="73" t="s">
        <v>35</v>
      </c>
      <c r="K91" s="73">
        <v>1.0</v>
      </c>
      <c r="L91" s="73">
        <v>0.0</v>
      </c>
      <c r="M91" s="73">
        <v>101245.44</v>
      </c>
      <c r="N91" s="73">
        <v>0.0</v>
      </c>
      <c r="O91" s="23">
        <f>IFERROR(__xludf.DUMMYFUNCTION("FILTER($F$11:$F$110, TRIM($D$11:$D$110) = TRIM(H91), TRIM($E$11:$E$110) = TRIM(I91))"),101245.44)</f>
        <v>101245.44</v>
      </c>
      <c r="P91" s="16">
        <f t="shared" si="1"/>
        <v>0</v>
      </c>
      <c r="Q91" s="16">
        <f t="shared" si="5"/>
        <v>0</v>
      </c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32" t="s">
        <v>35</v>
      </c>
      <c r="AE91" s="32" t="s">
        <v>37</v>
      </c>
      <c r="AF91" s="32" t="s">
        <v>37</v>
      </c>
      <c r="AG91" s="33">
        <v>1.0</v>
      </c>
      <c r="AH91" s="33">
        <v>0.0</v>
      </c>
      <c r="AI91" s="33">
        <v>101245.44</v>
      </c>
      <c r="AJ91" s="33">
        <v>0.0</v>
      </c>
      <c r="AK91" s="33">
        <f t="shared" si="4"/>
        <v>0</v>
      </c>
      <c r="AL91" s="33">
        <f t="shared" si="6"/>
        <v>0</v>
      </c>
      <c r="AM91" s="33"/>
      <c r="AN91" s="33"/>
      <c r="AO91" s="33"/>
    </row>
    <row r="92">
      <c r="A92" s="86"/>
      <c r="B92" s="86"/>
      <c r="C92" s="86"/>
      <c r="D92" s="60" t="s">
        <v>40</v>
      </c>
      <c r="E92" s="60" t="s">
        <v>31</v>
      </c>
      <c r="F92" s="61">
        <v>535.69</v>
      </c>
      <c r="G92" s="16"/>
      <c r="H92" s="73" t="s">
        <v>40</v>
      </c>
      <c r="I92" s="73" t="s">
        <v>31</v>
      </c>
      <c r="J92" s="73" t="s">
        <v>35</v>
      </c>
      <c r="K92" s="73">
        <v>1.0</v>
      </c>
      <c r="L92" s="73">
        <v>403.0102135</v>
      </c>
      <c r="M92" s="73">
        <v>535.69</v>
      </c>
      <c r="N92" s="73">
        <v>3238328.119</v>
      </c>
      <c r="O92" s="87">
        <f>IFERROR(__xludf.DUMMYFUNCTION("FILTER($F$11:$F$110, TRIM($D$11:$D$110) = TRIM(H92), TRIM($E$11:$E$110) = TRIM(I92))"),535.69)</f>
        <v>535.69</v>
      </c>
      <c r="P92" s="16">
        <f t="shared" si="1"/>
        <v>3238328.119</v>
      </c>
      <c r="Q92" s="16">
        <f t="shared" si="5"/>
        <v>0.00004722550511</v>
      </c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32" t="s">
        <v>40</v>
      </c>
      <c r="AE92" s="32" t="s">
        <v>31</v>
      </c>
      <c r="AF92" s="32" t="s">
        <v>31</v>
      </c>
      <c r="AG92" s="33">
        <v>1.0</v>
      </c>
      <c r="AH92" s="33">
        <v>0.0</v>
      </c>
      <c r="AI92" s="33">
        <v>535.69</v>
      </c>
      <c r="AJ92" s="33">
        <v>0.0</v>
      </c>
      <c r="AK92" s="33">
        <f t="shared" si="4"/>
        <v>0</v>
      </c>
      <c r="AL92" s="33">
        <f t="shared" si="6"/>
        <v>0</v>
      </c>
      <c r="AM92" s="33"/>
      <c r="AN92" s="33"/>
      <c r="AO92" s="33"/>
    </row>
    <row r="93">
      <c r="A93" s="86"/>
      <c r="B93" s="86"/>
      <c r="C93" s="86"/>
      <c r="D93" s="60" t="s">
        <v>40</v>
      </c>
      <c r="E93" s="60" t="s">
        <v>34</v>
      </c>
      <c r="F93" s="59">
        <v>1238.12</v>
      </c>
      <c r="G93" s="16"/>
      <c r="H93" s="73" t="s">
        <v>40</v>
      </c>
      <c r="I93" s="73" t="s">
        <v>34</v>
      </c>
      <c r="J93" s="73" t="s">
        <v>35</v>
      </c>
      <c r="K93" s="73">
        <v>1.0</v>
      </c>
      <c r="L93" s="73">
        <v>403.0102135</v>
      </c>
      <c r="M93" s="73">
        <v>1238.12</v>
      </c>
      <c r="N93" s="73">
        <v>7484625.083</v>
      </c>
      <c r="O93" s="23">
        <f>IFERROR(__xludf.DUMMYFUNCTION("FILTER($F$11:$F$110, TRIM($D$11:$D$110) = TRIM(H93), TRIM($E$11:$E$110) = TRIM(I93))"),1238.12)</f>
        <v>1238.12</v>
      </c>
      <c r="P93" s="16">
        <f t="shared" si="1"/>
        <v>7484625.083</v>
      </c>
      <c r="Q93" s="16">
        <f t="shared" si="5"/>
        <v>0.00007930025458</v>
      </c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32" t="s">
        <v>40</v>
      </c>
      <c r="AE93" s="32" t="s">
        <v>34</v>
      </c>
      <c r="AF93" s="32" t="s">
        <v>33</v>
      </c>
      <c r="AG93" s="33">
        <v>1.0</v>
      </c>
      <c r="AH93" s="33">
        <v>966.6814589</v>
      </c>
      <c r="AI93" s="33">
        <v>1238.12</v>
      </c>
      <c r="AJ93" s="33">
        <v>1.795301472E7</v>
      </c>
      <c r="AK93" s="33">
        <f t="shared" si="4"/>
        <v>17953014.72</v>
      </c>
      <c r="AL93" s="33">
        <f t="shared" si="6"/>
        <v>-0.001600980759</v>
      </c>
      <c r="AM93" s="33"/>
      <c r="AN93" s="33"/>
      <c r="AO93" s="33"/>
    </row>
    <row r="94">
      <c r="A94" s="86"/>
      <c r="B94" s="86"/>
      <c r="C94" s="86"/>
      <c r="D94" s="60" t="s">
        <v>40</v>
      </c>
      <c r="E94" s="60" t="s">
        <v>36</v>
      </c>
      <c r="F94" s="61">
        <v>540.3</v>
      </c>
      <c r="G94" s="16"/>
      <c r="H94" s="73" t="s">
        <v>40</v>
      </c>
      <c r="I94" s="73" t="s">
        <v>36</v>
      </c>
      <c r="J94" s="73" t="s">
        <v>35</v>
      </c>
      <c r="K94" s="73">
        <v>1.0</v>
      </c>
      <c r="L94" s="73">
        <v>403.0102135</v>
      </c>
      <c r="M94" s="73">
        <v>540.3</v>
      </c>
      <c r="N94" s="73">
        <v>3266196.275</v>
      </c>
      <c r="O94" s="87">
        <f>IFERROR(__xludf.DUMMYFUNCTION("FILTER($F$11:$F$110, TRIM($D$11:$D$110) = TRIM(H94), TRIM($E$11:$E$110) = TRIM(I94))"),540.3)</f>
        <v>540.3</v>
      </c>
      <c r="P94" s="16">
        <f t="shared" si="1"/>
        <v>3266196.275</v>
      </c>
      <c r="Q94" s="16">
        <f t="shared" si="5"/>
        <v>0.0003107502125</v>
      </c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32" t="s">
        <v>40</v>
      </c>
      <c r="AE94" s="32" t="s">
        <v>36</v>
      </c>
      <c r="AF94" s="32" t="s">
        <v>33</v>
      </c>
      <c r="AG94" s="33">
        <v>1.0</v>
      </c>
      <c r="AH94" s="33">
        <v>397.4791528</v>
      </c>
      <c r="AI94" s="33">
        <v>540.3</v>
      </c>
      <c r="AJ94" s="33">
        <v>3221369.794</v>
      </c>
      <c r="AK94" s="33">
        <f t="shared" si="4"/>
        <v>3221369.794</v>
      </c>
      <c r="AL94" s="33">
        <f t="shared" si="6"/>
        <v>-0.0001324000768</v>
      </c>
      <c r="AM94" s="33"/>
      <c r="AN94" s="33"/>
      <c r="AO94" s="33"/>
    </row>
    <row r="95">
      <c r="A95" s="86"/>
      <c r="B95" s="86"/>
      <c r="C95" s="86"/>
      <c r="D95" s="60" t="s">
        <v>40</v>
      </c>
      <c r="E95" s="60" t="s">
        <v>32</v>
      </c>
      <c r="F95" s="59">
        <v>1578.11</v>
      </c>
      <c r="G95" s="16"/>
      <c r="H95" s="73" t="s">
        <v>40</v>
      </c>
      <c r="I95" s="73" t="s">
        <v>32</v>
      </c>
      <c r="J95" s="73" t="s">
        <v>35</v>
      </c>
      <c r="K95" s="73">
        <v>1.0</v>
      </c>
      <c r="L95" s="73">
        <v>403.0102135</v>
      </c>
      <c r="M95" s="73">
        <v>1578.11</v>
      </c>
      <c r="N95" s="73">
        <v>9539916.721</v>
      </c>
      <c r="O95" s="23">
        <f>IFERROR(__xludf.DUMMYFUNCTION("FILTER($F$11:$F$110, TRIM($D$11:$D$110) = TRIM(H95), TRIM($E$11:$E$110) = TRIM(I95))"),1578.11)</f>
        <v>1578.11</v>
      </c>
      <c r="P95" s="16">
        <f t="shared" si="1"/>
        <v>9539916.72</v>
      </c>
      <c r="Q95" s="16">
        <f t="shared" si="5"/>
        <v>-0.0006027258933</v>
      </c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32" t="s">
        <v>40</v>
      </c>
      <c r="AE95" s="32" t="s">
        <v>32</v>
      </c>
      <c r="AF95" s="32" t="s">
        <v>33</v>
      </c>
      <c r="AG95" s="33">
        <v>1.0</v>
      </c>
      <c r="AH95" s="33">
        <v>525.4495222</v>
      </c>
      <c r="AI95" s="33">
        <v>1578.11</v>
      </c>
      <c r="AJ95" s="33">
        <v>1.243825718E7</v>
      </c>
      <c r="AK95" s="33">
        <f t="shared" si="4"/>
        <v>12438257.18</v>
      </c>
      <c r="AL95" s="33">
        <f t="shared" si="6"/>
        <v>0.002185629681</v>
      </c>
      <c r="AM95" s="33"/>
      <c r="AN95" s="33"/>
      <c r="AO95" s="33"/>
    </row>
    <row r="96">
      <c r="A96" s="86"/>
      <c r="B96" s="86"/>
      <c r="C96" s="86"/>
      <c r="D96" s="60" t="s">
        <v>40</v>
      </c>
      <c r="E96" s="60" t="s">
        <v>38</v>
      </c>
      <c r="F96" s="61">
        <v>310.92</v>
      </c>
      <c r="G96" s="16"/>
      <c r="H96" s="73" t="s">
        <v>40</v>
      </c>
      <c r="I96" s="73" t="s">
        <v>38</v>
      </c>
      <c r="J96" s="73" t="s">
        <v>35</v>
      </c>
      <c r="K96" s="73">
        <v>1.0</v>
      </c>
      <c r="L96" s="73">
        <v>403.0102135</v>
      </c>
      <c r="M96" s="73">
        <v>310.92</v>
      </c>
      <c r="N96" s="73">
        <v>1879559.034</v>
      </c>
      <c r="O96" s="87">
        <f>IFERROR(__xludf.DUMMYFUNCTION("FILTER($F$11:$F$110, TRIM($D$11:$D$110) = TRIM(H96), TRIM($E$11:$E$110) = TRIM(I96))"),310.92)</f>
        <v>310.92</v>
      </c>
      <c r="P96" s="16">
        <f t="shared" si="1"/>
        <v>1879559.034</v>
      </c>
      <c r="Q96" s="16">
        <f t="shared" si="5"/>
        <v>-0.0002786996774</v>
      </c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32" t="s">
        <v>40</v>
      </c>
      <c r="AE96" s="32" t="s">
        <v>38</v>
      </c>
      <c r="AF96" s="32" t="s">
        <v>33</v>
      </c>
      <c r="AG96" s="33">
        <v>1.0</v>
      </c>
      <c r="AH96" s="33">
        <v>176.4669161</v>
      </c>
      <c r="AI96" s="33">
        <v>310.92</v>
      </c>
      <c r="AJ96" s="33">
        <v>823006.4032</v>
      </c>
      <c r="AK96" s="33">
        <f t="shared" si="4"/>
        <v>823006.4033</v>
      </c>
      <c r="AL96" s="33">
        <f t="shared" si="6"/>
        <v>0.0001071799779</v>
      </c>
      <c r="AM96" s="33"/>
      <c r="AN96" s="33"/>
      <c r="AO96" s="33"/>
    </row>
    <row r="97">
      <c r="A97" s="86"/>
      <c r="B97" s="86"/>
      <c r="C97" s="86"/>
      <c r="D97" s="60" t="s">
        <v>40</v>
      </c>
      <c r="E97" s="60" t="s">
        <v>33</v>
      </c>
      <c r="F97" s="59">
        <v>2948.54</v>
      </c>
      <c r="G97" s="16"/>
      <c r="H97" s="73" t="s">
        <v>40</v>
      </c>
      <c r="I97" s="73" t="s">
        <v>33</v>
      </c>
      <c r="J97" s="73" t="s">
        <v>35</v>
      </c>
      <c r="K97" s="73">
        <v>1.0</v>
      </c>
      <c r="L97" s="73">
        <v>403.0102135</v>
      </c>
      <c r="M97" s="73">
        <v>2948.54</v>
      </c>
      <c r="N97" s="73">
        <v>1.782437602E7</v>
      </c>
      <c r="O97" s="23">
        <f>IFERROR(__xludf.DUMMYFUNCTION("FILTER($F$11:$F$110, TRIM($D$11:$D$110) = TRIM(H97), TRIM($E$11:$E$110) = TRIM(I97))"),2948.54)</f>
        <v>2948.54</v>
      </c>
      <c r="P97" s="16">
        <f t="shared" si="1"/>
        <v>17824376.02</v>
      </c>
      <c r="Q97" s="16">
        <f t="shared" si="5"/>
        <v>0.003699351102</v>
      </c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32" t="s">
        <v>40</v>
      </c>
      <c r="AE97" s="32" t="s">
        <v>33</v>
      </c>
      <c r="AF97" s="32" t="s">
        <v>33</v>
      </c>
      <c r="AG97" s="33">
        <v>1.0</v>
      </c>
      <c r="AH97" s="33">
        <v>0.0</v>
      </c>
      <c r="AI97" s="33">
        <v>2948.54</v>
      </c>
      <c r="AJ97" s="33">
        <v>0.0</v>
      </c>
      <c r="AK97" s="33">
        <f t="shared" si="4"/>
        <v>0</v>
      </c>
      <c r="AL97" s="33">
        <f t="shared" si="6"/>
        <v>0</v>
      </c>
      <c r="AM97" s="33"/>
      <c r="AN97" s="33"/>
      <c r="AO97" s="33"/>
    </row>
    <row r="98">
      <c r="A98" s="86"/>
      <c r="B98" s="86"/>
      <c r="C98" s="86"/>
      <c r="D98" s="60" t="s">
        <v>40</v>
      </c>
      <c r="E98" s="60" t="s">
        <v>39</v>
      </c>
      <c r="F98" s="61">
        <v>663.27</v>
      </c>
      <c r="G98" s="16"/>
      <c r="H98" s="73" t="s">
        <v>40</v>
      </c>
      <c r="I98" s="73" t="s">
        <v>39</v>
      </c>
      <c r="J98" s="73" t="s">
        <v>35</v>
      </c>
      <c r="K98" s="73">
        <v>1.0</v>
      </c>
      <c r="L98" s="73">
        <v>403.0102135</v>
      </c>
      <c r="M98" s="73">
        <v>663.27</v>
      </c>
      <c r="N98" s="73">
        <v>4009568.765</v>
      </c>
      <c r="O98" s="87">
        <f>IFERROR(__xludf.DUMMYFUNCTION("FILTER($F$11:$F$110, TRIM($D$11:$D$110) = TRIM(H98), TRIM($E$11:$E$110) = TRIM(I98))"),663.27)</f>
        <v>663.27</v>
      </c>
      <c r="P98" s="16">
        <f t="shared" si="1"/>
        <v>4009568.765</v>
      </c>
      <c r="Q98" s="16">
        <f t="shared" si="5"/>
        <v>-0.0003778249957</v>
      </c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32" t="s">
        <v>40</v>
      </c>
      <c r="AE98" s="32" t="s">
        <v>39</v>
      </c>
      <c r="AF98" s="32" t="s">
        <v>35</v>
      </c>
      <c r="AG98" s="33">
        <v>1.0</v>
      </c>
      <c r="AH98" s="33">
        <v>186.1799846</v>
      </c>
      <c r="AI98" s="33">
        <v>663.27</v>
      </c>
      <c r="AJ98" s="33">
        <v>1852313.975</v>
      </c>
      <c r="AK98" s="33">
        <f t="shared" si="4"/>
        <v>1852313.976</v>
      </c>
      <c r="AL98" s="33">
        <f t="shared" si="6"/>
        <v>0.0007846299559</v>
      </c>
      <c r="AM98" s="33"/>
      <c r="AN98" s="33"/>
      <c r="AO98" s="33"/>
    </row>
    <row r="99">
      <c r="A99" s="86"/>
      <c r="B99" s="86"/>
      <c r="C99" s="86"/>
      <c r="D99" s="60" t="s">
        <v>40</v>
      </c>
      <c r="E99" s="60" t="s">
        <v>35</v>
      </c>
      <c r="F99" s="59">
        <v>4287.94</v>
      </c>
      <c r="G99" s="16"/>
      <c r="H99" s="73" t="s">
        <v>40</v>
      </c>
      <c r="I99" s="73" t="s">
        <v>35</v>
      </c>
      <c r="J99" s="73" t="s">
        <v>35</v>
      </c>
      <c r="K99" s="73">
        <v>1.0</v>
      </c>
      <c r="L99" s="73">
        <v>403.0102135</v>
      </c>
      <c r="M99" s="73">
        <v>4287.94</v>
      </c>
      <c r="N99" s="73">
        <v>2.592125422E7</v>
      </c>
      <c r="O99" s="23">
        <f>IFERROR(__xludf.DUMMYFUNCTION("FILTER($F$11:$F$110, TRIM($D$11:$D$110) = TRIM(H99), TRIM($E$11:$E$110) = TRIM(I99))"),4287.94)</f>
        <v>4287.94</v>
      </c>
      <c r="P99" s="16">
        <f t="shared" si="1"/>
        <v>25921254.22</v>
      </c>
      <c r="Q99" s="16">
        <f t="shared" si="5"/>
        <v>0.003127850592</v>
      </c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32" t="s">
        <v>40</v>
      </c>
      <c r="AE99" s="32" t="s">
        <v>35</v>
      </c>
      <c r="AF99" s="32" t="s">
        <v>35</v>
      </c>
      <c r="AG99" s="33">
        <v>1.0</v>
      </c>
      <c r="AH99" s="33">
        <v>0.0</v>
      </c>
      <c r="AI99" s="33">
        <v>4287.94</v>
      </c>
      <c r="AJ99" s="33">
        <v>0.0</v>
      </c>
      <c r="AK99" s="33">
        <f t="shared" si="4"/>
        <v>0</v>
      </c>
      <c r="AL99" s="33">
        <f t="shared" si="6"/>
        <v>0</v>
      </c>
      <c r="AM99" s="33"/>
      <c r="AN99" s="33"/>
      <c r="AO99" s="33"/>
    </row>
    <row r="100">
      <c r="A100" s="86"/>
      <c r="B100" s="86"/>
      <c r="C100" s="86"/>
      <c r="D100" s="60" t="s">
        <v>40</v>
      </c>
      <c r="E100" s="60" t="s">
        <v>40</v>
      </c>
      <c r="F100" s="53">
        <v>0.0</v>
      </c>
      <c r="G100" s="16"/>
      <c r="H100" s="73" t="s">
        <v>40</v>
      </c>
      <c r="I100" s="73" t="s">
        <v>40</v>
      </c>
      <c r="J100" s="73" t="s">
        <v>31</v>
      </c>
      <c r="K100" s="73">
        <v>1.0</v>
      </c>
      <c r="L100" s="73">
        <v>2163.425144</v>
      </c>
      <c r="M100" s="73">
        <v>0.0</v>
      </c>
      <c r="N100" s="73">
        <v>0.0</v>
      </c>
      <c r="O100" s="23">
        <f>IFERROR(__xludf.DUMMYFUNCTION("FILTER($F$11:$F$110, TRIM($D$11:$D$110) = TRIM(H100), TRIM($E$11:$E$110) = TRIM(I100))"),0.0)</f>
        <v>0</v>
      </c>
      <c r="P100" s="16">
        <f t="shared" si="1"/>
        <v>0</v>
      </c>
      <c r="Q100" s="16">
        <f t="shared" si="5"/>
        <v>0</v>
      </c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32" t="s">
        <v>40</v>
      </c>
      <c r="AE100" s="32" t="s">
        <v>40</v>
      </c>
      <c r="AF100" s="32" t="s">
        <v>31</v>
      </c>
      <c r="AG100" s="33">
        <v>1.0</v>
      </c>
      <c r="AH100" s="33">
        <v>2163.425144</v>
      </c>
      <c r="AI100" s="33">
        <v>0.0</v>
      </c>
      <c r="AJ100" s="33">
        <v>0.0</v>
      </c>
      <c r="AK100" s="33">
        <f t="shared" si="4"/>
        <v>0</v>
      </c>
      <c r="AL100" s="33">
        <f t="shared" si="6"/>
        <v>0</v>
      </c>
      <c r="AM100" s="33"/>
      <c r="AN100" s="33"/>
      <c r="AO100" s="33"/>
    </row>
    <row r="101">
      <c r="A101" s="86"/>
      <c r="B101" s="86"/>
      <c r="C101" s="86"/>
      <c r="D101" s="60" t="s">
        <v>40</v>
      </c>
      <c r="E101" s="60" t="s">
        <v>37</v>
      </c>
      <c r="F101" s="59">
        <v>1785.4</v>
      </c>
      <c r="G101" s="16"/>
      <c r="H101" s="73" t="s">
        <v>40</v>
      </c>
      <c r="I101" s="73" t="s">
        <v>37</v>
      </c>
      <c r="J101" s="73" t="s">
        <v>37</v>
      </c>
      <c r="K101" s="73">
        <v>1.0</v>
      </c>
      <c r="L101" s="73">
        <v>256.3030366</v>
      </c>
      <c r="M101" s="73">
        <v>1785.4</v>
      </c>
      <c r="N101" s="73">
        <v>6864051.623</v>
      </c>
      <c r="O101" s="23">
        <f>IFERROR(__xludf.DUMMYFUNCTION("FILTER($F$11:$F$110, TRIM($D$11:$D$110) = TRIM(H101), TRIM($E$11:$E$110) = TRIM(I101))"),1785.4)</f>
        <v>1785.4</v>
      </c>
      <c r="P101" s="16">
        <f t="shared" si="1"/>
        <v>6864051.623</v>
      </c>
      <c r="Q101" s="16">
        <f t="shared" si="5"/>
        <v>0.0001846002415</v>
      </c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32" t="s">
        <v>40</v>
      </c>
      <c r="AE101" s="32" t="s">
        <v>37</v>
      </c>
      <c r="AF101" s="32" t="s">
        <v>37</v>
      </c>
      <c r="AG101" s="33">
        <v>1.0</v>
      </c>
      <c r="AH101" s="33">
        <v>0.0</v>
      </c>
      <c r="AI101" s="33">
        <v>1785.4</v>
      </c>
      <c r="AJ101" s="33">
        <v>0.0</v>
      </c>
      <c r="AK101" s="33">
        <f t="shared" si="4"/>
        <v>0</v>
      </c>
      <c r="AL101" s="33">
        <f t="shared" si="6"/>
        <v>0</v>
      </c>
      <c r="AM101" s="33"/>
      <c r="AN101" s="33"/>
      <c r="AO101" s="33"/>
    </row>
    <row r="102">
      <c r="A102" s="88"/>
      <c r="B102" s="88"/>
      <c r="C102" s="88"/>
      <c r="D102" s="62" t="s">
        <v>37</v>
      </c>
      <c r="E102" s="62" t="s">
        <v>31</v>
      </c>
      <c r="F102" s="59">
        <v>29981.56</v>
      </c>
      <c r="G102" s="16"/>
      <c r="H102" s="73" t="s">
        <v>37</v>
      </c>
      <c r="I102" s="73" t="s">
        <v>31</v>
      </c>
      <c r="J102" s="73" t="s">
        <v>37</v>
      </c>
      <c r="K102" s="73">
        <v>1.0</v>
      </c>
      <c r="L102" s="73">
        <v>0.0</v>
      </c>
      <c r="M102" s="73">
        <v>29981.56</v>
      </c>
      <c r="N102" s="73">
        <v>0.0</v>
      </c>
      <c r="O102" s="23">
        <f>IFERROR(__xludf.DUMMYFUNCTION("FILTER($F$11:$F$110, TRIM($D$11:$D$110) = TRIM(H102), TRIM($E$11:$E$110) = TRIM(I102))"),29981.56)</f>
        <v>29981.56</v>
      </c>
      <c r="P102" s="16">
        <f t="shared" si="1"/>
        <v>0</v>
      </c>
      <c r="Q102" s="16">
        <f t="shared" si="5"/>
        <v>0</v>
      </c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32" t="s">
        <v>37</v>
      </c>
      <c r="AE102" s="32" t="s">
        <v>31</v>
      </c>
      <c r="AF102" s="32" t="s">
        <v>31</v>
      </c>
      <c r="AG102" s="33">
        <v>1.0</v>
      </c>
      <c r="AH102" s="33">
        <v>0.0</v>
      </c>
      <c r="AI102" s="33">
        <v>29981.56</v>
      </c>
      <c r="AJ102" s="33">
        <v>0.0</v>
      </c>
      <c r="AK102" s="33">
        <f t="shared" si="4"/>
        <v>0</v>
      </c>
      <c r="AL102" s="33">
        <f t="shared" si="6"/>
        <v>0</v>
      </c>
      <c r="AM102" s="33"/>
      <c r="AN102" s="33"/>
      <c r="AO102" s="33"/>
    </row>
    <row r="103">
      <c r="A103" s="88"/>
      <c r="B103" s="88"/>
      <c r="C103" s="88"/>
      <c r="D103" s="62" t="s">
        <v>37</v>
      </c>
      <c r="E103" s="62" t="s">
        <v>34</v>
      </c>
      <c r="F103" s="59">
        <v>2231.22</v>
      </c>
      <c r="G103" s="16"/>
      <c r="H103" s="73" t="s">
        <v>37</v>
      </c>
      <c r="I103" s="73" t="s">
        <v>34</v>
      </c>
      <c r="J103" s="73" t="s">
        <v>37</v>
      </c>
      <c r="K103" s="73">
        <v>1.0</v>
      </c>
      <c r="L103" s="73">
        <v>0.0</v>
      </c>
      <c r="M103" s="73">
        <v>2231.22</v>
      </c>
      <c r="N103" s="73">
        <v>0.0</v>
      </c>
      <c r="O103" s="23">
        <f>IFERROR(__xludf.DUMMYFUNCTION("FILTER($F$11:$F$110, TRIM($D$11:$D$110) = TRIM(H103), TRIM($E$11:$E$110) = TRIM(I103))"),2231.22)</f>
        <v>2231.22</v>
      </c>
      <c r="P103" s="16">
        <f t="shared" si="1"/>
        <v>0</v>
      </c>
      <c r="Q103" s="16">
        <f t="shared" si="5"/>
        <v>0</v>
      </c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32" t="s">
        <v>37</v>
      </c>
      <c r="AE103" s="32" t="s">
        <v>34</v>
      </c>
      <c r="AF103" s="32" t="s">
        <v>33</v>
      </c>
      <c r="AG103" s="33">
        <v>1.0</v>
      </c>
      <c r="AH103" s="33">
        <v>966.6814589</v>
      </c>
      <c r="AI103" s="33">
        <v>2231.22</v>
      </c>
      <c r="AJ103" s="33">
        <v>3.235318507E7</v>
      </c>
      <c r="AK103" s="33">
        <f t="shared" si="4"/>
        <v>32353185.07</v>
      </c>
      <c r="AL103" s="33">
        <f t="shared" si="6"/>
        <v>0.0009028688073</v>
      </c>
      <c r="AM103" s="33"/>
      <c r="AN103" s="33"/>
      <c r="AO103" s="33"/>
    </row>
    <row r="104">
      <c r="A104" s="88"/>
      <c r="B104" s="88"/>
      <c r="C104" s="88"/>
      <c r="D104" s="62" t="s">
        <v>37</v>
      </c>
      <c r="E104" s="62" t="s">
        <v>36</v>
      </c>
      <c r="F104" s="59">
        <v>3648.96</v>
      </c>
      <c r="G104" s="16"/>
      <c r="H104" s="73" t="s">
        <v>37</v>
      </c>
      <c r="I104" s="73" t="s">
        <v>36</v>
      </c>
      <c r="J104" s="73" t="s">
        <v>37</v>
      </c>
      <c r="K104" s="73">
        <v>1.0</v>
      </c>
      <c r="L104" s="73">
        <v>0.0</v>
      </c>
      <c r="M104" s="73">
        <v>3648.96</v>
      </c>
      <c r="N104" s="73">
        <v>0.0</v>
      </c>
      <c r="O104" s="23">
        <f>IFERROR(__xludf.DUMMYFUNCTION("FILTER($F$11:$F$110, TRIM($D$11:$D$110) = TRIM(H104), TRIM($E$11:$E$110) = TRIM(I104))"),3648.96)</f>
        <v>3648.96</v>
      </c>
      <c r="P104" s="16">
        <f t="shared" si="1"/>
        <v>0</v>
      </c>
      <c r="Q104" s="16">
        <f t="shared" si="5"/>
        <v>0</v>
      </c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32" t="s">
        <v>37</v>
      </c>
      <c r="AE104" s="32" t="s">
        <v>36</v>
      </c>
      <c r="AF104" s="32" t="s">
        <v>33</v>
      </c>
      <c r="AG104" s="33">
        <v>1.0</v>
      </c>
      <c r="AH104" s="33">
        <v>397.4791528</v>
      </c>
      <c r="AI104" s="33">
        <v>3648.96</v>
      </c>
      <c r="AJ104" s="33">
        <v>2.175578294E7</v>
      </c>
      <c r="AK104" s="33">
        <f t="shared" si="4"/>
        <v>21755782.94</v>
      </c>
      <c r="AL104" s="33">
        <f t="shared" si="6"/>
        <v>0.001016322523</v>
      </c>
      <c r="AM104" s="33"/>
      <c r="AN104" s="33"/>
      <c r="AO104" s="33"/>
    </row>
    <row r="105">
      <c r="A105" s="88"/>
      <c r="B105" s="88"/>
      <c r="C105" s="88"/>
      <c r="D105" s="62" t="s">
        <v>37</v>
      </c>
      <c r="E105" s="62" t="s">
        <v>32</v>
      </c>
      <c r="F105" s="59">
        <v>35048.12</v>
      </c>
      <c r="G105" s="16"/>
      <c r="H105" s="73" t="s">
        <v>37</v>
      </c>
      <c r="I105" s="73" t="s">
        <v>32</v>
      </c>
      <c r="J105" s="73" t="s">
        <v>37</v>
      </c>
      <c r="K105" s="73">
        <v>1.0</v>
      </c>
      <c r="L105" s="73">
        <v>0.0</v>
      </c>
      <c r="M105" s="73">
        <v>35048.12</v>
      </c>
      <c r="N105" s="73">
        <v>0.0</v>
      </c>
      <c r="O105" s="23">
        <f>IFERROR(__xludf.DUMMYFUNCTION("FILTER($F$11:$F$110, TRIM($D$11:$D$110) = TRIM(H105), TRIM($E$11:$E$110) = TRIM(I105))"),35048.12)</f>
        <v>35048.12</v>
      </c>
      <c r="P105" s="16">
        <f t="shared" si="1"/>
        <v>0</v>
      </c>
      <c r="Q105" s="16">
        <f t="shared" si="5"/>
        <v>0</v>
      </c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32" t="s">
        <v>37</v>
      </c>
      <c r="AE105" s="32" t="s">
        <v>32</v>
      </c>
      <c r="AF105" s="32" t="s">
        <v>33</v>
      </c>
      <c r="AG105" s="33">
        <v>1.0</v>
      </c>
      <c r="AH105" s="33">
        <v>525.4495222</v>
      </c>
      <c r="AI105" s="33">
        <v>35048.12</v>
      </c>
      <c r="AJ105" s="33">
        <v>2.762402686E8</v>
      </c>
      <c r="AK105" s="33">
        <f t="shared" si="4"/>
        <v>276240268.6</v>
      </c>
      <c r="AL105" s="33">
        <f t="shared" si="6"/>
        <v>0.02012395859</v>
      </c>
      <c r="AM105" s="33"/>
      <c r="AN105" s="33"/>
      <c r="AO105" s="33"/>
    </row>
    <row r="106">
      <c r="A106" s="88"/>
      <c r="B106" s="88"/>
      <c r="C106" s="88"/>
      <c r="D106" s="62" t="s">
        <v>37</v>
      </c>
      <c r="E106" s="62" t="s">
        <v>38</v>
      </c>
      <c r="F106" s="59">
        <v>4802.16</v>
      </c>
      <c r="G106" s="16"/>
      <c r="H106" s="73" t="s">
        <v>37</v>
      </c>
      <c r="I106" s="73" t="s">
        <v>38</v>
      </c>
      <c r="J106" s="73" t="s">
        <v>37</v>
      </c>
      <c r="K106" s="73">
        <v>1.0</v>
      </c>
      <c r="L106" s="73">
        <v>0.0</v>
      </c>
      <c r="M106" s="73">
        <v>4802.16</v>
      </c>
      <c r="N106" s="73">
        <v>0.0</v>
      </c>
      <c r="O106" s="23">
        <f>IFERROR(__xludf.DUMMYFUNCTION("FILTER($F$11:$F$110, TRIM($D$11:$D$110) = TRIM(H106), TRIM($E$11:$E$110) = TRIM(I106))"),4802.16)</f>
        <v>4802.16</v>
      </c>
      <c r="P106" s="16">
        <f t="shared" si="1"/>
        <v>0</v>
      </c>
      <c r="Q106" s="16">
        <f t="shared" si="5"/>
        <v>0</v>
      </c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32" t="s">
        <v>37</v>
      </c>
      <c r="AE106" s="32" t="s">
        <v>38</v>
      </c>
      <c r="AF106" s="32" t="s">
        <v>33</v>
      </c>
      <c r="AG106" s="33">
        <v>1.0</v>
      </c>
      <c r="AH106" s="33">
        <v>176.4669161</v>
      </c>
      <c r="AI106" s="33">
        <v>4802.16</v>
      </c>
      <c r="AJ106" s="33">
        <v>1.271133549E7</v>
      </c>
      <c r="AK106" s="33">
        <f t="shared" si="4"/>
        <v>12711335.49</v>
      </c>
      <c r="AL106" s="33">
        <f t="shared" si="6"/>
        <v>-0.002718361095</v>
      </c>
      <c r="AM106" s="33"/>
      <c r="AN106" s="33"/>
      <c r="AO106" s="33"/>
    </row>
    <row r="107">
      <c r="A107" s="88"/>
      <c r="B107" s="88"/>
      <c r="C107" s="88"/>
      <c r="D107" s="62" t="s">
        <v>37</v>
      </c>
      <c r="E107" s="62" t="s">
        <v>33</v>
      </c>
      <c r="F107" s="59">
        <v>19692.68</v>
      </c>
      <c r="G107" s="16"/>
      <c r="H107" s="73" t="s">
        <v>37</v>
      </c>
      <c r="I107" s="73" t="s">
        <v>33</v>
      </c>
      <c r="J107" s="73" t="s">
        <v>37</v>
      </c>
      <c r="K107" s="73">
        <v>1.0</v>
      </c>
      <c r="L107" s="73">
        <v>0.0</v>
      </c>
      <c r="M107" s="73">
        <v>19692.68</v>
      </c>
      <c r="N107" s="73">
        <v>0.0</v>
      </c>
      <c r="O107" s="23">
        <f>IFERROR(__xludf.DUMMYFUNCTION("FILTER($F$11:$F$110, TRIM($D$11:$D$110) = TRIM(H107), TRIM($E$11:$E$110) = TRIM(I107))"),19692.68)</f>
        <v>19692.68</v>
      </c>
      <c r="P107" s="16">
        <f t="shared" si="1"/>
        <v>0</v>
      </c>
      <c r="Q107" s="16">
        <f t="shared" si="5"/>
        <v>0</v>
      </c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32" t="s">
        <v>37</v>
      </c>
      <c r="AE107" s="32" t="s">
        <v>33</v>
      </c>
      <c r="AF107" s="32" t="s">
        <v>33</v>
      </c>
      <c r="AG107" s="33">
        <v>1.0</v>
      </c>
      <c r="AH107" s="33">
        <v>0.0</v>
      </c>
      <c r="AI107" s="33">
        <v>19692.68</v>
      </c>
      <c r="AJ107" s="33">
        <v>0.0</v>
      </c>
      <c r="AK107" s="33">
        <f t="shared" si="4"/>
        <v>0</v>
      </c>
      <c r="AL107" s="33">
        <f t="shared" si="6"/>
        <v>0</v>
      </c>
      <c r="AM107" s="33"/>
      <c r="AN107" s="33"/>
      <c r="AO107" s="33"/>
    </row>
    <row r="108">
      <c r="A108" s="88"/>
      <c r="B108" s="88"/>
      <c r="C108" s="88"/>
      <c r="D108" s="62" t="s">
        <v>37</v>
      </c>
      <c r="E108" s="62" t="s">
        <v>39</v>
      </c>
      <c r="F108" s="59">
        <v>4405.52</v>
      </c>
      <c r="G108" s="16"/>
      <c r="H108" s="73" t="s">
        <v>37</v>
      </c>
      <c r="I108" s="73" t="s">
        <v>39</v>
      </c>
      <c r="J108" s="73" t="s">
        <v>37</v>
      </c>
      <c r="K108" s="73">
        <v>1.0</v>
      </c>
      <c r="L108" s="73">
        <v>0.0</v>
      </c>
      <c r="M108" s="73">
        <v>4405.52</v>
      </c>
      <c r="N108" s="73">
        <v>0.0</v>
      </c>
      <c r="O108" s="23">
        <f>IFERROR(__xludf.DUMMYFUNCTION("FILTER($F$11:$F$110, TRIM($D$11:$D$110) = TRIM(H108), TRIM($E$11:$E$110) = TRIM(I108))"),4405.52)</f>
        <v>4405.52</v>
      </c>
      <c r="P108" s="16">
        <f t="shared" si="1"/>
        <v>0</v>
      </c>
      <c r="Q108" s="16">
        <f t="shared" si="5"/>
        <v>0</v>
      </c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32" t="s">
        <v>37</v>
      </c>
      <c r="AE108" s="32" t="s">
        <v>39</v>
      </c>
      <c r="AF108" s="32" t="s">
        <v>35</v>
      </c>
      <c r="AG108" s="33">
        <v>1.0</v>
      </c>
      <c r="AH108" s="33">
        <v>186.1799846</v>
      </c>
      <c r="AI108" s="33">
        <v>4405.52</v>
      </c>
      <c r="AJ108" s="33">
        <v>1.230329468E7</v>
      </c>
      <c r="AK108" s="33">
        <f t="shared" si="4"/>
        <v>12303294.69</v>
      </c>
      <c r="AL108" s="33">
        <f t="shared" si="6"/>
        <v>0.00632488355</v>
      </c>
      <c r="AM108" s="33"/>
      <c r="AN108" s="33"/>
      <c r="AO108" s="33"/>
    </row>
    <row r="109">
      <c r="A109" s="88"/>
      <c r="B109" s="88"/>
      <c r="C109" s="88"/>
      <c r="D109" s="62" t="s">
        <v>37</v>
      </c>
      <c r="E109" s="62" t="s">
        <v>35</v>
      </c>
      <c r="F109" s="59">
        <v>51923.64</v>
      </c>
      <c r="G109" s="16"/>
      <c r="H109" s="73" t="s">
        <v>37</v>
      </c>
      <c r="I109" s="73" t="s">
        <v>35</v>
      </c>
      <c r="J109" s="73" t="s">
        <v>37</v>
      </c>
      <c r="K109" s="73">
        <v>1.0</v>
      </c>
      <c r="L109" s="73">
        <v>0.0</v>
      </c>
      <c r="M109" s="73">
        <v>51923.64</v>
      </c>
      <c r="N109" s="73">
        <v>0.0</v>
      </c>
      <c r="O109" s="23">
        <f>IFERROR(__xludf.DUMMYFUNCTION("FILTER($F$11:$F$110, TRIM($D$11:$D$110) = TRIM(H109), TRIM($E$11:$E$110) = TRIM(I109))"),51923.64)</f>
        <v>51923.64</v>
      </c>
      <c r="P109" s="16">
        <f t="shared" si="1"/>
        <v>0</v>
      </c>
      <c r="Q109" s="16">
        <f t="shared" si="5"/>
        <v>0</v>
      </c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32" t="s">
        <v>37</v>
      </c>
      <c r="AE109" s="32" t="s">
        <v>35</v>
      </c>
      <c r="AF109" s="32" t="s">
        <v>35</v>
      </c>
      <c r="AG109" s="33">
        <v>1.0</v>
      </c>
      <c r="AH109" s="33">
        <v>0.0</v>
      </c>
      <c r="AI109" s="33">
        <v>51923.64</v>
      </c>
      <c r="AJ109" s="33">
        <v>0.0</v>
      </c>
      <c r="AK109" s="33">
        <f t="shared" si="4"/>
        <v>0</v>
      </c>
      <c r="AL109" s="33">
        <f t="shared" si="6"/>
        <v>0</v>
      </c>
      <c r="AM109" s="33"/>
      <c r="AN109" s="33"/>
      <c r="AO109" s="33"/>
    </row>
    <row r="110">
      <c r="A110" s="88"/>
      <c r="B110" s="88"/>
      <c r="C110" s="88"/>
      <c r="D110" s="70" t="s">
        <v>37</v>
      </c>
      <c r="E110" s="70" t="s">
        <v>40</v>
      </c>
      <c r="F110" s="59">
        <v>4601.38</v>
      </c>
      <c r="G110" s="16"/>
      <c r="H110" s="73" t="s">
        <v>37</v>
      </c>
      <c r="I110" s="73" t="s">
        <v>40</v>
      </c>
      <c r="J110" s="73" t="s">
        <v>37</v>
      </c>
      <c r="K110" s="73">
        <v>1.0</v>
      </c>
      <c r="L110" s="73">
        <v>0.0</v>
      </c>
      <c r="M110" s="73">
        <v>4601.38</v>
      </c>
      <c r="N110" s="73">
        <v>0.0</v>
      </c>
      <c r="O110" s="23">
        <f>IFERROR(__xludf.DUMMYFUNCTION("FILTER($F$11:$F$110, TRIM($D$11:$D$110) = TRIM(H110), TRIM($E$11:$E$110) = TRIM(I110))"),4601.38)</f>
        <v>4601.38</v>
      </c>
      <c r="P110" s="16">
        <f t="shared" si="1"/>
        <v>0</v>
      </c>
      <c r="Q110" s="16">
        <f t="shared" si="5"/>
        <v>0</v>
      </c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32" t="s">
        <v>37</v>
      </c>
      <c r="AE110" s="32" t="s">
        <v>40</v>
      </c>
      <c r="AF110" s="32" t="s">
        <v>37</v>
      </c>
      <c r="AG110" s="33">
        <v>1.0</v>
      </c>
      <c r="AH110" s="33">
        <v>256.3030366</v>
      </c>
      <c r="AI110" s="33">
        <v>4601.38</v>
      </c>
      <c r="AJ110" s="33">
        <v>1.7690215E7</v>
      </c>
      <c r="AK110" s="33">
        <f t="shared" si="4"/>
        <v>17690215</v>
      </c>
      <c r="AL110" s="33">
        <f t="shared" si="6"/>
        <v>-0.001742381603</v>
      </c>
      <c r="AM110" s="33"/>
      <c r="AN110" s="33"/>
      <c r="AO110" s="33"/>
    </row>
    <row r="111">
      <c r="A111" s="48"/>
      <c r="B111" s="48"/>
      <c r="C111" s="48"/>
      <c r="D111" s="94"/>
      <c r="E111" s="94"/>
      <c r="F111" s="95"/>
      <c r="G111" s="16"/>
      <c r="H111" s="73" t="s">
        <v>37</v>
      </c>
      <c r="I111" s="73" t="s">
        <v>37</v>
      </c>
      <c r="J111" s="73" t="s">
        <v>31</v>
      </c>
      <c r="K111" s="73">
        <v>1.0</v>
      </c>
      <c r="L111" s="73">
        <v>2382.411235</v>
      </c>
      <c r="M111" s="73">
        <v>0.0</v>
      </c>
      <c r="N111" s="73">
        <v>0.0</v>
      </c>
      <c r="O111" s="38">
        <v>0.0</v>
      </c>
      <c r="P111" s="16">
        <f t="shared" si="1"/>
        <v>0</v>
      </c>
      <c r="Q111" s="16">
        <f t="shared" si="5"/>
        <v>0</v>
      </c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32" t="s">
        <v>37</v>
      </c>
      <c r="AE111" s="32" t="s">
        <v>37</v>
      </c>
      <c r="AF111" s="32" t="s">
        <v>31</v>
      </c>
      <c r="AG111" s="33">
        <v>1.0</v>
      </c>
      <c r="AH111" s="33">
        <v>2382.411235</v>
      </c>
      <c r="AI111" s="33">
        <v>0.0</v>
      </c>
      <c r="AJ111" s="33">
        <v>0.0</v>
      </c>
      <c r="AK111" s="33">
        <f t="shared" si="4"/>
        <v>0</v>
      </c>
      <c r="AL111" s="33">
        <f t="shared" si="6"/>
        <v>0</v>
      </c>
      <c r="AM111" s="33"/>
      <c r="AN111" s="33"/>
      <c r="AO111" s="33"/>
    </row>
    <row r="112">
      <c r="A112" s="48"/>
      <c r="B112" s="48"/>
      <c r="C112" s="48"/>
      <c r="D112" s="48"/>
      <c r="E112" s="48"/>
      <c r="F112" s="59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</row>
    <row r="113">
      <c r="A113" s="48"/>
      <c r="B113" s="48"/>
      <c r="C113" s="48"/>
      <c r="D113" s="48"/>
      <c r="E113" s="48"/>
      <c r="F113" s="59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</row>
    <row r="114">
      <c r="A114" s="48"/>
      <c r="B114" s="48"/>
      <c r="C114" s="48"/>
      <c r="D114" s="48"/>
      <c r="E114" s="48"/>
      <c r="F114" s="59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</row>
    <row r="115">
      <c r="A115" s="48"/>
      <c r="B115" s="48"/>
      <c r="C115" s="48"/>
      <c r="D115" s="48"/>
      <c r="E115" s="48"/>
      <c r="F115" s="59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</row>
    <row r="116">
      <c r="A116" s="48"/>
      <c r="B116" s="48"/>
      <c r="C116" s="48"/>
      <c r="D116" s="48"/>
      <c r="E116" s="48"/>
      <c r="F116" s="59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</row>
    <row r="117">
      <c r="A117" s="48"/>
      <c r="B117" s="48"/>
      <c r="C117" s="48"/>
      <c r="D117" s="48"/>
      <c r="E117" s="48"/>
      <c r="F117" s="59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</row>
    <row r="118">
      <c r="A118" s="48"/>
      <c r="B118" s="48"/>
      <c r="C118" s="48"/>
      <c r="D118" s="48"/>
      <c r="E118" s="48"/>
      <c r="F118" s="59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</row>
    <row r="119">
      <c r="A119" s="48"/>
      <c r="B119" s="48"/>
      <c r="C119" s="48"/>
      <c r="D119" s="48"/>
      <c r="E119" s="48"/>
      <c r="F119" s="61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</row>
    <row r="120">
      <c r="A120" s="48"/>
      <c r="B120" s="48"/>
      <c r="C120" s="48"/>
      <c r="D120" s="48"/>
      <c r="E120" s="48"/>
      <c r="F120" s="59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</row>
    <row r="121">
      <c r="A121" s="48"/>
      <c r="B121" s="48"/>
      <c r="C121" s="48"/>
      <c r="D121" s="48"/>
      <c r="E121" s="48"/>
      <c r="F121" s="59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</row>
    <row r="122">
      <c r="A122" s="48"/>
      <c r="B122" s="48"/>
      <c r="C122" s="48"/>
      <c r="D122" s="48"/>
      <c r="E122" s="48"/>
      <c r="F122" s="59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</row>
    <row r="123">
      <c r="A123" s="48"/>
      <c r="B123" s="48"/>
      <c r="C123" s="48"/>
      <c r="D123" s="48"/>
      <c r="E123" s="48"/>
      <c r="F123" s="59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</row>
    <row r="124">
      <c r="A124" s="48"/>
      <c r="B124" s="48"/>
      <c r="C124" s="48"/>
      <c r="D124" s="48"/>
      <c r="E124" s="48"/>
      <c r="F124" s="61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</row>
    <row r="125">
      <c r="A125" s="48"/>
      <c r="B125" s="48"/>
      <c r="C125" s="48"/>
      <c r="D125" s="48"/>
      <c r="E125" s="48"/>
      <c r="F125" s="59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</row>
    <row r="126">
      <c r="A126" s="48"/>
      <c r="B126" s="48"/>
      <c r="C126" s="48"/>
      <c r="D126" s="48"/>
      <c r="E126" s="48"/>
      <c r="F126" s="61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</row>
    <row r="127">
      <c r="A127" s="48"/>
      <c r="B127" s="48"/>
      <c r="C127" s="48"/>
      <c r="D127" s="48"/>
      <c r="E127" s="48"/>
      <c r="F127" s="61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</row>
    <row r="128">
      <c r="A128" s="48"/>
      <c r="B128" s="48"/>
      <c r="C128" s="48"/>
      <c r="D128" s="48"/>
      <c r="E128" s="48"/>
      <c r="F128" s="61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</row>
    <row r="129">
      <c r="A129" s="48"/>
      <c r="B129" s="48"/>
      <c r="C129" s="48"/>
      <c r="D129" s="48"/>
      <c r="E129" s="48"/>
      <c r="F129" s="61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</row>
    <row r="130">
      <c r="A130" s="48"/>
      <c r="B130" s="48"/>
      <c r="C130" s="48"/>
      <c r="D130" s="48"/>
      <c r="E130" s="48"/>
      <c r="F130" s="61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</row>
    <row r="131">
      <c r="A131" s="48"/>
      <c r="B131" s="48"/>
      <c r="C131" s="48"/>
      <c r="D131" s="48"/>
      <c r="E131" s="48"/>
      <c r="F131" s="59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</row>
    <row r="132">
      <c r="A132" s="48"/>
      <c r="B132" s="48"/>
      <c r="C132" s="48"/>
      <c r="D132" s="48"/>
      <c r="E132" s="48"/>
      <c r="F132" s="61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</row>
    <row r="133">
      <c r="A133" s="48"/>
      <c r="B133" s="48"/>
      <c r="C133" s="48"/>
      <c r="D133" s="48"/>
      <c r="E133" s="48"/>
      <c r="F133" s="59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</row>
    <row r="134">
      <c r="A134" s="48"/>
      <c r="B134" s="48"/>
      <c r="C134" s="48"/>
      <c r="D134" s="48"/>
      <c r="E134" s="48"/>
      <c r="F134" s="61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</row>
    <row r="135">
      <c r="A135" s="48"/>
      <c r="B135" s="48"/>
      <c r="C135" s="48"/>
      <c r="D135" s="48"/>
      <c r="E135" s="48"/>
      <c r="F135" s="61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</row>
    <row r="136">
      <c r="A136" s="48"/>
      <c r="B136" s="48"/>
      <c r="C136" s="48"/>
      <c r="D136" s="48"/>
      <c r="E136" s="48"/>
      <c r="F136" s="59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</row>
    <row r="137">
      <c r="A137" s="48"/>
      <c r="B137" s="48"/>
      <c r="C137" s="48"/>
      <c r="D137" s="48"/>
      <c r="E137" s="48"/>
      <c r="F137" s="59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</row>
    <row r="138">
      <c r="A138" s="48"/>
      <c r="B138" s="48"/>
      <c r="C138" s="48"/>
      <c r="D138" s="48"/>
      <c r="E138" s="48"/>
      <c r="F138" s="59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</row>
    <row r="139">
      <c r="A139" s="48"/>
      <c r="B139" s="48"/>
      <c r="C139" s="48"/>
      <c r="D139" s="48"/>
      <c r="E139" s="48"/>
      <c r="F139" s="61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</row>
    <row r="140">
      <c r="A140" s="48"/>
      <c r="B140" s="48"/>
      <c r="C140" s="48"/>
      <c r="D140" s="48"/>
      <c r="E140" s="48"/>
      <c r="F140" s="59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</row>
    <row r="141">
      <c r="A141" s="48"/>
      <c r="B141" s="48"/>
      <c r="C141" s="48"/>
      <c r="D141" s="48"/>
      <c r="E141" s="48"/>
      <c r="F141" s="61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</row>
    <row r="142">
      <c r="A142" s="48"/>
      <c r="B142" s="48"/>
      <c r="C142" s="48"/>
      <c r="D142" s="48"/>
      <c r="E142" s="48"/>
      <c r="F142" s="61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</row>
    <row r="143">
      <c r="A143" s="48"/>
      <c r="B143" s="48"/>
      <c r="C143" s="48"/>
      <c r="D143" s="48"/>
      <c r="E143" s="48"/>
      <c r="F143" s="61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</row>
    <row r="144">
      <c r="A144" s="48"/>
      <c r="B144" s="48"/>
      <c r="C144" s="48"/>
      <c r="D144" s="48"/>
      <c r="E144" s="48"/>
      <c r="F144" s="61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</row>
    <row r="145">
      <c r="A145" s="48"/>
      <c r="B145" s="48"/>
      <c r="C145" s="48"/>
      <c r="D145" s="48"/>
      <c r="E145" s="48"/>
      <c r="F145" s="61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</row>
    <row r="146">
      <c r="A146" s="48"/>
      <c r="B146" s="48"/>
      <c r="C146" s="48"/>
      <c r="D146" s="48"/>
      <c r="E146" s="48"/>
      <c r="F146" s="61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</row>
    <row r="147">
      <c r="A147" s="48"/>
      <c r="B147" s="48"/>
      <c r="C147" s="48"/>
      <c r="D147" s="48"/>
      <c r="E147" s="48"/>
      <c r="F147" s="61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</row>
    <row r="148">
      <c r="A148" s="48"/>
      <c r="B148" s="48"/>
      <c r="C148" s="48"/>
      <c r="D148" s="48"/>
      <c r="E148" s="48"/>
      <c r="F148" s="61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</row>
    <row r="149">
      <c r="A149" s="48"/>
      <c r="B149" s="48"/>
      <c r="C149" s="48"/>
      <c r="D149" s="48"/>
      <c r="E149" s="48"/>
      <c r="F149" s="61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</row>
    <row r="150">
      <c r="A150" s="48"/>
      <c r="B150" s="48"/>
      <c r="C150" s="48"/>
      <c r="D150" s="48"/>
      <c r="E150" s="48"/>
      <c r="F150" s="59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</row>
    <row r="151">
      <c r="A151" s="48"/>
      <c r="B151" s="48"/>
      <c r="C151" s="48"/>
      <c r="D151" s="48"/>
      <c r="E151" s="48"/>
      <c r="F151" s="59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</row>
    <row r="152">
      <c r="A152" s="48"/>
      <c r="B152" s="48"/>
      <c r="C152" s="48"/>
      <c r="D152" s="48"/>
      <c r="E152" s="48"/>
      <c r="F152" s="59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</row>
    <row r="153">
      <c r="A153" s="48"/>
      <c r="B153" s="48"/>
      <c r="C153" s="48"/>
      <c r="D153" s="48"/>
      <c r="E153" s="48"/>
      <c r="F153" s="59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</row>
    <row r="154">
      <c r="A154" s="48"/>
      <c r="B154" s="48"/>
      <c r="C154" s="48"/>
      <c r="D154" s="48"/>
      <c r="E154" s="48"/>
      <c r="F154" s="59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</row>
    <row r="155">
      <c r="A155" s="48"/>
      <c r="B155" s="48"/>
      <c r="C155" s="48"/>
      <c r="D155" s="48"/>
      <c r="E155" s="48"/>
      <c r="F155" s="59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</row>
    <row r="156">
      <c r="A156" s="48"/>
      <c r="B156" s="48"/>
      <c r="C156" s="48"/>
      <c r="D156" s="48"/>
      <c r="E156" s="48"/>
      <c r="F156" s="59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</row>
    <row r="157">
      <c r="A157" s="48"/>
      <c r="B157" s="48"/>
      <c r="C157" s="48"/>
      <c r="D157" s="48"/>
      <c r="E157" s="48"/>
      <c r="F157" s="59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</row>
    <row r="158">
      <c r="A158" s="48"/>
      <c r="B158" s="48"/>
      <c r="C158" s="48"/>
      <c r="D158" s="48"/>
      <c r="E158" s="48"/>
      <c r="F158" s="59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</row>
    <row r="159">
      <c r="A159" s="48"/>
      <c r="B159" s="48"/>
      <c r="C159" s="48"/>
      <c r="D159" s="48"/>
      <c r="E159" s="48"/>
      <c r="F159" s="59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</row>
    <row r="160">
      <c r="A160" s="48"/>
      <c r="B160" s="48"/>
      <c r="C160" s="48"/>
      <c r="D160" s="48"/>
      <c r="E160" s="48"/>
      <c r="F160" s="59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</row>
    <row r="161">
      <c r="A161" s="48"/>
      <c r="B161" s="48"/>
      <c r="C161" s="48"/>
      <c r="D161" s="48"/>
      <c r="E161" s="48"/>
      <c r="F161" s="59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</row>
    <row r="162">
      <c r="A162" s="48"/>
      <c r="B162" s="48"/>
      <c r="C162" s="48"/>
      <c r="D162" s="48"/>
      <c r="E162" s="48"/>
      <c r="F162" s="59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</row>
    <row r="163">
      <c r="A163" s="48"/>
      <c r="B163" s="48"/>
      <c r="C163" s="48"/>
      <c r="D163" s="48"/>
      <c r="E163" s="48"/>
      <c r="F163" s="59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</row>
    <row r="164">
      <c r="A164" s="48"/>
      <c r="B164" s="48"/>
      <c r="C164" s="48"/>
      <c r="D164" s="48"/>
      <c r="E164" s="48"/>
      <c r="F164" s="59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</row>
    <row r="165">
      <c r="A165" s="48"/>
      <c r="B165" s="48"/>
      <c r="C165" s="48"/>
      <c r="D165" s="48"/>
      <c r="E165" s="48"/>
      <c r="F165" s="59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</row>
    <row r="166">
      <c r="A166" s="48"/>
      <c r="B166" s="48"/>
      <c r="C166" s="48"/>
      <c r="D166" s="48"/>
      <c r="E166" s="48"/>
      <c r="F166" s="59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</row>
    <row r="167">
      <c r="A167" s="48"/>
      <c r="B167" s="48"/>
      <c r="C167" s="48"/>
      <c r="D167" s="48"/>
      <c r="E167" s="48"/>
      <c r="F167" s="59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</row>
    <row r="168">
      <c r="A168" s="48"/>
      <c r="B168" s="48"/>
      <c r="C168" s="48"/>
      <c r="D168" s="48"/>
      <c r="E168" s="48"/>
      <c r="F168" s="59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</row>
    <row r="169">
      <c r="A169" s="48"/>
      <c r="B169" s="48"/>
      <c r="C169" s="48"/>
      <c r="D169" s="48"/>
      <c r="E169" s="48"/>
      <c r="F169" s="59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</row>
    <row r="170">
      <c r="A170" s="48"/>
      <c r="B170" s="48"/>
      <c r="C170" s="48"/>
      <c r="D170" s="48"/>
      <c r="E170" s="48"/>
      <c r="F170" s="59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</row>
    <row r="171">
      <c r="A171" s="48"/>
      <c r="B171" s="48"/>
      <c r="C171" s="48"/>
      <c r="D171" s="48"/>
      <c r="E171" s="48"/>
      <c r="F171" s="59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</row>
    <row r="172">
      <c r="A172" s="48"/>
      <c r="B172" s="48"/>
      <c r="C172" s="48"/>
      <c r="D172" s="48"/>
      <c r="E172" s="48"/>
      <c r="F172" s="61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</row>
    <row r="173">
      <c r="A173" s="48"/>
      <c r="B173" s="48"/>
      <c r="C173" s="48"/>
      <c r="D173" s="48"/>
      <c r="E173" s="48"/>
      <c r="F173" s="59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</row>
    <row r="174">
      <c r="A174" s="48"/>
      <c r="B174" s="48"/>
      <c r="C174" s="48"/>
      <c r="D174" s="48"/>
      <c r="E174" s="48"/>
      <c r="F174" s="59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</row>
    <row r="175">
      <c r="A175" s="48"/>
      <c r="B175" s="48"/>
      <c r="C175" s="48"/>
      <c r="D175" s="48"/>
      <c r="E175" s="48"/>
      <c r="F175" s="59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</row>
    <row r="176">
      <c r="A176" s="48"/>
      <c r="B176" s="48"/>
      <c r="C176" s="48"/>
      <c r="D176" s="48"/>
      <c r="E176" s="48"/>
      <c r="F176" s="59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</row>
    <row r="177">
      <c r="A177" s="48"/>
      <c r="B177" s="48"/>
      <c r="C177" s="48"/>
      <c r="D177" s="48"/>
      <c r="E177" s="48"/>
      <c r="F177" s="59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</row>
    <row r="178">
      <c r="A178" s="48"/>
      <c r="B178" s="48"/>
      <c r="C178" s="48"/>
      <c r="D178" s="48"/>
      <c r="E178" s="48"/>
      <c r="F178" s="59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</row>
    <row r="179">
      <c r="A179" s="48"/>
      <c r="B179" s="48"/>
      <c r="C179" s="48"/>
      <c r="D179" s="48"/>
      <c r="E179" s="48"/>
      <c r="F179" s="59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</row>
    <row r="180">
      <c r="A180" s="48"/>
      <c r="B180" s="48"/>
      <c r="C180" s="48"/>
      <c r="D180" s="48"/>
      <c r="E180" s="48"/>
      <c r="F180" s="59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</row>
    <row r="181">
      <c r="A181" s="48"/>
      <c r="B181" s="48"/>
      <c r="C181" s="48"/>
      <c r="D181" s="48"/>
      <c r="E181" s="48"/>
      <c r="F181" s="59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</row>
    <row r="182">
      <c r="A182" s="48"/>
      <c r="B182" s="48"/>
      <c r="C182" s="48"/>
      <c r="D182" s="48"/>
      <c r="E182" s="48"/>
      <c r="F182" s="59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</row>
    <row r="183">
      <c r="A183" s="48"/>
      <c r="B183" s="48"/>
      <c r="C183" s="48"/>
      <c r="D183" s="48"/>
      <c r="E183" s="48"/>
      <c r="F183" s="59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</row>
    <row r="184">
      <c r="A184" s="48"/>
      <c r="B184" s="48"/>
      <c r="C184" s="48"/>
      <c r="D184" s="48"/>
      <c r="E184" s="48"/>
      <c r="F184" s="59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</row>
    <row r="185">
      <c r="A185" s="48"/>
      <c r="B185" s="48"/>
      <c r="C185" s="48"/>
      <c r="D185" s="48"/>
      <c r="E185" s="48"/>
      <c r="F185" s="59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</row>
    <row r="186">
      <c r="A186" s="48"/>
      <c r="B186" s="48"/>
      <c r="C186" s="48"/>
      <c r="D186" s="48"/>
      <c r="E186" s="48"/>
      <c r="F186" s="61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</row>
    <row r="187">
      <c r="A187" s="48"/>
      <c r="B187" s="48"/>
      <c r="C187" s="48"/>
      <c r="D187" s="48"/>
      <c r="E187" s="48"/>
      <c r="F187" s="59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</row>
    <row r="188">
      <c r="A188" s="48"/>
      <c r="B188" s="48"/>
      <c r="C188" s="48"/>
      <c r="D188" s="48"/>
      <c r="E188" s="48"/>
      <c r="F188" s="59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</row>
    <row r="189">
      <c r="A189" s="48"/>
      <c r="B189" s="48"/>
      <c r="C189" s="48"/>
      <c r="D189" s="48"/>
      <c r="E189" s="48"/>
      <c r="F189" s="59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</row>
    <row r="190">
      <c r="A190" s="48"/>
      <c r="B190" s="48"/>
      <c r="C190" s="48"/>
      <c r="D190" s="48"/>
      <c r="E190" s="48"/>
      <c r="F190" s="59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</row>
    <row r="191">
      <c r="A191" s="48"/>
      <c r="B191" s="48"/>
      <c r="C191" s="48"/>
      <c r="D191" s="48"/>
      <c r="E191" s="48"/>
      <c r="F191" s="59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</row>
    <row r="192">
      <c r="A192" s="48"/>
      <c r="B192" s="48"/>
      <c r="C192" s="48"/>
      <c r="D192" s="48"/>
      <c r="E192" s="48"/>
      <c r="F192" s="59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</row>
    <row r="193">
      <c r="A193" s="48"/>
      <c r="B193" s="48"/>
      <c r="C193" s="48"/>
      <c r="D193" s="48"/>
      <c r="E193" s="48"/>
      <c r="F193" s="59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</row>
    <row r="194">
      <c r="A194" s="48"/>
      <c r="B194" s="48"/>
      <c r="C194" s="48"/>
      <c r="D194" s="48"/>
      <c r="E194" s="48"/>
      <c r="F194" s="59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</row>
    <row r="195">
      <c r="A195" s="48"/>
      <c r="B195" s="48"/>
      <c r="C195" s="48"/>
      <c r="D195" s="48"/>
      <c r="E195" s="48"/>
      <c r="F195" s="59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</row>
    <row r="196">
      <c r="A196" s="48"/>
      <c r="B196" s="48"/>
      <c r="C196" s="48"/>
      <c r="D196" s="48"/>
      <c r="E196" s="48"/>
      <c r="F196" s="61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</row>
    <row r="197">
      <c r="A197" s="48"/>
      <c r="B197" s="48"/>
      <c r="C197" s="48"/>
      <c r="D197" s="48"/>
      <c r="E197" s="48"/>
      <c r="F197" s="59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</row>
    <row r="198">
      <c r="A198" s="48"/>
      <c r="B198" s="48"/>
      <c r="C198" s="48"/>
      <c r="D198" s="48"/>
      <c r="E198" s="48"/>
      <c r="F198" s="61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</row>
    <row r="199">
      <c r="A199" s="48"/>
      <c r="B199" s="48"/>
      <c r="C199" s="48"/>
      <c r="D199" s="48"/>
      <c r="E199" s="48"/>
      <c r="F199" s="61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</row>
    <row r="200">
      <c r="A200" s="48"/>
      <c r="B200" s="48"/>
      <c r="C200" s="48"/>
      <c r="D200" s="48"/>
      <c r="E200" s="48"/>
      <c r="F200" s="61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</row>
    <row r="201">
      <c r="A201" s="48"/>
      <c r="B201" s="48"/>
      <c r="C201" s="48"/>
      <c r="D201" s="48"/>
      <c r="E201" s="48"/>
      <c r="F201" s="61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</row>
    <row r="202">
      <c r="A202" s="48"/>
      <c r="B202" s="48"/>
      <c r="C202" s="48"/>
      <c r="D202" s="48"/>
      <c r="E202" s="48"/>
      <c r="F202" s="61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</row>
    <row r="203">
      <c r="A203" s="48"/>
      <c r="B203" s="48"/>
      <c r="C203" s="48"/>
      <c r="D203" s="48"/>
      <c r="E203" s="48"/>
      <c r="F203" s="59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</row>
    <row r="204">
      <c r="A204" s="48"/>
      <c r="B204" s="48"/>
      <c r="C204" s="48"/>
      <c r="D204" s="48"/>
      <c r="E204" s="48"/>
      <c r="F204" s="61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</row>
    <row r="205">
      <c r="A205" s="48"/>
      <c r="B205" s="48"/>
      <c r="C205" s="48"/>
      <c r="D205" s="48"/>
      <c r="E205" s="48"/>
      <c r="F205" s="59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</row>
    <row r="206">
      <c r="A206" s="48"/>
      <c r="B206" s="48"/>
      <c r="C206" s="48"/>
      <c r="D206" s="48"/>
      <c r="E206" s="48"/>
      <c r="F206" s="61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</row>
    <row r="207">
      <c r="A207" s="48"/>
      <c r="B207" s="48"/>
      <c r="C207" s="48"/>
      <c r="D207" s="48"/>
      <c r="E207" s="48"/>
      <c r="F207" s="61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</row>
    <row r="208">
      <c r="A208" s="48"/>
      <c r="B208" s="48"/>
      <c r="C208" s="48"/>
      <c r="D208" s="48"/>
      <c r="E208" s="48"/>
      <c r="F208" s="59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</row>
    <row r="209">
      <c r="A209" s="48"/>
      <c r="B209" s="48"/>
      <c r="C209" s="48"/>
      <c r="D209" s="48"/>
      <c r="E209" s="48"/>
      <c r="F209" s="59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</row>
    <row r="210">
      <c r="A210" s="48"/>
      <c r="B210" s="48"/>
      <c r="C210" s="48"/>
      <c r="D210" s="48"/>
      <c r="E210" s="48"/>
      <c r="F210" s="59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</row>
    <row r="211">
      <c r="A211" s="48"/>
      <c r="B211" s="48"/>
      <c r="C211" s="48"/>
      <c r="D211" s="48"/>
      <c r="E211" s="48"/>
      <c r="F211" s="59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</row>
    <row r="212">
      <c r="A212" s="48"/>
      <c r="B212" s="48"/>
      <c r="C212" s="48"/>
      <c r="D212" s="48"/>
      <c r="E212" s="48"/>
      <c r="F212" s="59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</row>
    <row r="213">
      <c r="A213" s="48"/>
      <c r="B213" s="48"/>
      <c r="C213" s="48"/>
      <c r="D213" s="48"/>
      <c r="E213" s="48"/>
      <c r="F213" s="61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</row>
    <row r="214">
      <c r="A214" s="48"/>
      <c r="B214" s="48"/>
      <c r="C214" s="48"/>
      <c r="D214" s="48"/>
      <c r="E214" s="48"/>
      <c r="F214" s="61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</row>
    <row r="215">
      <c r="A215" s="48"/>
      <c r="B215" s="48"/>
      <c r="C215" s="48"/>
      <c r="D215" s="48"/>
      <c r="E215" s="48"/>
      <c r="F215" s="61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</row>
    <row r="216">
      <c r="A216" s="48"/>
      <c r="B216" s="48"/>
      <c r="C216" s="48"/>
      <c r="D216" s="48"/>
      <c r="E216" s="48"/>
      <c r="F216" s="61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</row>
    <row r="217">
      <c r="A217" s="48"/>
      <c r="B217" s="48"/>
      <c r="C217" s="48"/>
      <c r="D217" s="48"/>
      <c r="E217" s="48"/>
      <c r="F217" s="61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</row>
    <row r="218">
      <c r="A218" s="48"/>
      <c r="B218" s="48"/>
      <c r="C218" s="48"/>
      <c r="D218" s="48"/>
      <c r="E218" s="48"/>
      <c r="F218" s="61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</row>
    <row r="219">
      <c r="A219" s="48"/>
      <c r="B219" s="48"/>
      <c r="C219" s="48"/>
      <c r="D219" s="48"/>
      <c r="E219" s="48"/>
      <c r="F219" s="61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</row>
    <row r="220">
      <c r="A220" s="48"/>
      <c r="B220" s="48"/>
      <c r="C220" s="48"/>
      <c r="D220" s="48"/>
      <c r="E220" s="48"/>
      <c r="F220" s="61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</row>
    <row r="221">
      <c r="A221" s="48"/>
      <c r="B221" s="48"/>
      <c r="C221" s="48"/>
      <c r="D221" s="48"/>
      <c r="E221" s="48"/>
      <c r="F221" s="61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</row>
    <row r="222">
      <c r="A222" s="48"/>
      <c r="B222" s="48"/>
      <c r="C222" s="48"/>
      <c r="D222" s="48"/>
      <c r="E222" s="48"/>
      <c r="F222" s="59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</row>
    <row r="223">
      <c r="A223" s="48"/>
      <c r="B223" s="48"/>
      <c r="C223" s="48"/>
      <c r="D223" s="48"/>
      <c r="E223" s="48"/>
      <c r="F223" s="59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</row>
    <row r="224">
      <c r="A224" s="48"/>
      <c r="B224" s="48"/>
      <c r="C224" s="48"/>
      <c r="D224" s="48"/>
      <c r="E224" s="48"/>
      <c r="F224" s="59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</row>
    <row r="225">
      <c r="A225" s="48"/>
      <c r="B225" s="48"/>
      <c r="C225" s="48"/>
      <c r="D225" s="48"/>
      <c r="E225" s="48"/>
      <c r="F225" s="59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</row>
    <row r="226">
      <c r="A226" s="48"/>
      <c r="B226" s="48"/>
      <c r="C226" s="48"/>
      <c r="D226" s="48"/>
      <c r="E226" s="48"/>
      <c r="F226" s="59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</row>
    <row r="227">
      <c r="A227" s="48"/>
      <c r="B227" s="48"/>
      <c r="C227" s="48"/>
      <c r="D227" s="48"/>
      <c r="E227" s="48"/>
      <c r="F227" s="59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</row>
    <row r="228">
      <c r="A228" s="48"/>
      <c r="B228" s="48"/>
      <c r="C228" s="48"/>
      <c r="D228" s="48"/>
      <c r="E228" s="48"/>
      <c r="F228" s="59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</row>
    <row r="229">
      <c r="A229" s="48"/>
      <c r="B229" s="48"/>
      <c r="C229" s="48"/>
      <c r="D229" s="48"/>
      <c r="E229" s="48"/>
      <c r="F229" s="59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</row>
    <row r="230">
      <c r="A230" s="48"/>
      <c r="B230" s="48"/>
      <c r="C230" s="48"/>
      <c r="D230" s="48"/>
      <c r="E230" s="48"/>
      <c r="F230" s="59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</row>
    <row r="231">
      <c r="A231" s="48"/>
      <c r="B231" s="48"/>
      <c r="C231" s="48"/>
      <c r="D231" s="48"/>
      <c r="E231" s="48"/>
      <c r="F231" s="59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</row>
    <row r="232">
      <c r="A232" s="48"/>
      <c r="B232" s="48"/>
      <c r="C232" s="48"/>
      <c r="D232" s="48"/>
      <c r="E232" s="48"/>
      <c r="F232" s="59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</row>
    <row r="233">
      <c r="A233" s="48"/>
      <c r="B233" s="48"/>
      <c r="C233" s="48"/>
      <c r="D233" s="48"/>
      <c r="E233" s="48"/>
      <c r="F233" s="59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</row>
    <row r="234">
      <c r="A234" s="48"/>
      <c r="B234" s="48"/>
      <c r="C234" s="48"/>
      <c r="D234" s="48"/>
      <c r="E234" s="48"/>
      <c r="F234" s="59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</row>
    <row r="235">
      <c r="A235" s="48"/>
      <c r="B235" s="48"/>
      <c r="C235" s="48"/>
      <c r="D235" s="48"/>
      <c r="E235" s="48"/>
      <c r="F235" s="59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</row>
    <row r="236">
      <c r="A236" s="48"/>
      <c r="B236" s="48"/>
      <c r="C236" s="48"/>
      <c r="D236" s="48"/>
      <c r="E236" s="48"/>
      <c r="F236" s="61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</row>
    <row r="237">
      <c r="A237" s="48"/>
      <c r="B237" s="48"/>
      <c r="C237" s="48"/>
      <c r="D237" s="48"/>
      <c r="E237" s="48"/>
      <c r="F237" s="59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</row>
    <row r="238">
      <c r="A238" s="48"/>
      <c r="B238" s="48"/>
      <c r="C238" s="48"/>
      <c r="D238" s="48"/>
      <c r="E238" s="48"/>
      <c r="F238" s="59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</row>
    <row r="239">
      <c r="A239" s="48"/>
      <c r="B239" s="48"/>
      <c r="C239" s="48"/>
      <c r="D239" s="48"/>
      <c r="E239" s="48"/>
      <c r="F239" s="59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</row>
    <row r="240">
      <c r="A240" s="48"/>
      <c r="B240" s="48"/>
      <c r="C240" s="48"/>
      <c r="D240" s="48"/>
      <c r="E240" s="48"/>
      <c r="F240" s="59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</row>
    <row r="241">
      <c r="A241" s="48"/>
      <c r="B241" s="48"/>
      <c r="C241" s="48"/>
      <c r="D241" s="48"/>
      <c r="E241" s="48"/>
      <c r="F241" s="59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</row>
    <row r="242">
      <c r="A242" s="48"/>
      <c r="B242" s="48"/>
      <c r="C242" s="48"/>
      <c r="D242" s="48"/>
      <c r="E242" s="48"/>
      <c r="F242" s="59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</row>
    <row r="243">
      <c r="A243" s="48"/>
      <c r="B243" s="48"/>
      <c r="C243" s="48"/>
      <c r="D243" s="48"/>
      <c r="E243" s="48"/>
      <c r="F243" s="59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</row>
    <row r="244">
      <c r="A244" s="48"/>
      <c r="B244" s="48"/>
      <c r="C244" s="48"/>
      <c r="D244" s="48"/>
      <c r="E244" s="48"/>
      <c r="F244" s="59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</row>
    <row r="245">
      <c r="A245" s="48"/>
      <c r="B245" s="48"/>
      <c r="C245" s="48"/>
      <c r="D245" s="48"/>
      <c r="E245" s="48"/>
      <c r="F245" s="59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</row>
    <row r="246">
      <c r="A246" s="48"/>
      <c r="B246" s="48"/>
      <c r="C246" s="48"/>
      <c r="D246" s="48"/>
      <c r="E246" s="48"/>
      <c r="F246" s="59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</row>
    <row r="247">
      <c r="A247" s="48"/>
      <c r="B247" s="48"/>
      <c r="C247" s="48"/>
      <c r="D247" s="48"/>
      <c r="E247" s="48"/>
      <c r="F247" s="59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</row>
    <row r="248">
      <c r="A248" s="48"/>
      <c r="B248" s="48"/>
      <c r="C248" s="48"/>
      <c r="D248" s="48"/>
      <c r="E248" s="48"/>
      <c r="F248" s="59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</row>
    <row r="249">
      <c r="A249" s="48"/>
      <c r="B249" s="48"/>
      <c r="C249" s="48"/>
      <c r="D249" s="48"/>
      <c r="E249" s="48"/>
      <c r="F249" s="59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</row>
    <row r="250">
      <c r="A250" s="48"/>
      <c r="B250" s="48"/>
      <c r="C250" s="48"/>
      <c r="D250" s="48"/>
      <c r="E250" s="48"/>
      <c r="F250" s="61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</row>
    <row r="251">
      <c r="A251" s="48"/>
      <c r="B251" s="48"/>
      <c r="C251" s="48"/>
      <c r="D251" s="48"/>
      <c r="E251" s="48"/>
      <c r="F251" s="59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</row>
    <row r="252">
      <c r="A252" s="48"/>
      <c r="B252" s="48"/>
      <c r="C252" s="48"/>
      <c r="D252" s="48"/>
      <c r="E252" s="48"/>
      <c r="F252" s="59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</row>
    <row r="253">
      <c r="A253" s="48"/>
      <c r="B253" s="48"/>
      <c r="C253" s="48"/>
      <c r="D253" s="48"/>
      <c r="E253" s="48"/>
      <c r="F253" s="59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</row>
    <row r="254">
      <c r="A254" s="48"/>
      <c r="B254" s="48"/>
      <c r="C254" s="48"/>
      <c r="D254" s="48"/>
      <c r="E254" s="48"/>
      <c r="F254" s="59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</row>
    <row r="255">
      <c r="A255" s="48"/>
      <c r="B255" s="48"/>
      <c r="C255" s="48"/>
      <c r="D255" s="48"/>
      <c r="E255" s="48"/>
      <c r="F255" s="59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</row>
    <row r="256">
      <c r="A256" s="48"/>
      <c r="B256" s="48"/>
      <c r="C256" s="48"/>
      <c r="D256" s="48"/>
      <c r="E256" s="48"/>
      <c r="F256" s="59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</row>
    <row r="257">
      <c r="A257" s="48"/>
      <c r="B257" s="48"/>
      <c r="C257" s="48"/>
      <c r="D257" s="48"/>
      <c r="E257" s="48"/>
      <c r="F257" s="59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</row>
    <row r="258">
      <c r="A258" s="48"/>
      <c r="B258" s="48"/>
      <c r="C258" s="48"/>
      <c r="D258" s="48"/>
      <c r="E258" s="48"/>
      <c r="F258" s="59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</row>
    <row r="259">
      <c r="A259" s="48"/>
      <c r="B259" s="48"/>
      <c r="C259" s="48"/>
      <c r="D259" s="48"/>
      <c r="E259" s="48"/>
      <c r="F259" s="59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</row>
    <row r="260">
      <c r="A260" s="48"/>
      <c r="B260" s="48"/>
      <c r="C260" s="48"/>
      <c r="D260" s="48"/>
      <c r="E260" s="48"/>
      <c r="F260" s="59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</row>
    <row r="261">
      <c r="A261" s="48"/>
      <c r="B261" s="48"/>
      <c r="C261" s="48"/>
      <c r="D261" s="48"/>
      <c r="E261" s="48"/>
      <c r="F261" s="59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</row>
    <row r="262">
      <c r="A262" s="48"/>
      <c r="B262" s="48"/>
      <c r="C262" s="48"/>
      <c r="D262" s="48"/>
      <c r="E262" s="48"/>
      <c r="F262" s="59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</row>
    <row r="263">
      <c r="A263" s="48"/>
      <c r="B263" s="48"/>
      <c r="C263" s="48"/>
      <c r="D263" s="48"/>
      <c r="E263" s="48"/>
      <c r="F263" s="59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</row>
    <row r="264">
      <c r="A264" s="48"/>
      <c r="B264" s="48"/>
      <c r="C264" s="48"/>
      <c r="D264" s="48"/>
      <c r="E264" s="48"/>
      <c r="F264" s="59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</row>
    <row r="265">
      <c r="A265" s="48"/>
      <c r="B265" s="48"/>
      <c r="C265" s="48"/>
      <c r="D265" s="48"/>
      <c r="E265" s="48"/>
      <c r="F265" s="59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</row>
    <row r="266">
      <c r="A266" s="48"/>
      <c r="B266" s="48"/>
      <c r="C266" s="48"/>
      <c r="D266" s="48"/>
      <c r="E266" s="48"/>
      <c r="F266" s="59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</row>
    <row r="267">
      <c r="A267" s="48"/>
      <c r="B267" s="48"/>
      <c r="C267" s="48"/>
      <c r="D267" s="48"/>
      <c r="E267" s="48"/>
      <c r="F267" s="59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</row>
    <row r="268">
      <c r="A268" s="48"/>
      <c r="B268" s="48"/>
      <c r="C268" s="48"/>
      <c r="D268" s="48"/>
      <c r="E268" s="48"/>
      <c r="F268" s="61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</row>
    <row r="269">
      <c r="A269" s="48"/>
      <c r="B269" s="48"/>
      <c r="C269" s="48"/>
      <c r="D269" s="48"/>
      <c r="E269" s="48"/>
      <c r="F269" s="59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</row>
    <row r="270">
      <c r="A270" s="48"/>
      <c r="B270" s="48"/>
      <c r="C270" s="48"/>
      <c r="D270" s="48"/>
      <c r="E270" s="48"/>
      <c r="F270" s="59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</row>
    <row r="271">
      <c r="A271" s="48"/>
      <c r="B271" s="48"/>
      <c r="C271" s="48"/>
      <c r="D271" s="48"/>
      <c r="E271" s="48"/>
      <c r="F271" s="59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</row>
    <row r="272">
      <c r="A272" s="48"/>
      <c r="B272" s="48"/>
      <c r="C272" s="48"/>
      <c r="D272" s="48"/>
      <c r="E272" s="48"/>
      <c r="F272" s="59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</row>
    <row r="273">
      <c r="A273" s="48"/>
      <c r="B273" s="48"/>
      <c r="C273" s="48"/>
      <c r="D273" s="48"/>
      <c r="E273" s="48"/>
      <c r="F273" s="59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</row>
    <row r="274">
      <c r="A274" s="48"/>
      <c r="B274" s="48"/>
      <c r="C274" s="48"/>
      <c r="D274" s="48"/>
      <c r="E274" s="48"/>
      <c r="F274" s="59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</row>
    <row r="275">
      <c r="A275" s="48"/>
      <c r="B275" s="48"/>
      <c r="C275" s="48"/>
      <c r="D275" s="48"/>
      <c r="E275" s="48"/>
      <c r="F275" s="59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</row>
    <row r="276">
      <c r="A276" s="48"/>
      <c r="B276" s="48"/>
      <c r="C276" s="48"/>
      <c r="D276" s="48"/>
      <c r="E276" s="48"/>
      <c r="F276" s="59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</row>
    <row r="277">
      <c r="A277" s="48"/>
      <c r="B277" s="48"/>
      <c r="C277" s="48"/>
      <c r="D277" s="48"/>
      <c r="E277" s="48"/>
      <c r="F277" s="59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</row>
    <row r="278">
      <c r="A278" s="48"/>
      <c r="B278" s="48"/>
      <c r="C278" s="48"/>
      <c r="D278" s="48"/>
      <c r="E278" s="48"/>
      <c r="F278" s="59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</row>
    <row r="279">
      <c r="A279" s="48"/>
      <c r="B279" s="48"/>
      <c r="C279" s="48"/>
      <c r="D279" s="48"/>
      <c r="E279" s="48"/>
      <c r="F279" s="59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</row>
    <row r="280">
      <c r="A280" s="48"/>
      <c r="B280" s="48"/>
      <c r="C280" s="48"/>
      <c r="D280" s="48"/>
      <c r="E280" s="48"/>
      <c r="F280" s="59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</row>
    <row r="281">
      <c r="A281" s="48"/>
      <c r="B281" s="48"/>
      <c r="C281" s="48"/>
      <c r="D281" s="48"/>
      <c r="E281" s="48"/>
      <c r="F281" s="59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</row>
    <row r="282">
      <c r="A282" s="48"/>
      <c r="B282" s="48"/>
      <c r="C282" s="48"/>
      <c r="D282" s="48"/>
      <c r="E282" s="48"/>
      <c r="F282" s="59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</row>
    <row r="283">
      <c r="A283" s="48"/>
      <c r="B283" s="48"/>
      <c r="C283" s="48"/>
      <c r="D283" s="48"/>
      <c r="E283" s="48"/>
      <c r="F283" s="59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</row>
    <row r="284">
      <c r="A284" s="48"/>
      <c r="B284" s="48"/>
      <c r="C284" s="48"/>
      <c r="D284" s="48"/>
      <c r="E284" s="48"/>
      <c r="F284" s="59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</row>
    <row r="285">
      <c r="A285" s="48"/>
      <c r="B285" s="48"/>
      <c r="C285" s="48"/>
      <c r="D285" s="48"/>
      <c r="E285" s="48"/>
      <c r="F285" s="59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</row>
    <row r="286">
      <c r="A286" s="48"/>
      <c r="B286" s="48"/>
      <c r="C286" s="48"/>
      <c r="D286" s="48"/>
      <c r="E286" s="48"/>
      <c r="F286" s="59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</row>
    <row r="287">
      <c r="A287" s="48"/>
      <c r="B287" s="48"/>
      <c r="C287" s="48"/>
      <c r="D287" s="48"/>
      <c r="E287" s="48"/>
      <c r="F287" s="59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</row>
    <row r="288">
      <c r="A288" s="48"/>
      <c r="B288" s="48"/>
      <c r="C288" s="48"/>
      <c r="D288" s="48"/>
      <c r="E288" s="48"/>
      <c r="F288" s="59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</row>
    <row r="289">
      <c r="A289" s="48"/>
      <c r="B289" s="48"/>
      <c r="C289" s="48"/>
      <c r="D289" s="48"/>
      <c r="E289" s="48"/>
      <c r="F289" s="59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</row>
    <row r="290">
      <c r="A290" s="48"/>
      <c r="B290" s="48"/>
      <c r="C290" s="48"/>
      <c r="D290" s="48"/>
      <c r="E290" s="48"/>
      <c r="F290" s="59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</row>
    <row r="291">
      <c r="A291" s="48"/>
      <c r="B291" s="48"/>
      <c r="C291" s="48"/>
      <c r="D291" s="48"/>
      <c r="E291" s="48"/>
      <c r="F291" s="59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</row>
    <row r="292">
      <c r="A292" s="48"/>
      <c r="B292" s="48"/>
      <c r="C292" s="48"/>
      <c r="D292" s="48"/>
      <c r="E292" s="48"/>
      <c r="F292" s="59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</row>
    <row r="293">
      <c r="A293" s="48"/>
      <c r="B293" s="48"/>
      <c r="C293" s="48"/>
      <c r="D293" s="48"/>
      <c r="E293" s="48"/>
      <c r="F293" s="59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</row>
    <row r="294">
      <c r="A294" s="48"/>
      <c r="B294" s="48"/>
      <c r="C294" s="48"/>
      <c r="D294" s="48"/>
      <c r="E294" s="48"/>
      <c r="F294" s="61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</row>
    <row r="295">
      <c r="A295" s="48"/>
      <c r="B295" s="48"/>
      <c r="C295" s="48"/>
      <c r="D295" s="48"/>
      <c r="E295" s="48"/>
      <c r="F295" s="59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</row>
    <row r="296">
      <c r="A296" s="48"/>
      <c r="B296" s="48"/>
      <c r="C296" s="48"/>
      <c r="D296" s="48"/>
      <c r="E296" s="48"/>
      <c r="F296" s="61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</row>
    <row r="297">
      <c r="A297" s="48"/>
      <c r="B297" s="48"/>
      <c r="C297" s="48"/>
      <c r="D297" s="48"/>
      <c r="E297" s="48"/>
      <c r="F297" s="59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</row>
    <row r="298">
      <c r="A298" s="48"/>
      <c r="B298" s="48"/>
      <c r="C298" s="48"/>
      <c r="D298" s="48"/>
      <c r="E298" s="48"/>
      <c r="F298" s="61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</row>
    <row r="299">
      <c r="A299" s="48"/>
      <c r="B299" s="48"/>
      <c r="C299" s="48"/>
      <c r="D299" s="48"/>
      <c r="E299" s="48"/>
      <c r="F299" s="59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</row>
    <row r="300">
      <c r="A300" s="48"/>
      <c r="B300" s="48"/>
      <c r="C300" s="48"/>
      <c r="D300" s="48"/>
      <c r="E300" s="48"/>
      <c r="F300" s="61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</row>
    <row r="301">
      <c r="A301" s="48"/>
      <c r="B301" s="48"/>
      <c r="C301" s="48"/>
      <c r="D301" s="48"/>
      <c r="E301" s="48"/>
      <c r="F301" s="59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</row>
    <row r="302">
      <c r="A302" s="48"/>
      <c r="B302" s="48"/>
      <c r="C302" s="48"/>
      <c r="D302" s="48"/>
      <c r="E302" s="48"/>
      <c r="F302" s="59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</row>
    <row r="303">
      <c r="A303" s="48"/>
      <c r="B303" s="48"/>
      <c r="C303" s="48"/>
      <c r="D303" s="48"/>
      <c r="E303" s="48"/>
      <c r="F303" s="59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</row>
    <row r="304">
      <c r="A304" s="48"/>
      <c r="B304" s="48"/>
      <c r="C304" s="48"/>
      <c r="D304" s="48"/>
      <c r="E304" s="48"/>
      <c r="F304" s="59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</row>
    <row r="305">
      <c r="A305" s="48"/>
      <c r="B305" s="48"/>
      <c r="C305" s="48"/>
      <c r="D305" s="48"/>
      <c r="E305" s="48"/>
      <c r="F305" s="59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</row>
    <row r="306">
      <c r="A306" s="48"/>
      <c r="B306" s="48"/>
      <c r="C306" s="48"/>
      <c r="D306" s="48"/>
      <c r="E306" s="48"/>
      <c r="F306" s="59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</row>
    <row r="307">
      <c r="A307" s="48"/>
      <c r="B307" s="48"/>
      <c r="C307" s="48"/>
      <c r="D307" s="48"/>
      <c r="E307" s="48"/>
      <c r="F307" s="61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</row>
    <row r="308">
      <c r="A308" s="48"/>
      <c r="B308" s="48"/>
      <c r="C308" s="48"/>
      <c r="D308" s="48"/>
      <c r="E308" s="48"/>
      <c r="F308" s="59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</row>
    <row r="309">
      <c r="A309" s="48"/>
      <c r="B309" s="48"/>
      <c r="C309" s="48"/>
      <c r="D309" s="48"/>
      <c r="E309" s="48"/>
      <c r="F309" s="59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</row>
    <row r="310">
      <c r="A310" s="48"/>
      <c r="B310" s="48"/>
      <c r="C310" s="48"/>
      <c r="D310" s="48"/>
      <c r="E310" s="48"/>
      <c r="F310" s="59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</row>
    <row r="311">
      <c r="A311" s="48"/>
      <c r="B311" s="48"/>
      <c r="C311" s="48"/>
      <c r="D311" s="48"/>
      <c r="E311" s="48"/>
      <c r="F311" s="59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</row>
    <row r="312">
      <c r="A312" s="48"/>
      <c r="B312" s="48"/>
      <c r="C312" s="48"/>
      <c r="D312" s="48"/>
      <c r="E312" s="48"/>
      <c r="F312" s="59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</row>
    <row r="313">
      <c r="A313" s="48"/>
      <c r="B313" s="48"/>
      <c r="C313" s="48"/>
      <c r="D313" s="48"/>
      <c r="E313" s="48"/>
      <c r="F313" s="59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</row>
    <row r="314">
      <c r="A314" s="48"/>
      <c r="B314" s="48"/>
      <c r="C314" s="48"/>
      <c r="D314" s="48"/>
      <c r="E314" s="48"/>
      <c r="F314" s="61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</row>
    <row r="315">
      <c r="A315" s="48"/>
      <c r="B315" s="48"/>
      <c r="C315" s="48"/>
      <c r="D315" s="48"/>
      <c r="E315" s="48"/>
      <c r="F315" s="59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</row>
    <row r="316">
      <c r="A316" s="48"/>
      <c r="B316" s="48"/>
      <c r="C316" s="48"/>
      <c r="D316" s="48"/>
      <c r="E316" s="48"/>
      <c r="F316" s="61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</row>
    <row r="317">
      <c r="A317" s="48"/>
      <c r="B317" s="48"/>
      <c r="C317" s="48"/>
      <c r="D317" s="48"/>
      <c r="E317" s="48"/>
      <c r="F317" s="59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</row>
    <row r="318">
      <c r="A318" s="48"/>
      <c r="B318" s="48"/>
      <c r="C318" s="48"/>
      <c r="D318" s="48"/>
      <c r="E318" s="48"/>
      <c r="F318" s="59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</row>
    <row r="319">
      <c r="A319" s="48"/>
      <c r="B319" s="48"/>
      <c r="C319" s="48"/>
      <c r="D319" s="48"/>
      <c r="E319" s="48"/>
      <c r="F319" s="59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</row>
    <row r="320">
      <c r="A320" s="48"/>
      <c r="B320" s="48"/>
      <c r="C320" s="48"/>
      <c r="D320" s="48"/>
      <c r="E320" s="48"/>
      <c r="F320" s="59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</row>
    <row r="321">
      <c r="A321" s="48"/>
      <c r="B321" s="48"/>
      <c r="C321" s="48"/>
      <c r="D321" s="48"/>
      <c r="E321" s="48"/>
      <c r="F321" s="59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</row>
    <row r="322">
      <c r="A322" s="61"/>
      <c r="B322" s="61"/>
      <c r="C322" s="61"/>
      <c r="D322" s="61"/>
      <c r="E322" s="61"/>
      <c r="F322" s="59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</row>
    <row r="323">
      <c r="A323" s="61"/>
      <c r="B323" s="61"/>
      <c r="C323" s="61"/>
      <c r="D323" s="61"/>
      <c r="E323" s="61"/>
      <c r="F323" s="59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</row>
    <row r="324">
      <c r="A324" s="61"/>
      <c r="B324" s="61"/>
      <c r="C324" s="61"/>
      <c r="D324" s="61"/>
      <c r="E324" s="61"/>
      <c r="F324" s="59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</row>
    <row r="325">
      <c r="A325" s="61"/>
      <c r="B325" s="61"/>
      <c r="C325" s="61"/>
      <c r="D325" s="61"/>
      <c r="E325" s="61"/>
      <c r="F325" s="59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</row>
    <row r="326">
      <c r="A326" s="61"/>
      <c r="B326" s="61"/>
      <c r="C326" s="61"/>
      <c r="D326" s="61"/>
      <c r="E326" s="61"/>
      <c r="F326" s="59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</row>
    <row r="327">
      <c r="A327" s="61"/>
      <c r="B327" s="61"/>
      <c r="C327" s="61"/>
      <c r="D327" s="61"/>
      <c r="E327" s="61"/>
      <c r="F327" s="59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</row>
    <row r="328">
      <c r="A328" s="61"/>
      <c r="B328" s="61"/>
      <c r="C328" s="61"/>
      <c r="D328" s="61"/>
      <c r="E328" s="61"/>
      <c r="F328" s="59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</row>
    <row r="329">
      <c r="A329" s="61"/>
      <c r="B329" s="61"/>
      <c r="C329" s="61"/>
      <c r="D329" s="61"/>
      <c r="E329" s="61"/>
      <c r="F329" s="59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</row>
    <row r="330">
      <c r="A330" s="61"/>
      <c r="B330" s="61"/>
      <c r="C330" s="61"/>
      <c r="D330" s="61"/>
      <c r="E330" s="61"/>
      <c r="F330" s="59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</row>
    <row r="331">
      <c r="A331" s="61"/>
      <c r="B331" s="61"/>
      <c r="C331" s="61"/>
      <c r="D331" s="61"/>
      <c r="E331" s="61"/>
      <c r="F331" s="59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</row>
    <row r="332">
      <c r="A332" s="61"/>
      <c r="B332" s="61"/>
      <c r="C332" s="61"/>
      <c r="D332" s="61"/>
      <c r="E332" s="61"/>
      <c r="F332" s="59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</row>
    <row r="333">
      <c r="A333" s="61"/>
      <c r="B333" s="61"/>
      <c r="C333" s="61"/>
      <c r="D333" s="61"/>
      <c r="E333" s="61"/>
      <c r="F333" s="59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</row>
    <row r="334">
      <c r="A334" s="61"/>
      <c r="B334" s="61"/>
      <c r="C334" s="61"/>
      <c r="D334" s="61"/>
      <c r="E334" s="61"/>
      <c r="F334" s="59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</row>
    <row r="335">
      <c r="A335" s="61"/>
      <c r="B335" s="61"/>
      <c r="C335" s="61"/>
      <c r="D335" s="61"/>
      <c r="E335" s="61"/>
      <c r="F335" s="61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</row>
    <row r="336">
      <c r="A336" s="61"/>
      <c r="B336" s="61"/>
      <c r="C336" s="61"/>
      <c r="D336" s="61"/>
      <c r="E336" s="61"/>
      <c r="F336" s="59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</row>
    <row r="337">
      <c r="A337" s="61"/>
      <c r="B337" s="61"/>
      <c r="C337" s="61"/>
      <c r="D337" s="61"/>
      <c r="E337" s="61"/>
      <c r="F337" s="59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</row>
    <row r="338">
      <c r="A338" s="61"/>
      <c r="B338" s="61"/>
      <c r="C338" s="61"/>
      <c r="D338" s="61"/>
      <c r="E338" s="61"/>
      <c r="F338" s="59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</row>
    <row r="339">
      <c r="A339" s="61"/>
      <c r="B339" s="61"/>
      <c r="C339" s="61"/>
      <c r="D339" s="61"/>
      <c r="E339" s="61"/>
      <c r="F339" s="59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</row>
    <row r="340">
      <c r="A340" s="61"/>
      <c r="B340" s="61"/>
      <c r="C340" s="61"/>
      <c r="D340" s="61"/>
      <c r="E340" s="61"/>
      <c r="F340" s="61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</row>
    <row r="341">
      <c r="A341" s="61"/>
      <c r="B341" s="61"/>
      <c r="C341" s="61"/>
      <c r="D341" s="61"/>
      <c r="E341" s="61"/>
      <c r="F341" s="59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</row>
    <row r="342">
      <c r="A342" s="61"/>
      <c r="B342" s="61"/>
      <c r="C342" s="61"/>
      <c r="D342" s="61"/>
      <c r="E342" s="61"/>
      <c r="F342" s="59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</row>
    <row r="343">
      <c r="A343" s="61"/>
      <c r="B343" s="61"/>
      <c r="C343" s="61"/>
      <c r="D343" s="61"/>
      <c r="E343" s="61"/>
      <c r="F343" s="59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</row>
    <row r="344">
      <c r="A344" s="61"/>
      <c r="B344" s="61"/>
      <c r="C344" s="61"/>
      <c r="D344" s="61"/>
      <c r="E344" s="61"/>
      <c r="F344" s="59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</row>
    <row r="345">
      <c r="A345" s="61"/>
      <c r="B345" s="61"/>
      <c r="C345" s="61"/>
      <c r="D345" s="61"/>
      <c r="E345" s="61"/>
      <c r="F345" s="59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</row>
    <row r="346">
      <c r="A346" s="61"/>
      <c r="B346" s="61"/>
      <c r="C346" s="61"/>
      <c r="D346" s="61"/>
      <c r="E346" s="61"/>
      <c r="F346" s="59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</row>
    <row r="347">
      <c r="A347" s="61"/>
      <c r="B347" s="61"/>
      <c r="C347" s="61"/>
      <c r="D347" s="61"/>
      <c r="E347" s="61"/>
      <c r="F347" s="59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</row>
    <row r="348">
      <c r="A348" s="61"/>
      <c r="B348" s="61"/>
      <c r="C348" s="61"/>
      <c r="D348" s="61"/>
      <c r="E348" s="61"/>
      <c r="F348" s="59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</row>
    <row r="349">
      <c r="A349" s="61"/>
      <c r="B349" s="61"/>
      <c r="C349" s="61"/>
      <c r="D349" s="61"/>
      <c r="E349" s="61"/>
      <c r="F349" s="59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</row>
    <row r="350">
      <c r="A350" s="61"/>
      <c r="B350" s="61"/>
      <c r="C350" s="61"/>
      <c r="D350" s="61"/>
      <c r="E350" s="61"/>
      <c r="F350" s="59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</row>
    <row r="351">
      <c r="A351" s="61"/>
      <c r="B351" s="61"/>
      <c r="C351" s="61"/>
      <c r="D351" s="61"/>
      <c r="E351" s="61"/>
      <c r="F351" s="59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</row>
    <row r="352">
      <c r="A352" s="61"/>
      <c r="B352" s="61"/>
      <c r="C352" s="61"/>
      <c r="D352" s="61"/>
      <c r="E352" s="61"/>
      <c r="F352" s="59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</row>
    <row r="353">
      <c r="A353" s="61"/>
      <c r="B353" s="61"/>
      <c r="C353" s="61"/>
      <c r="D353" s="61"/>
      <c r="E353" s="61"/>
      <c r="F353" s="59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</row>
    <row r="354">
      <c r="A354" s="61"/>
      <c r="B354" s="61"/>
      <c r="C354" s="61"/>
      <c r="D354" s="61"/>
      <c r="E354" s="61"/>
      <c r="F354" s="59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</row>
    <row r="355">
      <c r="A355" s="61"/>
      <c r="B355" s="61"/>
      <c r="C355" s="61"/>
      <c r="D355" s="61"/>
      <c r="E355" s="61"/>
      <c r="F355" s="59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</row>
    <row r="356">
      <c r="A356" s="61"/>
      <c r="B356" s="61"/>
      <c r="C356" s="61"/>
      <c r="D356" s="61"/>
      <c r="E356" s="61"/>
      <c r="F356" s="59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</row>
    <row r="357">
      <c r="A357" s="61"/>
      <c r="B357" s="61"/>
      <c r="C357" s="61"/>
      <c r="D357" s="61"/>
      <c r="E357" s="61"/>
      <c r="F357" s="59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</row>
    <row r="358">
      <c r="A358" s="61"/>
      <c r="B358" s="61"/>
      <c r="C358" s="61"/>
      <c r="D358" s="61"/>
      <c r="E358" s="61"/>
      <c r="F358" s="59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</row>
    <row r="359">
      <c r="A359" s="61"/>
      <c r="B359" s="61"/>
      <c r="C359" s="61"/>
      <c r="D359" s="61"/>
      <c r="E359" s="61"/>
      <c r="F359" s="59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</row>
    <row r="360">
      <c r="A360" s="61"/>
      <c r="B360" s="61"/>
      <c r="C360" s="61"/>
      <c r="D360" s="61"/>
      <c r="E360" s="61"/>
      <c r="F360" s="59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</row>
    <row r="361">
      <c r="A361" s="61"/>
      <c r="B361" s="61"/>
      <c r="C361" s="61"/>
      <c r="D361" s="61"/>
      <c r="E361" s="61"/>
      <c r="F361" s="59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</row>
    <row r="362">
      <c r="A362" s="61"/>
      <c r="B362" s="61"/>
      <c r="C362" s="61"/>
      <c r="D362" s="61"/>
      <c r="E362" s="61"/>
      <c r="F362" s="59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</row>
    <row r="363">
      <c r="A363" s="61"/>
      <c r="B363" s="61"/>
      <c r="C363" s="61"/>
      <c r="D363" s="61"/>
      <c r="E363" s="61"/>
      <c r="F363" s="59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</row>
    <row r="364">
      <c r="A364" s="61"/>
      <c r="B364" s="61"/>
      <c r="C364" s="61"/>
      <c r="D364" s="61"/>
      <c r="E364" s="61"/>
      <c r="F364" s="59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</row>
    <row r="365">
      <c r="A365" s="61"/>
      <c r="B365" s="61"/>
      <c r="C365" s="61"/>
      <c r="D365" s="61"/>
      <c r="E365" s="61"/>
      <c r="F365" s="59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</row>
    <row r="366">
      <c r="A366" s="61"/>
      <c r="B366" s="61"/>
      <c r="C366" s="61"/>
      <c r="D366" s="61"/>
      <c r="E366" s="61"/>
      <c r="F366" s="59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</row>
    <row r="367">
      <c r="A367" s="61"/>
      <c r="B367" s="61"/>
      <c r="C367" s="61"/>
      <c r="D367" s="61"/>
      <c r="E367" s="61"/>
      <c r="F367" s="59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</row>
    <row r="368">
      <c r="A368" s="61"/>
      <c r="B368" s="61"/>
      <c r="C368" s="61"/>
      <c r="D368" s="61"/>
      <c r="E368" s="61"/>
      <c r="F368" s="59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</row>
    <row r="369">
      <c r="A369" s="61"/>
      <c r="B369" s="61"/>
      <c r="C369" s="61"/>
      <c r="D369" s="61"/>
      <c r="E369" s="61"/>
      <c r="F369" s="59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</row>
    <row r="370">
      <c r="A370" s="61"/>
      <c r="B370" s="61"/>
      <c r="C370" s="61"/>
      <c r="D370" s="61"/>
      <c r="E370" s="61"/>
      <c r="F370" s="59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</row>
    <row r="371">
      <c r="A371" s="61"/>
      <c r="B371" s="61"/>
      <c r="C371" s="61"/>
      <c r="D371" s="61"/>
      <c r="E371" s="61"/>
      <c r="F371" s="59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</row>
    <row r="372">
      <c r="A372" s="61"/>
      <c r="B372" s="61"/>
      <c r="C372" s="61"/>
      <c r="D372" s="61"/>
      <c r="E372" s="61"/>
      <c r="F372" s="59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</row>
    <row r="373">
      <c r="A373" s="61"/>
      <c r="B373" s="61"/>
      <c r="C373" s="61"/>
      <c r="D373" s="61"/>
      <c r="E373" s="61"/>
      <c r="F373" s="59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</row>
    <row r="374">
      <c r="A374" s="61"/>
      <c r="B374" s="61"/>
      <c r="C374" s="61"/>
      <c r="D374" s="61"/>
      <c r="E374" s="61"/>
      <c r="F374" s="59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</row>
    <row r="375">
      <c r="A375" s="61"/>
      <c r="B375" s="61"/>
      <c r="C375" s="61"/>
      <c r="D375" s="61"/>
      <c r="E375" s="61"/>
      <c r="F375" s="59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</row>
    <row r="376">
      <c r="A376" s="61"/>
      <c r="B376" s="61"/>
      <c r="C376" s="61"/>
      <c r="D376" s="61"/>
      <c r="E376" s="61"/>
      <c r="F376" s="59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</row>
    <row r="377">
      <c r="A377" s="61"/>
      <c r="B377" s="61"/>
      <c r="C377" s="61"/>
      <c r="D377" s="61"/>
      <c r="E377" s="61"/>
      <c r="F377" s="59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</row>
    <row r="378">
      <c r="A378" s="61"/>
      <c r="B378" s="61"/>
      <c r="C378" s="61"/>
      <c r="D378" s="61"/>
      <c r="E378" s="61"/>
      <c r="F378" s="59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</row>
    <row r="379">
      <c r="A379" s="61"/>
      <c r="B379" s="61"/>
      <c r="C379" s="61"/>
      <c r="D379" s="61"/>
      <c r="E379" s="61"/>
      <c r="F379" s="59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</row>
    <row r="380">
      <c r="A380" s="61"/>
      <c r="B380" s="61"/>
      <c r="C380" s="61"/>
      <c r="D380" s="61"/>
      <c r="E380" s="61"/>
      <c r="F380" s="59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</row>
    <row r="381">
      <c r="A381" s="61"/>
      <c r="B381" s="61"/>
      <c r="C381" s="61"/>
      <c r="D381" s="61"/>
      <c r="E381" s="61"/>
      <c r="F381" s="59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</row>
    <row r="382">
      <c r="A382" s="61"/>
      <c r="B382" s="61"/>
      <c r="C382" s="61"/>
      <c r="D382" s="61"/>
      <c r="E382" s="61"/>
      <c r="F382" s="59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</row>
    <row r="383">
      <c r="A383" s="61"/>
      <c r="B383" s="61"/>
      <c r="C383" s="61"/>
      <c r="D383" s="61"/>
      <c r="E383" s="61"/>
      <c r="F383" s="61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</row>
    <row r="384">
      <c r="A384" s="61"/>
      <c r="B384" s="61"/>
      <c r="C384" s="61"/>
      <c r="D384" s="61"/>
      <c r="E384" s="61"/>
      <c r="F384" s="59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</row>
    <row r="385">
      <c r="A385" s="61"/>
      <c r="B385" s="61"/>
      <c r="C385" s="61"/>
      <c r="D385" s="61"/>
      <c r="E385" s="61"/>
      <c r="F385" s="59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</row>
    <row r="386">
      <c r="A386" s="61"/>
      <c r="B386" s="61"/>
      <c r="C386" s="61"/>
      <c r="D386" s="61"/>
      <c r="E386" s="61"/>
      <c r="F386" s="59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</row>
    <row r="387">
      <c r="A387" s="61"/>
      <c r="B387" s="61"/>
      <c r="C387" s="61"/>
      <c r="D387" s="61"/>
      <c r="E387" s="61"/>
      <c r="F387" s="59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</row>
    <row r="388">
      <c r="A388" s="61"/>
      <c r="B388" s="61"/>
      <c r="C388" s="61"/>
      <c r="D388" s="61"/>
      <c r="E388" s="61"/>
      <c r="F388" s="61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</row>
    <row r="389">
      <c r="A389" s="61"/>
      <c r="B389" s="61"/>
      <c r="C389" s="61"/>
      <c r="D389" s="61"/>
      <c r="E389" s="61"/>
      <c r="F389" s="59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</row>
    <row r="390">
      <c r="A390" s="61"/>
      <c r="B390" s="61"/>
      <c r="C390" s="61"/>
      <c r="D390" s="61"/>
      <c r="E390" s="61"/>
      <c r="F390" s="59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</row>
    <row r="391">
      <c r="A391" s="61"/>
      <c r="B391" s="61"/>
      <c r="C391" s="61"/>
      <c r="D391" s="61"/>
      <c r="E391" s="61"/>
      <c r="F391" s="59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</row>
    <row r="392">
      <c r="A392" s="61"/>
      <c r="B392" s="61"/>
      <c r="C392" s="61"/>
      <c r="D392" s="61"/>
      <c r="E392" s="61"/>
      <c r="F392" s="59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</row>
    <row r="393">
      <c r="A393" s="61"/>
      <c r="B393" s="61"/>
      <c r="C393" s="61"/>
      <c r="D393" s="61"/>
      <c r="E393" s="61"/>
      <c r="F393" s="59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</row>
    <row r="394">
      <c r="A394" s="61"/>
      <c r="B394" s="61"/>
      <c r="C394" s="61"/>
      <c r="D394" s="61"/>
      <c r="E394" s="61"/>
      <c r="F394" s="59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</row>
    <row r="395">
      <c r="A395" s="61"/>
      <c r="B395" s="61"/>
      <c r="C395" s="61"/>
      <c r="D395" s="61"/>
      <c r="E395" s="61"/>
      <c r="F395" s="59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</row>
    <row r="396">
      <c r="A396" s="61"/>
      <c r="B396" s="61"/>
      <c r="C396" s="61"/>
      <c r="D396" s="61"/>
      <c r="E396" s="61"/>
      <c r="F396" s="59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</row>
    <row r="397">
      <c r="A397" s="61"/>
      <c r="B397" s="61"/>
      <c r="C397" s="61"/>
      <c r="D397" s="61"/>
      <c r="E397" s="61"/>
      <c r="F397" s="59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</row>
    <row r="398">
      <c r="A398" s="61"/>
      <c r="B398" s="61"/>
      <c r="C398" s="61"/>
      <c r="D398" s="61"/>
      <c r="E398" s="61"/>
      <c r="F398" s="59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</row>
    <row r="399">
      <c r="A399" s="61"/>
      <c r="B399" s="61"/>
      <c r="C399" s="61"/>
      <c r="D399" s="61"/>
      <c r="E399" s="61"/>
      <c r="F399" s="59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</row>
    <row r="400">
      <c r="A400" s="61"/>
      <c r="B400" s="61"/>
      <c r="C400" s="61"/>
      <c r="D400" s="61"/>
      <c r="E400" s="61"/>
      <c r="F400" s="59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</row>
    <row r="401">
      <c r="A401" s="61"/>
      <c r="B401" s="61"/>
      <c r="C401" s="61"/>
      <c r="D401" s="61"/>
      <c r="E401" s="61"/>
      <c r="F401" s="59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</row>
    <row r="402">
      <c r="A402" s="61"/>
      <c r="B402" s="61"/>
      <c r="C402" s="61"/>
      <c r="D402" s="61"/>
      <c r="E402" s="61"/>
      <c r="F402" s="59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</row>
    <row r="403">
      <c r="A403" s="61"/>
      <c r="B403" s="61"/>
      <c r="C403" s="61"/>
      <c r="D403" s="61"/>
      <c r="E403" s="61"/>
      <c r="F403" s="59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</row>
    <row r="404">
      <c r="A404" s="61"/>
      <c r="B404" s="61"/>
      <c r="C404" s="61"/>
      <c r="D404" s="61"/>
      <c r="E404" s="61"/>
      <c r="F404" s="59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</row>
    <row r="405">
      <c r="A405" s="61"/>
      <c r="B405" s="61"/>
      <c r="C405" s="61"/>
      <c r="D405" s="61"/>
      <c r="E405" s="61"/>
      <c r="F405" s="59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</row>
    <row r="406">
      <c r="A406" s="61"/>
      <c r="B406" s="61"/>
      <c r="C406" s="61"/>
      <c r="D406" s="61"/>
      <c r="E406" s="61"/>
      <c r="F406" s="59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</row>
    <row r="407">
      <c r="A407" s="61"/>
      <c r="B407" s="61"/>
      <c r="C407" s="61"/>
      <c r="D407" s="61"/>
      <c r="E407" s="61"/>
      <c r="F407" s="59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</row>
    <row r="408">
      <c r="A408" s="61"/>
      <c r="B408" s="61"/>
      <c r="C408" s="61"/>
      <c r="D408" s="61"/>
      <c r="E408" s="61"/>
      <c r="F408" s="59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</row>
    <row r="409">
      <c r="A409" s="61"/>
      <c r="B409" s="61"/>
      <c r="C409" s="61"/>
      <c r="D409" s="61"/>
      <c r="E409" s="61"/>
      <c r="F409" s="59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</row>
    <row r="410">
      <c r="A410" s="61"/>
      <c r="B410" s="61"/>
      <c r="C410" s="61"/>
      <c r="D410" s="61"/>
      <c r="E410" s="61"/>
      <c r="F410" s="59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</row>
    <row r="411">
      <c r="A411" s="61"/>
      <c r="B411" s="61"/>
      <c r="C411" s="61"/>
      <c r="D411" s="61"/>
      <c r="E411" s="61"/>
      <c r="F411" s="59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</row>
    <row r="412">
      <c r="A412" s="61"/>
      <c r="B412" s="61"/>
      <c r="C412" s="61"/>
      <c r="D412" s="61"/>
      <c r="E412" s="61"/>
      <c r="F412" s="61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</row>
    <row r="413">
      <c r="A413" s="61"/>
      <c r="B413" s="61"/>
      <c r="C413" s="61"/>
      <c r="D413" s="61"/>
      <c r="E413" s="61"/>
      <c r="F413" s="59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</row>
    <row r="414">
      <c r="A414" s="61"/>
      <c r="B414" s="61"/>
      <c r="C414" s="61"/>
      <c r="D414" s="61"/>
      <c r="E414" s="61"/>
      <c r="F414" s="61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</row>
    <row r="415">
      <c r="A415" s="61"/>
      <c r="B415" s="61"/>
      <c r="C415" s="61"/>
      <c r="D415" s="61"/>
      <c r="E415" s="61"/>
      <c r="F415" s="61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</row>
    <row r="416">
      <c r="A416" s="61"/>
      <c r="B416" s="61"/>
      <c r="C416" s="61"/>
      <c r="D416" s="61"/>
      <c r="E416" s="61"/>
      <c r="F416" s="61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</row>
    <row r="417">
      <c r="A417" s="61"/>
      <c r="B417" s="61"/>
      <c r="C417" s="61"/>
      <c r="D417" s="61"/>
      <c r="E417" s="61"/>
      <c r="F417" s="59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</row>
    <row r="418">
      <c r="A418" s="61"/>
      <c r="B418" s="61"/>
      <c r="C418" s="61"/>
      <c r="D418" s="61"/>
      <c r="E418" s="61"/>
      <c r="F418" s="61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</row>
    <row r="419">
      <c r="A419" s="61"/>
      <c r="B419" s="61"/>
      <c r="C419" s="61"/>
      <c r="D419" s="61"/>
      <c r="E419" s="61"/>
      <c r="F419" s="59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</row>
    <row r="420">
      <c r="A420" s="61"/>
      <c r="B420" s="61"/>
      <c r="C420" s="61"/>
      <c r="D420" s="61"/>
      <c r="E420" s="61"/>
      <c r="F420" s="61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</row>
    <row r="421">
      <c r="A421" s="61"/>
      <c r="B421" s="61"/>
      <c r="C421" s="61"/>
      <c r="D421" s="61"/>
      <c r="E421" s="61"/>
      <c r="F421" s="59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</row>
    <row r="422">
      <c r="A422" s="61"/>
      <c r="B422" s="61"/>
      <c r="C422" s="61"/>
      <c r="D422" s="61"/>
      <c r="E422" s="61"/>
      <c r="F422" s="61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</row>
    <row r="423">
      <c r="A423" s="61"/>
      <c r="B423" s="61"/>
      <c r="C423" s="61"/>
      <c r="D423" s="61"/>
      <c r="E423" s="61"/>
      <c r="F423" s="59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</row>
    <row r="424">
      <c r="A424" s="61"/>
      <c r="B424" s="61"/>
      <c r="C424" s="61"/>
      <c r="D424" s="61"/>
      <c r="E424" s="61"/>
      <c r="F424" s="59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</row>
    <row r="425">
      <c r="A425" s="61"/>
      <c r="B425" s="61"/>
      <c r="C425" s="61"/>
      <c r="D425" s="61"/>
      <c r="E425" s="61"/>
      <c r="F425" s="59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</row>
    <row r="426">
      <c r="A426" s="61"/>
      <c r="B426" s="61"/>
      <c r="C426" s="61"/>
      <c r="D426" s="61"/>
      <c r="E426" s="61"/>
      <c r="F426" s="59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</row>
    <row r="427">
      <c r="A427" s="61"/>
      <c r="B427" s="61"/>
      <c r="C427" s="61"/>
      <c r="D427" s="61"/>
      <c r="E427" s="61"/>
      <c r="F427" s="61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</row>
    <row r="428">
      <c r="A428" s="61"/>
      <c r="B428" s="61"/>
      <c r="C428" s="61"/>
      <c r="D428" s="61"/>
      <c r="E428" s="61"/>
      <c r="F428" s="59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</row>
    <row r="429">
      <c r="A429" s="61"/>
      <c r="B429" s="61"/>
      <c r="C429" s="61"/>
      <c r="D429" s="61"/>
      <c r="E429" s="61"/>
      <c r="F429" s="61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</row>
    <row r="430">
      <c r="A430" s="61"/>
      <c r="B430" s="61"/>
      <c r="C430" s="61"/>
      <c r="D430" s="61"/>
      <c r="E430" s="61"/>
      <c r="F430" s="59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</row>
    <row r="431">
      <c r="A431" s="61"/>
      <c r="B431" s="61"/>
      <c r="C431" s="61"/>
      <c r="D431" s="61"/>
      <c r="E431" s="61"/>
      <c r="F431" s="61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</row>
    <row r="432">
      <c r="A432" s="61"/>
      <c r="B432" s="61"/>
      <c r="C432" s="61"/>
      <c r="D432" s="61"/>
      <c r="E432" s="61"/>
      <c r="F432" s="61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</row>
    <row r="433">
      <c r="A433" s="61"/>
      <c r="B433" s="61"/>
      <c r="C433" s="61"/>
      <c r="D433" s="61"/>
      <c r="E433" s="61"/>
      <c r="F433" s="59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</row>
    <row r="434">
      <c r="A434" s="61"/>
      <c r="B434" s="61"/>
      <c r="C434" s="61"/>
      <c r="D434" s="61"/>
      <c r="E434" s="61"/>
      <c r="F434" s="59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</row>
    <row r="435">
      <c r="A435" s="61"/>
      <c r="B435" s="61"/>
      <c r="C435" s="61"/>
      <c r="D435" s="61"/>
      <c r="E435" s="61"/>
      <c r="F435" s="61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</row>
    <row r="436">
      <c r="A436" s="61"/>
      <c r="B436" s="61"/>
      <c r="C436" s="61"/>
      <c r="D436" s="61"/>
      <c r="E436" s="61"/>
      <c r="F436" s="61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</row>
    <row r="437">
      <c r="A437" s="61"/>
      <c r="B437" s="61"/>
      <c r="C437" s="61"/>
      <c r="D437" s="61"/>
      <c r="E437" s="61"/>
      <c r="F437" s="59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</row>
    <row r="438">
      <c r="A438" s="61"/>
      <c r="B438" s="61"/>
      <c r="C438" s="61"/>
      <c r="D438" s="61"/>
      <c r="E438" s="61"/>
      <c r="F438" s="59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</row>
    <row r="439">
      <c r="A439" s="61"/>
      <c r="B439" s="61"/>
      <c r="C439" s="61"/>
      <c r="D439" s="61"/>
      <c r="E439" s="61"/>
      <c r="F439" s="59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</row>
    <row r="440">
      <c r="A440" s="61"/>
      <c r="B440" s="61"/>
      <c r="C440" s="61"/>
      <c r="D440" s="61"/>
      <c r="E440" s="61"/>
      <c r="F440" s="59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</row>
    <row r="441">
      <c r="A441" s="61"/>
      <c r="B441" s="61"/>
      <c r="C441" s="61"/>
      <c r="D441" s="61"/>
      <c r="E441" s="61"/>
      <c r="F441" s="59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</row>
    <row r="442">
      <c r="A442" s="61"/>
      <c r="B442" s="61"/>
      <c r="C442" s="61"/>
      <c r="D442" s="61"/>
      <c r="E442" s="61"/>
      <c r="F442" s="61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</row>
    <row r="443">
      <c r="A443" s="61"/>
      <c r="B443" s="61"/>
      <c r="C443" s="61"/>
      <c r="D443" s="61"/>
      <c r="E443" s="61"/>
      <c r="F443" s="59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</row>
    <row r="444">
      <c r="A444" s="61"/>
      <c r="B444" s="61"/>
      <c r="C444" s="61"/>
      <c r="D444" s="61"/>
      <c r="E444" s="61"/>
      <c r="F444" s="59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</row>
    <row r="445">
      <c r="A445" s="61"/>
      <c r="B445" s="61"/>
      <c r="C445" s="61"/>
      <c r="D445" s="61"/>
      <c r="E445" s="61"/>
      <c r="F445" s="59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</row>
    <row r="446">
      <c r="A446" s="61"/>
      <c r="B446" s="61"/>
      <c r="C446" s="61"/>
      <c r="D446" s="61"/>
      <c r="E446" s="61"/>
      <c r="F446" s="59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</row>
    <row r="447">
      <c r="A447" s="61"/>
      <c r="B447" s="61"/>
      <c r="C447" s="61"/>
      <c r="D447" s="61"/>
      <c r="E447" s="61"/>
      <c r="F447" s="59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</row>
    <row r="448">
      <c r="A448" s="61"/>
      <c r="B448" s="61"/>
      <c r="C448" s="61"/>
      <c r="D448" s="61"/>
      <c r="E448" s="61"/>
      <c r="F448" s="59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</row>
    <row r="449">
      <c r="A449" s="61"/>
      <c r="B449" s="61"/>
      <c r="C449" s="61"/>
      <c r="D449" s="61"/>
      <c r="E449" s="61"/>
      <c r="F449" s="59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</row>
    <row r="450">
      <c r="A450" s="61"/>
      <c r="B450" s="61"/>
      <c r="C450" s="61"/>
      <c r="D450" s="61"/>
      <c r="E450" s="61"/>
      <c r="F450" s="59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</row>
    <row r="451">
      <c r="A451" s="61"/>
      <c r="B451" s="61"/>
      <c r="C451" s="61"/>
      <c r="D451" s="61"/>
      <c r="E451" s="61"/>
      <c r="F451" s="61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</row>
    <row r="452">
      <c r="A452" s="61"/>
      <c r="B452" s="61"/>
      <c r="C452" s="61"/>
      <c r="D452" s="61"/>
      <c r="E452" s="61"/>
      <c r="F452" s="59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</row>
    <row r="453">
      <c r="A453" s="61"/>
      <c r="B453" s="61"/>
      <c r="C453" s="61"/>
      <c r="D453" s="61"/>
      <c r="E453" s="61"/>
      <c r="F453" s="59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</row>
    <row r="454">
      <c r="A454" s="61"/>
      <c r="B454" s="61"/>
      <c r="C454" s="61"/>
      <c r="D454" s="61"/>
      <c r="E454" s="61"/>
      <c r="F454" s="59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</row>
    <row r="455">
      <c r="A455" s="61"/>
      <c r="B455" s="61"/>
      <c r="C455" s="61"/>
      <c r="D455" s="61"/>
      <c r="E455" s="61"/>
      <c r="F455" s="59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</row>
    <row r="456">
      <c r="A456" s="61"/>
      <c r="B456" s="61"/>
      <c r="C456" s="61"/>
      <c r="D456" s="61"/>
      <c r="E456" s="61"/>
      <c r="F456" s="59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</row>
    <row r="457">
      <c r="A457" s="61"/>
      <c r="B457" s="61"/>
      <c r="C457" s="61"/>
      <c r="D457" s="61"/>
      <c r="E457" s="61"/>
      <c r="F457" s="59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</row>
    <row r="458">
      <c r="A458" s="61"/>
      <c r="B458" s="61"/>
      <c r="C458" s="61"/>
      <c r="D458" s="61"/>
      <c r="E458" s="61"/>
      <c r="F458" s="59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</row>
    <row r="459">
      <c r="A459" s="61"/>
      <c r="B459" s="61"/>
      <c r="C459" s="61"/>
      <c r="D459" s="61"/>
      <c r="E459" s="61"/>
      <c r="F459" s="59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</row>
    <row r="460">
      <c r="A460" s="61"/>
      <c r="B460" s="61"/>
      <c r="C460" s="61"/>
      <c r="D460" s="61"/>
      <c r="E460" s="61"/>
      <c r="F460" s="61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</row>
    <row r="461">
      <c r="A461" s="61"/>
      <c r="B461" s="61"/>
      <c r="C461" s="61"/>
      <c r="D461" s="61"/>
      <c r="E461" s="61"/>
      <c r="F461" s="59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</row>
    <row r="462">
      <c r="A462" s="96"/>
      <c r="B462" s="96"/>
      <c r="C462" s="96"/>
      <c r="D462" s="96"/>
      <c r="E462" s="96"/>
      <c r="F462" s="9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</row>
    <row r="463">
      <c r="A463" s="96"/>
      <c r="B463" s="96"/>
      <c r="C463" s="96"/>
      <c r="D463" s="96"/>
      <c r="E463" s="96"/>
      <c r="F463" s="9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</row>
    <row r="464">
      <c r="A464" s="96"/>
      <c r="B464" s="96"/>
      <c r="C464" s="96"/>
      <c r="D464" s="96"/>
      <c r="E464" s="96"/>
      <c r="F464" s="9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</row>
    <row r="465">
      <c r="A465" s="96"/>
      <c r="B465" s="96"/>
      <c r="C465" s="96"/>
      <c r="D465" s="96"/>
      <c r="E465" s="96"/>
      <c r="F465" s="9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</row>
    <row r="466">
      <c r="A466" s="96"/>
      <c r="B466" s="96"/>
      <c r="C466" s="96"/>
      <c r="D466" s="96"/>
      <c r="E466" s="96"/>
      <c r="F466" s="9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</row>
    <row r="467">
      <c r="A467" s="96"/>
      <c r="B467" s="96"/>
      <c r="C467" s="96"/>
      <c r="D467" s="96"/>
      <c r="E467" s="96"/>
      <c r="F467" s="9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</row>
    <row r="468">
      <c r="A468" s="96"/>
      <c r="B468" s="96"/>
      <c r="C468" s="96"/>
      <c r="D468" s="96"/>
      <c r="E468" s="96"/>
      <c r="F468" s="9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</row>
    <row r="469">
      <c r="A469" s="96"/>
      <c r="B469" s="96"/>
      <c r="C469" s="96"/>
      <c r="D469" s="96"/>
      <c r="E469" s="96"/>
      <c r="F469" s="9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</row>
    <row r="470">
      <c r="A470" s="96"/>
      <c r="B470" s="96"/>
      <c r="C470" s="96"/>
      <c r="D470" s="96"/>
      <c r="E470" s="96"/>
      <c r="F470" s="9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</row>
    <row r="471">
      <c r="A471" s="96"/>
      <c r="B471" s="96"/>
      <c r="C471" s="96"/>
      <c r="D471" s="96"/>
      <c r="E471" s="96"/>
      <c r="F471" s="9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</row>
    <row r="472">
      <c r="A472" s="96"/>
      <c r="B472" s="96"/>
      <c r="C472" s="96"/>
      <c r="D472" s="96"/>
      <c r="E472" s="96"/>
      <c r="F472" s="9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</row>
    <row r="473">
      <c r="A473" s="96"/>
      <c r="B473" s="96"/>
      <c r="C473" s="96"/>
      <c r="D473" s="96"/>
      <c r="E473" s="96"/>
      <c r="F473" s="9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</row>
    <row r="474">
      <c r="A474" s="96"/>
      <c r="B474" s="96"/>
      <c r="C474" s="96"/>
      <c r="D474" s="96"/>
      <c r="E474" s="96"/>
      <c r="F474" s="9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</row>
    <row r="475">
      <c r="A475" s="96"/>
      <c r="B475" s="96"/>
      <c r="C475" s="96"/>
      <c r="D475" s="96"/>
      <c r="E475" s="96"/>
      <c r="F475" s="9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</row>
    <row r="476">
      <c r="A476" s="96"/>
      <c r="B476" s="96"/>
      <c r="C476" s="96"/>
      <c r="D476" s="96"/>
      <c r="E476" s="96"/>
      <c r="F476" s="9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</row>
    <row r="477">
      <c r="A477" s="96"/>
      <c r="B477" s="96"/>
      <c r="C477" s="96"/>
      <c r="D477" s="96"/>
      <c r="E477" s="96"/>
      <c r="F477" s="9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</row>
    <row r="478">
      <c r="A478" s="96"/>
      <c r="B478" s="96"/>
      <c r="C478" s="96"/>
      <c r="D478" s="96"/>
      <c r="E478" s="96"/>
      <c r="F478" s="9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</row>
    <row r="479">
      <c r="A479" s="96"/>
      <c r="B479" s="96"/>
      <c r="C479" s="96"/>
      <c r="D479" s="96"/>
      <c r="E479" s="96"/>
      <c r="F479" s="9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</row>
    <row r="480">
      <c r="A480" s="96"/>
      <c r="B480" s="96"/>
      <c r="C480" s="96"/>
      <c r="D480" s="96"/>
      <c r="E480" s="96"/>
      <c r="F480" s="9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</row>
    <row r="481">
      <c r="A481" s="96"/>
      <c r="B481" s="96"/>
      <c r="C481" s="96"/>
      <c r="D481" s="96"/>
      <c r="E481" s="96"/>
      <c r="F481" s="9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</row>
    <row r="482">
      <c r="A482" s="96"/>
      <c r="B482" s="96"/>
      <c r="C482" s="96"/>
      <c r="D482" s="96"/>
      <c r="E482" s="96"/>
      <c r="F482" s="9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</row>
    <row r="483">
      <c r="A483" s="96"/>
      <c r="B483" s="96"/>
      <c r="C483" s="96"/>
      <c r="D483" s="96"/>
      <c r="E483" s="96"/>
      <c r="F483" s="9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</row>
    <row r="484">
      <c r="A484" s="96"/>
      <c r="B484" s="96"/>
      <c r="C484" s="96"/>
      <c r="D484" s="96"/>
      <c r="E484" s="96"/>
      <c r="F484" s="9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</row>
    <row r="485">
      <c r="A485" s="96"/>
      <c r="B485" s="96"/>
      <c r="C485" s="96"/>
      <c r="D485" s="96"/>
      <c r="E485" s="96"/>
      <c r="F485" s="9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</row>
    <row r="486">
      <c r="A486" s="96"/>
      <c r="B486" s="96"/>
      <c r="C486" s="96"/>
      <c r="D486" s="96"/>
      <c r="E486" s="96"/>
      <c r="F486" s="9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</row>
    <row r="487">
      <c r="A487" s="96"/>
      <c r="B487" s="96"/>
      <c r="C487" s="96"/>
      <c r="D487" s="96"/>
      <c r="E487" s="96"/>
      <c r="F487" s="9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</row>
    <row r="488">
      <c r="A488" s="96"/>
      <c r="B488" s="96"/>
      <c r="C488" s="96"/>
      <c r="D488" s="96"/>
      <c r="E488" s="96"/>
      <c r="F488" s="9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</row>
    <row r="489">
      <c r="A489" s="96"/>
      <c r="B489" s="96"/>
      <c r="C489" s="96"/>
      <c r="D489" s="96"/>
      <c r="E489" s="96"/>
      <c r="F489" s="9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</row>
    <row r="490">
      <c r="A490" s="96"/>
      <c r="B490" s="96"/>
      <c r="C490" s="96"/>
      <c r="D490" s="96"/>
      <c r="E490" s="96"/>
      <c r="F490" s="9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</row>
    <row r="491">
      <c r="A491" s="96"/>
      <c r="B491" s="96"/>
      <c r="C491" s="96"/>
      <c r="D491" s="96"/>
      <c r="E491" s="96"/>
      <c r="F491" s="9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</row>
    <row r="492">
      <c r="A492" s="96"/>
      <c r="B492" s="96"/>
      <c r="C492" s="96"/>
      <c r="D492" s="96"/>
      <c r="E492" s="96"/>
      <c r="F492" s="9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</row>
    <row r="493">
      <c r="A493" s="96"/>
      <c r="B493" s="96"/>
      <c r="C493" s="96"/>
      <c r="D493" s="96"/>
      <c r="E493" s="96"/>
      <c r="F493" s="9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</row>
    <row r="494">
      <c r="A494" s="96"/>
      <c r="B494" s="96"/>
      <c r="C494" s="96"/>
      <c r="D494" s="96"/>
      <c r="E494" s="96"/>
      <c r="F494" s="9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</row>
    <row r="495">
      <c r="A495" s="96"/>
      <c r="B495" s="96"/>
      <c r="C495" s="96"/>
      <c r="D495" s="96"/>
      <c r="E495" s="96"/>
      <c r="F495" s="9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</row>
    <row r="496">
      <c r="A496" s="96"/>
      <c r="B496" s="96"/>
      <c r="C496" s="96"/>
      <c r="D496" s="96"/>
      <c r="E496" s="96"/>
      <c r="F496" s="9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</row>
    <row r="497">
      <c r="A497" s="96"/>
      <c r="B497" s="96"/>
      <c r="C497" s="96"/>
      <c r="D497" s="96"/>
      <c r="E497" s="96"/>
      <c r="F497" s="9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</row>
    <row r="498">
      <c r="A498" s="96"/>
      <c r="B498" s="96"/>
      <c r="C498" s="96"/>
      <c r="D498" s="96"/>
      <c r="E498" s="96"/>
      <c r="F498" s="9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</row>
    <row r="499">
      <c r="A499" s="96"/>
      <c r="B499" s="96"/>
      <c r="C499" s="96"/>
      <c r="D499" s="96"/>
      <c r="E499" s="96"/>
      <c r="F499" s="9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</row>
    <row r="500">
      <c r="A500" s="96"/>
      <c r="B500" s="96"/>
      <c r="C500" s="96"/>
      <c r="D500" s="96"/>
      <c r="E500" s="96"/>
      <c r="F500" s="9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</row>
    <row r="501">
      <c r="A501" s="96"/>
      <c r="B501" s="96"/>
      <c r="C501" s="96"/>
      <c r="D501" s="96"/>
      <c r="E501" s="96"/>
      <c r="F501" s="9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</row>
    <row r="502">
      <c r="A502" s="96"/>
      <c r="B502" s="96"/>
      <c r="C502" s="96"/>
      <c r="D502" s="96"/>
      <c r="E502" s="96"/>
      <c r="F502" s="9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</row>
    <row r="503">
      <c r="A503" s="96"/>
      <c r="B503" s="96"/>
      <c r="C503" s="96"/>
      <c r="D503" s="96"/>
      <c r="E503" s="96"/>
      <c r="F503" s="9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</row>
    <row r="504">
      <c r="A504" s="96"/>
      <c r="B504" s="96"/>
      <c r="C504" s="96"/>
      <c r="D504" s="96"/>
      <c r="E504" s="96"/>
      <c r="F504" s="9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</row>
    <row r="505">
      <c r="A505" s="96"/>
      <c r="B505" s="96"/>
      <c r="C505" s="96"/>
      <c r="D505" s="96"/>
      <c r="E505" s="96"/>
      <c r="F505" s="9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</row>
    <row r="506">
      <c r="A506" s="96"/>
      <c r="B506" s="96"/>
      <c r="C506" s="96"/>
      <c r="D506" s="96"/>
      <c r="E506" s="96"/>
      <c r="F506" s="9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</row>
    <row r="507">
      <c r="A507" s="96"/>
      <c r="B507" s="96"/>
      <c r="C507" s="96"/>
      <c r="D507" s="96"/>
      <c r="E507" s="96"/>
      <c r="F507" s="9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</row>
    <row r="508">
      <c r="A508" s="96"/>
      <c r="B508" s="96"/>
      <c r="C508" s="96"/>
      <c r="D508" s="96"/>
      <c r="E508" s="96"/>
      <c r="F508" s="9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</row>
    <row r="509">
      <c r="A509" s="96"/>
      <c r="B509" s="96"/>
      <c r="C509" s="96"/>
      <c r="D509" s="96"/>
      <c r="E509" s="96"/>
      <c r="F509" s="9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</row>
    <row r="510">
      <c r="A510" s="96"/>
      <c r="B510" s="96"/>
      <c r="C510" s="96"/>
      <c r="D510" s="96"/>
      <c r="E510" s="96"/>
      <c r="F510" s="9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</row>
    <row r="511">
      <c r="A511" s="96"/>
      <c r="B511" s="96"/>
      <c r="C511" s="96"/>
      <c r="D511" s="96"/>
      <c r="E511" s="96"/>
      <c r="F511" s="9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</row>
    <row r="512">
      <c r="A512" s="96"/>
      <c r="B512" s="96"/>
      <c r="C512" s="96"/>
      <c r="D512" s="96"/>
      <c r="E512" s="96"/>
      <c r="F512" s="9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</row>
    <row r="513">
      <c r="A513" s="96"/>
      <c r="B513" s="96"/>
      <c r="C513" s="96"/>
      <c r="D513" s="96"/>
      <c r="E513" s="96"/>
      <c r="F513" s="9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</row>
    <row r="514">
      <c r="A514" s="96"/>
      <c r="B514" s="96"/>
      <c r="C514" s="96"/>
      <c r="D514" s="96"/>
      <c r="E514" s="96"/>
      <c r="F514" s="9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</row>
    <row r="515">
      <c r="A515" s="96"/>
      <c r="B515" s="96"/>
      <c r="C515" s="96"/>
      <c r="D515" s="96"/>
      <c r="E515" s="96"/>
      <c r="F515" s="9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</row>
    <row r="516">
      <c r="A516" s="96"/>
      <c r="B516" s="96"/>
      <c r="C516" s="96"/>
      <c r="D516" s="96"/>
      <c r="E516" s="96"/>
      <c r="F516" s="9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</row>
    <row r="517">
      <c r="A517" s="96"/>
      <c r="B517" s="96"/>
      <c r="C517" s="96"/>
      <c r="D517" s="96"/>
      <c r="E517" s="96"/>
      <c r="F517" s="9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</row>
    <row r="518">
      <c r="A518" s="96"/>
      <c r="B518" s="96"/>
      <c r="C518" s="96"/>
      <c r="D518" s="96"/>
      <c r="E518" s="96"/>
      <c r="F518" s="9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</row>
    <row r="519">
      <c r="A519" s="96"/>
      <c r="B519" s="96"/>
      <c r="C519" s="96"/>
      <c r="D519" s="96"/>
      <c r="E519" s="96"/>
      <c r="F519" s="9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</row>
    <row r="520">
      <c r="A520" s="96"/>
      <c r="B520" s="96"/>
      <c r="C520" s="96"/>
      <c r="D520" s="96"/>
      <c r="E520" s="96"/>
      <c r="F520" s="9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</row>
    <row r="521">
      <c r="A521" s="96"/>
      <c r="B521" s="96"/>
      <c r="C521" s="96"/>
      <c r="D521" s="96"/>
      <c r="E521" s="96"/>
      <c r="F521" s="9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</row>
    <row r="522">
      <c r="A522" s="96"/>
      <c r="B522" s="96"/>
      <c r="C522" s="96"/>
      <c r="D522" s="96"/>
      <c r="E522" s="96"/>
      <c r="F522" s="9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</row>
    <row r="523">
      <c r="A523" s="96"/>
      <c r="B523" s="96"/>
      <c r="C523" s="96"/>
      <c r="D523" s="96"/>
      <c r="E523" s="96"/>
      <c r="F523" s="9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</row>
    <row r="524">
      <c r="A524" s="96"/>
      <c r="B524" s="96"/>
      <c r="C524" s="96"/>
      <c r="D524" s="96"/>
      <c r="E524" s="96"/>
      <c r="F524" s="9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</row>
    <row r="525">
      <c r="A525" s="96"/>
      <c r="B525" s="96"/>
      <c r="C525" s="96"/>
      <c r="D525" s="96"/>
      <c r="E525" s="96"/>
      <c r="F525" s="9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</row>
    <row r="526">
      <c r="A526" s="96"/>
      <c r="B526" s="96"/>
      <c r="C526" s="96"/>
      <c r="D526" s="96"/>
      <c r="E526" s="96"/>
      <c r="F526" s="9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</row>
    <row r="527">
      <c r="A527" s="96"/>
      <c r="B527" s="96"/>
      <c r="C527" s="96"/>
      <c r="D527" s="96"/>
      <c r="E527" s="96"/>
      <c r="F527" s="9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</row>
    <row r="528">
      <c r="A528" s="96"/>
      <c r="B528" s="96"/>
      <c r="C528" s="96"/>
      <c r="D528" s="96"/>
      <c r="E528" s="96"/>
      <c r="F528" s="9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</row>
    <row r="529">
      <c r="A529" s="96"/>
      <c r="B529" s="96"/>
      <c r="C529" s="96"/>
      <c r="D529" s="96"/>
      <c r="E529" s="96"/>
      <c r="F529" s="9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</row>
    <row r="530">
      <c r="A530" s="96"/>
      <c r="B530" s="96"/>
      <c r="C530" s="96"/>
      <c r="D530" s="96"/>
      <c r="E530" s="96"/>
      <c r="F530" s="9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</row>
    <row r="531">
      <c r="A531" s="96"/>
      <c r="B531" s="96"/>
      <c r="C531" s="96"/>
      <c r="D531" s="96"/>
      <c r="E531" s="96"/>
      <c r="F531" s="9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</row>
    <row r="532">
      <c r="A532" s="96"/>
      <c r="B532" s="96"/>
      <c r="C532" s="96"/>
      <c r="D532" s="96"/>
      <c r="E532" s="96"/>
      <c r="F532" s="9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</row>
    <row r="533">
      <c r="A533" s="96"/>
      <c r="B533" s="96"/>
      <c r="C533" s="96"/>
      <c r="D533" s="96"/>
      <c r="E533" s="96"/>
      <c r="F533" s="9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</row>
    <row r="534">
      <c r="A534" s="96"/>
      <c r="B534" s="96"/>
      <c r="C534" s="96"/>
      <c r="D534" s="96"/>
      <c r="E534" s="96"/>
      <c r="F534" s="9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</row>
    <row r="535">
      <c r="A535" s="96"/>
      <c r="B535" s="96"/>
      <c r="C535" s="96"/>
      <c r="D535" s="96"/>
      <c r="E535" s="96"/>
      <c r="F535" s="9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</row>
    <row r="536">
      <c r="A536" s="96"/>
      <c r="B536" s="96"/>
      <c r="C536" s="96"/>
      <c r="D536" s="96"/>
      <c r="E536" s="96"/>
      <c r="F536" s="9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</row>
    <row r="537">
      <c r="A537" s="96"/>
      <c r="B537" s="96"/>
      <c r="C537" s="96"/>
      <c r="D537" s="96"/>
      <c r="E537" s="96"/>
      <c r="F537" s="9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</row>
    <row r="538">
      <c r="A538" s="96"/>
      <c r="B538" s="96"/>
      <c r="C538" s="96"/>
      <c r="D538" s="96"/>
      <c r="E538" s="96"/>
      <c r="F538" s="9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</row>
    <row r="539">
      <c r="A539" s="96"/>
      <c r="B539" s="96"/>
      <c r="C539" s="96"/>
      <c r="D539" s="96"/>
      <c r="E539" s="96"/>
      <c r="F539" s="9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</row>
    <row r="540">
      <c r="A540" s="96"/>
      <c r="B540" s="96"/>
      <c r="C540" s="96"/>
      <c r="D540" s="96"/>
      <c r="E540" s="96"/>
      <c r="F540" s="9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</row>
    <row r="541">
      <c r="A541" s="96"/>
      <c r="B541" s="96"/>
      <c r="C541" s="96"/>
      <c r="D541" s="96"/>
      <c r="E541" s="96"/>
      <c r="F541" s="9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</row>
    <row r="542">
      <c r="A542" s="96"/>
      <c r="B542" s="96"/>
      <c r="C542" s="96"/>
      <c r="D542" s="96"/>
      <c r="E542" s="96"/>
      <c r="F542" s="9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</row>
    <row r="543">
      <c r="A543" s="96"/>
      <c r="B543" s="96"/>
      <c r="C543" s="96"/>
      <c r="D543" s="96"/>
      <c r="E543" s="96"/>
      <c r="F543" s="9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</row>
    <row r="544">
      <c r="A544" s="96"/>
      <c r="B544" s="96"/>
      <c r="C544" s="96"/>
      <c r="D544" s="96"/>
      <c r="E544" s="96"/>
      <c r="F544" s="9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</row>
    <row r="545">
      <c r="A545" s="96"/>
      <c r="B545" s="96"/>
      <c r="C545" s="96"/>
      <c r="D545" s="96"/>
      <c r="E545" s="96"/>
      <c r="F545" s="9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</row>
    <row r="546">
      <c r="A546" s="96"/>
      <c r="B546" s="96"/>
      <c r="C546" s="96"/>
      <c r="D546" s="96"/>
      <c r="E546" s="96"/>
      <c r="F546" s="9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</row>
    <row r="547">
      <c r="A547" s="96"/>
      <c r="B547" s="96"/>
      <c r="C547" s="96"/>
      <c r="D547" s="96"/>
      <c r="E547" s="96"/>
      <c r="F547" s="9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</row>
    <row r="548">
      <c r="A548" s="96"/>
      <c r="B548" s="96"/>
      <c r="C548" s="96"/>
      <c r="D548" s="96"/>
      <c r="E548" s="96"/>
      <c r="F548" s="9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</row>
    <row r="549">
      <c r="A549" s="96"/>
      <c r="B549" s="96"/>
      <c r="C549" s="96"/>
      <c r="D549" s="96"/>
      <c r="E549" s="96"/>
      <c r="F549" s="9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</row>
    <row r="550">
      <c r="A550" s="96"/>
      <c r="B550" s="96"/>
      <c r="C550" s="96"/>
      <c r="D550" s="96"/>
      <c r="E550" s="96"/>
      <c r="F550" s="9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</row>
    <row r="551">
      <c r="A551" s="96"/>
      <c r="B551" s="96"/>
      <c r="C551" s="96"/>
      <c r="D551" s="96"/>
      <c r="E551" s="96"/>
      <c r="F551" s="9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</row>
    <row r="552">
      <c r="A552" s="96"/>
      <c r="B552" s="96"/>
      <c r="C552" s="96"/>
      <c r="D552" s="96"/>
      <c r="E552" s="96"/>
      <c r="F552" s="9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</row>
    <row r="553">
      <c r="A553" s="96"/>
      <c r="B553" s="96"/>
      <c r="C553" s="96"/>
      <c r="D553" s="96"/>
      <c r="E553" s="96"/>
      <c r="F553" s="9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</row>
    <row r="554">
      <c r="A554" s="96"/>
      <c r="B554" s="96"/>
      <c r="C554" s="96"/>
      <c r="D554" s="96"/>
      <c r="E554" s="96"/>
      <c r="F554" s="9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</row>
    <row r="555">
      <c r="A555" s="96"/>
      <c r="B555" s="96"/>
      <c r="C555" s="96"/>
      <c r="D555" s="96"/>
      <c r="E555" s="96"/>
      <c r="F555" s="9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</row>
    <row r="556">
      <c r="A556" s="96"/>
      <c r="B556" s="96"/>
      <c r="C556" s="96"/>
      <c r="D556" s="96"/>
      <c r="E556" s="96"/>
      <c r="F556" s="9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</row>
    <row r="557">
      <c r="A557" s="96"/>
      <c r="B557" s="96"/>
      <c r="C557" s="96"/>
      <c r="D557" s="96"/>
      <c r="E557" s="96"/>
      <c r="F557" s="9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</row>
    <row r="558">
      <c r="A558" s="96"/>
      <c r="B558" s="96"/>
      <c r="C558" s="96"/>
      <c r="D558" s="96"/>
      <c r="E558" s="96"/>
      <c r="F558" s="9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</row>
    <row r="559">
      <c r="A559" s="96"/>
      <c r="B559" s="96"/>
      <c r="C559" s="96"/>
      <c r="D559" s="96"/>
      <c r="E559" s="96"/>
      <c r="F559" s="9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</row>
    <row r="560">
      <c r="A560" s="96"/>
      <c r="B560" s="96"/>
      <c r="C560" s="96"/>
      <c r="D560" s="96"/>
      <c r="E560" s="96"/>
      <c r="F560" s="9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</row>
    <row r="561">
      <c r="A561" s="96"/>
      <c r="B561" s="96"/>
      <c r="C561" s="96"/>
      <c r="D561" s="96"/>
      <c r="E561" s="96"/>
      <c r="F561" s="9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</row>
    <row r="562">
      <c r="A562" s="96"/>
      <c r="B562" s="96"/>
      <c r="C562" s="96"/>
      <c r="D562" s="96"/>
      <c r="E562" s="96"/>
      <c r="F562" s="9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</row>
    <row r="563">
      <c r="A563" s="96"/>
      <c r="B563" s="96"/>
      <c r="C563" s="96"/>
      <c r="D563" s="96"/>
      <c r="E563" s="96"/>
      <c r="F563" s="9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</row>
    <row r="564">
      <c r="A564" s="96"/>
      <c r="B564" s="96"/>
      <c r="C564" s="96"/>
      <c r="D564" s="96"/>
      <c r="E564" s="96"/>
      <c r="F564" s="9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</row>
    <row r="565">
      <c r="A565" s="96"/>
      <c r="B565" s="96"/>
      <c r="C565" s="96"/>
      <c r="D565" s="96"/>
      <c r="E565" s="96"/>
      <c r="F565" s="9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</row>
    <row r="566">
      <c r="A566" s="96"/>
      <c r="B566" s="96"/>
      <c r="C566" s="96"/>
      <c r="D566" s="96"/>
      <c r="E566" s="96"/>
      <c r="F566" s="9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</row>
    <row r="567">
      <c r="A567" s="96"/>
      <c r="B567" s="96"/>
      <c r="C567" s="96"/>
      <c r="D567" s="96"/>
      <c r="E567" s="96"/>
      <c r="F567" s="9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</row>
    <row r="568">
      <c r="A568" s="96"/>
      <c r="B568" s="96"/>
      <c r="C568" s="96"/>
      <c r="D568" s="96"/>
      <c r="E568" s="96"/>
      <c r="F568" s="9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</row>
    <row r="569">
      <c r="A569" s="96"/>
      <c r="B569" s="96"/>
      <c r="C569" s="96"/>
      <c r="D569" s="96"/>
      <c r="E569" s="96"/>
      <c r="F569" s="9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</row>
    <row r="570">
      <c r="A570" s="96"/>
      <c r="B570" s="96"/>
      <c r="C570" s="96"/>
      <c r="D570" s="96"/>
      <c r="E570" s="96"/>
      <c r="F570" s="9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</row>
    <row r="571">
      <c r="A571" s="96"/>
      <c r="B571" s="96"/>
      <c r="C571" s="96"/>
      <c r="D571" s="96"/>
      <c r="E571" s="96"/>
      <c r="F571" s="9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</row>
    <row r="572">
      <c r="A572" s="96"/>
      <c r="B572" s="96"/>
      <c r="C572" s="96"/>
      <c r="D572" s="96"/>
      <c r="E572" s="96"/>
      <c r="F572" s="9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</row>
    <row r="573">
      <c r="A573" s="96"/>
      <c r="B573" s="96"/>
      <c r="C573" s="96"/>
      <c r="D573" s="96"/>
      <c r="E573" s="96"/>
      <c r="F573" s="9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</row>
    <row r="574">
      <c r="A574" s="96"/>
      <c r="B574" s="96"/>
      <c r="C574" s="96"/>
      <c r="D574" s="96"/>
      <c r="E574" s="96"/>
      <c r="F574" s="9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</row>
    <row r="575">
      <c r="A575" s="96"/>
      <c r="B575" s="96"/>
      <c r="C575" s="96"/>
      <c r="D575" s="96"/>
      <c r="E575" s="96"/>
      <c r="F575" s="9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</row>
    <row r="576">
      <c r="A576" s="96"/>
      <c r="B576" s="96"/>
      <c r="C576" s="96"/>
      <c r="D576" s="96"/>
      <c r="E576" s="96"/>
      <c r="F576" s="9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</row>
    <row r="577">
      <c r="A577" s="96"/>
      <c r="B577" s="96"/>
      <c r="C577" s="96"/>
      <c r="D577" s="96"/>
      <c r="E577" s="96"/>
      <c r="F577" s="9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</row>
    <row r="578">
      <c r="A578" s="96"/>
      <c r="B578" s="96"/>
      <c r="C578" s="96"/>
      <c r="D578" s="96"/>
      <c r="E578" s="96"/>
      <c r="F578" s="9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</row>
    <row r="579">
      <c r="A579" s="96"/>
      <c r="B579" s="96"/>
      <c r="C579" s="96"/>
      <c r="D579" s="96"/>
      <c r="E579" s="96"/>
      <c r="F579" s="9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</row>
    <row r="580">
      <c r="A580" s="96"/>
      <c r="B580" s="96"/>
      <c r="C580" s="96"/>
      <c r="D580" s="96"/>
      <c r="E580" s="96"/>
      <c r="F580" s="9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</row>
    <row r="581">
      <c r="A581" s="96"/>
      <c r="B581" s="96"/>
      <c r="C581" s="96"/>
      <c r="D581" s="96"/>
      <c r="E581" s="96"/>
      <c r="F581" s="9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</row>
    <row r="582">
      <c r="A582" s="96"/>
      <c r="B582" s="96"/>
      <c r="C582" s="96"/>
      <c r="D582" s="96"/>
      <c r="E582" s="96"/>
      <c r="F582" s="9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</row>
    <row r="583">
      <c r="A583" s="96"/>
      <c r="B583" s="96"/>
      <c r="C583" s="96"/>
      <c r="D583" s="96"/>
      <c r="E583" s="96"/>
      <c r="F583" s="9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</row>
    <row r="584">
      <c r="A584" s="96"/>
      <c r="B584" s="96"/>
      <c r="C584" s="96"/>
      <c r="D584" s="96"/>
      <c r="E584" s="96"/>
      <c r="F584" s="9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</row>
    <row r="585">
      <c r="A585" s="96"/>
      <c r="B585" s="96"/>
      <c r="C585" s="96"/>
      <c r="D585" s="96"/>
      <c r="E585" s="96"/>
      <c r="F585" s="9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</row>
    <row r="586">
      <c r="A586" s="96"/>
      <c r="B586" s="96"/>
      <c r="C586" s="96"/>
      <c r="D586" s="96"/>
      <c r="E586" s="96"/>
      <c r="F586" s="9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</row>
    <row r="587">
      <c r="A587" s="96"/>
      <c r="B587" s="96"/>
      <c r="C587" s="96"/>
      <c r="D587" s="96"/>
      <c r="E587" s="96"/>
      <c r="F587" s="9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</row>
    <row r="588">
      <c r="A588" s="96"/>
      <c r="B588" s="96"/>
      <c r="C588" s="96"/>
      <c r="D588" s="96"/>
      <c r="E588" s="96"/>
      <c r="F588" s="9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</row>
    <row r="589">
      <c r="A589" s="96"/>
      <c r="B589" s="96"/>
      <c r="C589" s="96"/>
      <c r="D589" s="96"/>
      <c r="E589" s="96"/>
      <c r="F589" s="9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</row>
    <row r="590">
      <c r="A590" s="96"/>
      <c r="B590" s="96"/>
      <c r="C590" s="96"/>
      <c r="D590" s="96"/>
      <c r="E590" s="96"/>
      <c r="F590" s="9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</row>
    <row r="591">
      <c r="A591" s="96"/>
      <c r="B591" s="96"/>
      <c r="C591" s="96"/>
      <c r="D591" s="96"/>
      <c r="E591" s="96"/>
      <c r="F591" s="9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</row>
    <row r="592">
      <c r="A592" s="96"/>
      <c r="B592" s="96"/>
      <c r="C592" s="96"/>
      <c r="D592" s="96"/>
      <c r="E592" s="96"/>
      <c r="F592" s="9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</row>
    <row r="593">
      <c r="A593" s="96"/>
      <c r="B593" s="96"/>
      <c r="C593" s="96"/>
      <c r="D593" s="96"/>
      <c r="E593" s="96"/>
      <c r="F593" s="9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</row>
    <row r="594">
      <c r="A594" s="96"/>
      <c r="B594" s="96"/>
      <c r="C594" s="96"/>
      <c r="D594" s="96"/>
      <c r="E594" s="96"/>
      <c r="F594" s="9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</row>
    <row r="595">
      <c r="A595" s="96"/>
      <c r="B595" s="96"/>
      <c r="C595" s="96"/>
      <c r="D595" s="96"/>
      <c r="E595" s="96"/>
      <c r="F595" s="9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</row>
    <row r="596">
      <c r="A596" s="96"/>
      <c r="B596" s="96"/>
      <c r="C596" s="96"/>
      <c r="D596" s="96"/>
      <c r="E596" s="96"/>
      <c r="F596" s="9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</row>
    <row r="597">
      <c r="A597" s="96"/>
      <c r="B597" s="96"/>
      <c r="C597" s="96"/>
      <c r="D597" s="96"/>
      <c r="E597" s="96"/>
      <c r="F597" s="9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</row>
    <row r="598">
      <c r="A598" s="96"/>
      <c r="B598" s="96"/>
      <c r="C598" s="96"/>
      <c r="D598" s="96"/>
      <c r="E598" s="96"/>
      <c r="F598" s="9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</row>
    <row r="599">
      <c r="A599" s="96"/>
      <c r="B599" s="96"/>
      <c r="C599" s="96"/>
      <c r="D599" s="96"/>
      <c r="E599" s="96"/>
      <c r="F599" s="9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</row>
    <row r="600">
      <c r="A600" s="96"/>
      <c r="B600" s="96"/>
      <c r="C600" s="96"/>
      <c r="D600" s="96"/>
      <c r="E600" s="96"/>
      <c r="F600" s="9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</row>
    <row r="601">
      <c r="A601" s="96"/>
      <c r="B601" s="96"/>
      <c r="C601" s="96"/>
      <c r="D601" s="96"/>
      <c r="E601" s="96"/>
      <c r="F601" s="9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</row>
    <row r="602">
      <c r="A602" s="96"/>
      <c r="B602" s="96"/>
      <c r="C602" s="96"/>
      <c r="D602" s="96"/>
      <c r="E602" s="96"/>
      <c r="F602" s="9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</row>
    <row r="603">
      <c r="A603" s="96"/>
      <c r="B603" s="96"/>
      <c r="C603" s="96"/>
      <c r="D603" s="96"/>
      <c r="E603" s="96"/>
      <c r="F603" s="9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</row>
    <row r="604">
      <c r="A604" s="96"/>
      <c r="B604" s="96"/>
      <c r="C604" s="96"/>
      <c r="D604" s="96"/>
      <c r="E604" s="96"/>
      <c r="F604" s="9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</row>
    <row r="605">
      <c r="A605" s="96"/>
      <c r="B605" s="96"/>
      <c r="C605" s="96"/>
      <c r="D605" s="96"/>
      <c r="E605" s="96"/>
      <c r="F605" s="9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</row>
    <row r="606">
      <c r="A606" s="96"/>
      <c r="B606" s="96"/>
      <c r="C606" s="96"/>
      <c r="D606" s="96"/>
      <c r="E606" s="96"/>
      <c r="F606" s="9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</row>
    <row r="607">
      <c r="A607" s="96"/>
      <c r="B607" s="96"/>
      <c r="C607" s="96"/>
      <c r="D607" s="96"/>
      <c r="E607" s="96"/>
      <c r="F607" s="9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</row>
    <row r="608">
      <c r="A608" s="96"/>
      <c r="B608" s="96"/>
      <c r="C608" s="96"/>
      <c r="D608" s="96"/>
      <c r="E608" s="96"/>
      <c r="F608" s="9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</row>
    <row r="609">
      <c r="A609" s="96"/>
      <c r="B609" s="96"/>
      <c r="C609" s="96"/>
      <c r="D609" s="96"/>
      <c r="E609" s="96"/>
      <c r="F609" s="9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</row>
    <row r="610">
      <c r="A610" s="96"/>
      <c r="B610" s="96"/>
      <c r="C610" s="96"/>
      <c r="D610" s="96"/>
      <c r="E610" s="96"/>
      <c r="F610" s="9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</row>
    <row r="611">
      <c r="A611" s="96"/>
      <c r="B611" s="96"/>
      <c r="C611" s="96"/>
      <c r="D611" s="96"/>
      <c r="E611" s="96"/>
      <c r="F611" s="9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</row>
    <row r="612">
      <c r="A612" s="96"/>
      <c r="B612" s="96"/>
      <c r="C612" s="96"/>
      <c r="D612" s="96"/>
      <c r="E612" s="96"/>
      <c r="F612" s="9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</row>
    <row r="613">
      <c r="A613" s="96"/>
      <c r="B613" s="96"/>
      <c r="C613" s="96"/>
      <c r="D613" s="96"/>
      <c r="E613" s="96"/>
      <c r="F613" s="9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</row>
    <row r="614">
      <c r="A614" s="96"/>
      <c r="B614" s="96"/>
      <c r="C614" s="96"/>
      <c r="D614" s="96"/>
      <c r="E614" s="96"/>
      <c r="F614" s="9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</row>
    <row r="615">
      <c r="A615" s="96"/>
      <c r="B615" s="96"/>
      <c r="C615" s="96"/>
      <c r="D615" s="96"/>
      <c r="E615" s="96"/>
      <c r="F615" s="9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</row>
    <row r="616">
      <c r="A616" s="96"/>
      <c r="B616" s="96"/>
      <c r="C616" s="96"/>
      <c r="D616" s="96"/>
      <c r="E616" s="96"/>
      <c r="F616" s="9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</row>
    <row r="617">
      <c r="A617" s="96"/>
      <c r="B617" s="96"/>
      <c r="C617" s="96"/>
      <c r="D617" s="96"/>
      <c r="E617" s="96"/>
      <c r="F617" s="9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</row>
    <row r="618">
      <c r="A618" s="96"/>
      <c r="B618" s="96"/>
      <c r="C618" s="96"/>
      <c r="D618" s="96"/>
      <c r="E618" s="96"/>
      <c r="F618" s="9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</row>
    <row r="619">
      <c r="A619" s="96"/>
      <c r="B619" s="96"/>
      <c r="C619" s="96"/>
      <c r="D619" s="96"/>
      <c r="E619" s="96"/>
      <c r="F619" s="9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</row>
    <row r="620">
      <c r="A620" s="96"/>
      <c r="B620" s="96"/>
      <c r="C620" s="96"/>
      <c r="D620" s="96"/>
      <c r="E620" s="96"/>
      <c r="F620" s="9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</row>
    <row r="621">
      <c r="A621" s="96"/>
      <c r="B621" s="96"/>
      <c r="C621" s="96"/>
      <c r="D621" s="96"/>
      <c r="E621" s="96"/>
      <c r="F621" s="9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</row>
    <row r="622">
      <c r="A622" s="96"/>
      <c r="B622" s="96"/>
      <c r="C622" s="96"/>
      <c r="D622" s="96"/>
      <c r="E622" s="96"/>
      <c r="F622" s="9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</row>
    <row r="623">
      <c r="A623" s="96"/>
      <c r="B623" s="96"/>
      <c r="C623" s="96"/>
      <c r="D623" s="96"/>
      <c r="E623" s="96"/>
      <c r="F623" s="9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</row>
    <row r="624">
      <c r="A624" s="96"/>
      <c r="B624" s="96"/>
      <c r="C624" s="96"/>
      <c r="D624" s="96"/>
      <c r="E624" s="96"/>
      <c r="F624" s="9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</row>
    <row r="625">
      <c r="A625" s="96"/>
      <c r="B625" s="96"/>
      <c r="C625" s="96"/>
      <c r="D625" s="96"/>
      <c r="E625" s="96"/>
      <c r="F625" s="9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</row>
    <row r="626">
      <c r="A626" s="96"/>
      <c r="B626" s="96"/>
      <c r="C626" s="96"/>
      <c r="D626" s="96"/>
      <c r="E626" s="96"/>
      <c r="F626" s="9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</row>
    <row r="627">
      <c r="A627" s="96"/>
      <c r="B627" s="96"/>
      <c r="C627" s="96"/>
      <c r="D627" s="96"/>
      <c r="E627" s="96"/>
      <c r="F627" s="9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</row>
    <row r="628">
      <c r="A628" s="96"/>
      <c r="B628" s="96"/>
      <c r="C628" s="96"/>
      <c r="D628" s="96"/>
      <c r="E628" s="96"/>
      <c r="F628" s="9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</row>
    <row r="629">
      <c r="A629" s="96"/>
      <c r="B629" s="96"/>
      <c r="C629" s="96"/>
      <c r="D629" s="96"/>
      <c r="E629" s="96"/>
      <c r="F629" s="9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</row>
    <row r="630">
      <c r="A630" s="96"/>
      <c r="B630" s="96"/>
      <c r="C630" s="96"/>
      <c r="D630" s="96"/>
      <c r="E630" s="96"/>
      <c r="F630" s="9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</row>
    <row r="631">
      <c r="A631" s="96"/>
      <c r="B631" s="96"/>
      <c r="C631" s="96"/>
      <c r="D631" s="96"/>
      <c r="E631" s="96"/>
      <c r="F631" s="9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</row>
    <row r="632">
      <c r="A632" s="96"/>
      <c r="B632" s="96"/>
      <c r="C632" s="96"/>
      <c r="D632" s="96"/>
      <c r="E632" s="96"/>
      <c r="F632" s="9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</row>
    <row r="633">
      <c r="A633" s="96"/>
      <c r="B633" s="96"/>
      <c r="C633" s="96"/>
      <c r="D633" s="96"/>
      <c r="E633" s="96"/>
      <c r="F633" s="9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</row>
    <row r="634">
      <c r="A634" s="96"/>
      <c r="B634" s="96"/>
      <c r="C634" s="96"/>
      <c r="D634" s="96"/>
      <c r="E634" s="96"/>
      <c r="F634" s="9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</row>
    <row r="635">
      <c r="A635" s="96"/>
      <c r="B635" s="96"/>
      <c r="C635" s="96"/>
      <c r="D635" s="96"/>
      <c r="E635" s="96"/>
      <c r="F635" s="9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</row>
    <row r="636">
      <c r="A636" s="96"/>
      <c r="B636" s="96"/>
      <c r="C636" s="96"/>
      <c r="D636" s="96"/>
      <c r="E636" s="96"/>
      <c r="F636" s="9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</row>
    <row r="637">
      <c r="A637" s="96"/>
      <c r="B637" s="96"/>
      <c r="C637" s="96"/>
      <c r="D637" s="96"/>
      <c r="E637" s="96"/>
      <c r="F637" s="9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</row>
    <row r="638">
      <c r="A638" s="96"/>
      <c r="B638" s="96"/>
      <c r="C638" s="96"/>
      <c r="D638" s="96"/>
      <c r="E638" s="96"/>
      <c r="F638" s="9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</row>
    <row r="639">
      <c r="A639" s="96"/>
      <c r="B639" s="96"/>
      <c r="C639" s="96"/>
      <c r="D639" s="96"/>
      <c r="E639" s="96"/>
      <c r="F639" s="9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</row>
    <row r="640">
      <c r="A640" s="96"/>
      <c r="B640" s="96"/>
      <c r="C640" s="96"/>
      <c r="D640" s="96"/>
      <c r="E640" s="96"/>
      <c r="F640" s="9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</row>
    <row r="641">
      <c r="A641" s="96"/>
      <c r="B641" s="96"/>
      <c r="C641" s="96"/>
      <c r="D641" s="96"/>
      <c r="E641" s="96"/>
      <c r="F641" s="9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</row>
    <row r="642">
      <c r="A642" s="96"/>
      <c r="B642" s="96"/>
      <c r="C642" s="96"/>
      <c r="D642" s="96"/>
      <c r="E642" s="96"/>
      <c r="F642" s="9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</row>
    <row r="643">
      <c r="A643" s="96"/>
      <c r="B643" s="96"/>
      <c r="C643" s="96"/>
      <c r="D643" s="96"/>
      <c r="E643" s="96"/>
      <c r="F643" s="9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</row>
    <row r="644">
      <c r="A644" s="96"/>
      <c r="B644" s="96"/>
      <c r="C644" s="96"/>
      <c r="D644" s="96"/>
      <c r="E644" s="96"/>
      <c r="F644" s="9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</row>
    <row r="645">
      <c r="A645" s="96"/>
      <c r="B645" s="96"/>
      <c r="C645" s="96"/>
      <c r="D645" s="96"/>
      <c r="E645" s="96"/>
      <c r="F645" s="9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</row>
    <row r="646">
      <c r="A646" s="96"/>
      <c r="B646" s="96"/>
      <c r="C646" s="96"/>
      <c r="D646" s="96"/>
      <c r="E646" s="96"/>
      <c r="F646" s="9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</row>
    <row r="647">
      <c r="A647" s="96"/>
      <c r="B647" s="96"/>
      <c r="C647" s="96"/>
      <c r="D647" s="96"/>
      <c r="E647" s="96"/>
      <c r="F647" s="9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</row>
    <row r="648">
      <c r="A648" s="96"/>
      <c r="B648" s="96"/>
      <c r="C648" s="96"/>
      <c r="D648" s="96"/>
      <c r="E648" s="96"/>
      <c r="F648" s="9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</row>
    <row r="649">
      <c r="A649" s="96"/>
      <c r="B649" s="96"/>
      <c r="C649" s="96"/>
      <c r="D649" s="96"/>
      <c r="E649" s="96"/>
      <c r="F649" s="9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</row>
    <row r="650">
      <c r="A650" s="96"/>
      <c r="B650" s="96"/>
      <c r="C650" s="96"/>
      <c r="D650" s="96"/>
      <c r="E650" s="96"/>
      <c r="F650" s="9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</row>
    <row r="651">
      <c r="A651" s="96"/>
      <c r="B651" s="96"/>
      <c r="C651" s="96"/>
      <c r="D651" s="96"/>
      <c r="E651" s="96"/>
      <c r="F651" s="9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</row>
    <row r="652">
      <c r="A652" s="96"/>
      <c r="B652" s="96"/>
      <c r="C652" s="96"/>
      <c r="D652" s="96"/>
      <c r="E652" s="96"/>
      <c r="F652" s="9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</row>
    <row r="653">
      <c r="A653" s="96"/>
      <c r="B653" s="96"/>
      <c r="C653" s="96"/>
      <c r="D653" s="96"/>
      <c r="E653" s="96"/>
      <c r="F653" s="9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</row>
    <row r="654">
      <c r="A654" s="96"/>
      <c r="B654" s="96"/>
      <c r="C654" s="96"/>
      <c r="D654" s="96"/>
      <c r="E654" s="96"/>
      <c r="F654" s="9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</row>
    <row r="655">
      <c r="A655" s="96"/>
      <c r="B655" s="96"/>
      <c r="C655" s="96"/>
      <c r="D655" s="96"/>
      <c r="E655" s="96"/>
      <c r="F655" s="9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</row>
    <row r="656">
      <c r="A656" s="96"/>
      <c r="B656" s="96"/>
      <c r="C656" s="96"/>
      <c r="D656" s="96"/>
      <c r="E656" s="96"/>
      <c r="F656" s="9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</row>
    <row r="657">
      <c r="A657" s="96"/>
      <c r="B657" s="96"/>
      <c r="C657" s="96"/>
      <c r="D657" s="96"/>
      <c r="E657" s="96"/>
      <c r="F657" s="9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</row>
    <row r="658">
      <c r="A658" s="96"/>
      <c r="B658" s="96"/>
      <c r="C658" s="96"/>
      <c r="D658" s="96"/>
      <c r="E658" s="96"/>
      <c r="F658" s="9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</row>
    <row r="659">
      <c r="A659" s="96"/>
      <c r="B659" s="96"/>
      <c r="C659" s="96"/>
      <c r="D659" s="96"/>
      <c r="E659" s="96"/>
      <c r="F659" s="9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</row>
    <row r="660">
      <c r="A660" s="96"/>
      <c r="B660" s="96"/>
      <c r="C660" s="96"/>
      <c r="D660" s="96"/>
      <c r="E660" s="96"/>
      <c r="F660" s="9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</row>
    <row r="661">
      <c r="A661" s="96"/>
      <c r="B661" s="96"/>
      <c r="C661" s="96"/>
      <c r="D661" s="96"/>
      <c r="E661" s="96"/>
      <c r="F661" s="9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</row>
    <row r="662">
      <c r="A662" s="96"/>
      <c r="B662" s="96"/>
      <c r="C662" s="96"/>
      <c r="D662" s="96"/>
      <c r="E662" s="96"/>
      <c r="F662" s="9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</row>
    <row r="663">
      <c r="A663" s="96"/>
      <c r="B663" s="96"/>
      <c r="C663" s="96"/>
      <c r="D663" s="96"/>
      <c r="E663" s="96"/>
      <c r="F663" s="9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</row>
    <row r="664">
      <c r="A664" s="96"/>
      <c r="B664" s="96"/>
      <c r="C664" s="96"/>
      <c r="D664" s="96"/>
      <c r="E664" s="96"/>
      <c r="F664" s="9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</row>
    <row r="665">
      <c r="A665" s="96"/>
      <c r="B665" s="96"/>
      <c r="C665" s="96"/>
      <c r="D665" s="96"/>
      <c r="E665" s="96"/>
      <c r="F665" s="9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</row>
    <row r="666">
      <c r="A666" s="96"/>
      <c r="B666" s="96"/>
      <c r="C666" s="96"/>
      <c r="D666" s="96"/>
      <c r="E666" s="96"/>
      <c r="F666" s="9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</row>
    <row r="667">
      <c r="A667" s="96"/>
      <c r="B667" s="96"/>
      <c r="C667" s="96"/>
      <c r="D667" s="96"/>
      <c r="E667" s="96"/>
      <c r="F667" s="9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</row>
    <row r="668">
      <c r="A668" s="96"/>
      <c r="B668" s="96"/>
      <c r="C668" s="96"/>
      <c r="D668" s="96"/>
      <c r="E668" s="96"/>
      <c r="F668" s="9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</row>
    <row r="669">
      <c r="A669" s="96"/>
      <c r="B669" s="96"/>
      <c r="C669" s="96"/>
      <c r="D669" s="96"/>
      <c r="E669" s="96"/>
      <c r="F669" s="9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</row>
    <row r="670">
      <c r="A670" s="96"/>
      <c r="B670" s="96"/>
      <c r="C670" s="96"/>
      <c r="D670" s="96"/>
      <c r="E670" s="96"/>
      <c r="F670" s="9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</row>
    <row r="671">
      <c r="A671" s="96"/>
      <c r="B671" s="96"/>
      <c r="C671" s="96"/>
      <c r="D671" s="96"/>
      <c r="E671" s="96"/>
      <c r="F671" s="9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</row>
    <row r="672">
      <c r="A672" s="96"/>
      <c r="B672" s="96"/>
      <c r="C672" s="96"/>
      <c r="D672" s="96"/>
      <c r="E672" s="96"/>
      <c r="F672" s="9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</row>
    <row r="673">
      <c r="A673" s="96"/>
      <c r="B673" s="96"/>
      <c r="C673" s="96"/>
      <c r="D673" s="96"/>
      <c r="E673" s="96"/>
      <c r="F673" s="9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</row>
    <row r="674">
      <c r="A674" s="96"/>
      <c r="B674" s="96"/>
      <c r="C674" s="96"/>
      <c r="D674" s="96"/>
      <c r="E674" s="96"/>
      <c r="F674" s="9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</row>
    <row r="675">
      <c r="A675" s="96"/>
      <c r="B675" s="96"/>
      <c r="C675" s="96"/>
      <c r="D675" s="96"/>
      <c r="E675" s="96"/>
      <c r="F675" s="9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</row>
    <row r="676">
      <c r="A676" s="96"/>
      <c r="B676" s="96"/>
      <c r="C676" s="96"/>
      <c r="D676" s="96"/>
      <c r="E676" s="96"/>
      <c r="F676" s="9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</row>
    <row r="677">
      <c r="A677" s="96"/>
      <c r="B677" s="96"/>
      <c r="C677" s="96"/>
      <c r="D677" s="96"/>
      <c r="E677" s="96"/>
      <c r="F677" s="9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</row>
    <row r="678">
      <c r="A678" s="96"/>
      <c r="B678" s="96"/>
      <c r="C678" s="96"/>
      <c r="D678" s="96"/>
      <c r="E678" s="96"/>
      <c r="F678" s="9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</row>
    <row r="679">
      <c r="A679" s="96"/>
      <c r="B679" s="96"/>
      <c r="C679" s="96"/>
      <c r="D679" s="96"/>
      <c r="E679" s="96"/>
      <c r="F679" s="9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</row>
    <row r="680">
      <c r="A680" s="96"/>
      <c r="B680" s="96"/>
      <c r="C680" s="96"/>
      <c r="D680" s="96"/>
      <c r="E680" s="96"/>
      <c r="F680" s="9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</row>
    <row r="681">
      <c r="A681" s="96"/>
      <c r="B681" s="96"/>
      <c r="C681" s="96"/>
      <c r="D681" s="96"/>
      <c r="E681" s="96"/>
      <c r="F681" s="9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</row>
    <row r="682">
      <c r="A682" s="96"/>
      <c r="B682" s="96"/>
      <c r="C682" s="96"/>
      <c r="D682" s="96"/>
      <c r="E682" s="96"/>
      <c r="F682" s="9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</row>
    <row r="683">
      <c r="A683" s="96"/>
      <c r="B683" s="96"/>
      <c r="C683" s="96"/>
      <c r="D683" s="96"/>
      <c r="E683" s="96"/>
      <c r="F683" s="9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</row>
    <row r="684">
      <c r="A684" s="96"/>
      <c r="B684" s="96"/>
      <c r="C684" s="96"/>
      <c r="D684" s="96"/>
      <c r="E684" s="96"/>
      <c r="F684" s="9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</row>
    <row r="685">
      <c r="A685" s="96"/>
      <c r="B685" s="96"/>
      <c r="C685" s="96"/>
      <c r="D685" s="96"/>
      <c r="E685" s="96"/>
      <c r="F685" s="9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</row>
    <row r="686">
      <c r="A686" s="96"/>
      <c r="B686" s="96"/>
      <c r="C686" s="96"/>
      <c r="D686" s="96"/>
      <c r="E686" s="96"/>
      <c r="F686" s="9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</row>
    <row r="687">
      <c r="A687" s="96"/>
      <c r="B687" s="96"/>
      <c r="C687" s="96"/>
      <c r="D687" s="96"/>
      <c r="E687" s="96"/>
      <c r="F687" s="9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</row>
    <row r="688">
      <c r="A688" s="96"/>
      <c r="B688" s="96"/>
      <c r="C688" s="96"/>
      <c r="D688" s="96"/>
      <c r="E688" s="96"/>
      <c r="F688" s="9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</row>
    <row r="689">
      <c r="A689" s="96"/>
      <c r="B689" s="96"/>
      <c r="C689" s="96"/>
      <c r="D689" s="96"/>
      <c r="E689" s="96"/>
      <c r="F689" s="9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</row>
    <row r="690">
      <c r="A690" s="96"/>
      <c r="B690" s="96"/>
      <c r="C690" s="96"/>
      <c r="D690" s="96"/>
      <c r="E690" s="96"/>
      <c r="F690" s="9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</row>
    <row r="691">
      <c r="A691" s="96"/>
      <c r="B691" s="96"/>
      <c r="C691" s="96"/>
      <c r="D691" s="96"/>
      <c r="E691" s="96"/>
      <c r="F691" s="9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</row>
    <row r="692">
      <c r="A692" s="96"/>
      <c r="B692" s="96"/>
      <c r="C692" s="96"/>
      <c r="D692" s="96"/>
      <c r="E692" s="96"/>
      <c r="F692" s="9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</row>
    <row r="693">
      <c r="A693" s="96"/>
      <c r="B693" s="96"/>
      <c r="C693" s="96"/>
      <c r="D693" s="96"/>
      <c r="E693" s="96"/>
      <c r="F693" s="9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</row>
    <row r="694">
      <c r="A694" s="96"/>
      <c r="B694" s="96"/>
      <c r="C694" s="96"/>
      <c r="D694" s="96"/>
      <c r="E694" s="96"/>
      <c r="F694" s="9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</row>
    <row r="695">
      <c r="A695" s="96"/>
      <c r="B695" s="96"/>
      <c r="C695" s="96"/>
      <c r="D695" s="96"/>
      <c r="E695" s="96"/>
      <c r="F695" s="9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</row>
    <row r="696">
      <c r="A696" s="96"/>
      <c r="B696" s="96"/>
      <c r="C696" s="96"/>
      <c r="D696" s="96"/>
      <c r="E696" s="96"/>
      <c r="F696" s="9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</row>
    <row r="697">
      <c r="A697" s="96"/>
      <c r="B697" s="96"/>
      <c r="C697" s="96"/>
      <c r="D697" s="96"/>
      <c r="E697" s="96"/>
      <c r="F697" s="9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</row>
    <row r="698">
      <c r="A698" s="96"/>
      <c r="B698" s="96"/>
      <c r="C698" s="96"/>
      <c r="D698" s="96"/>
      <c r="E698" s="96"/>
      <c r="F698" s="9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</row>
    <row r="699">
      <c r="A699" s="96"/>
      <c r="B699" s="96"/>
      <c r="C699" s="96"/>
      <c r="D699" s="96"/>
      <c r="E699" s="96"/>
      <c r="F699" s="9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</row>
    <row r="700">
      <c r="A700" s="96"/>
      <c r="B700" s="96"/>
      <c r="C700" s="96"/>
      <c r="D700" s="96"/>
      <c r="E700" s="96"/>
      <c r="F700" s="9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</row>
    <row r="701">
      <c r="A701" s="96"/>
      <c r="B701" s="96"/>
      <c r="C701" s="96"/>
      <c r="D701" s="96"/>
      <c r="E701" s="96"/>
      <c r="F701" s="9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</row>
    <row r="702">
      <c r="A702" s="96"/>
      <c r="B702" s="96"/>
      <c r="C702" s="96"/>
      <c r="D702" s="96"/>
      <c r="E702" s="96"/>
      <c r="F702" s="9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</row>
    <row r="703">
      <c r="A703" s="96"/>
      <c r="B703" s="96"/>
      <c r="C703" s="96"/>
      <c r="D703" s="96"/>
      <c r="E703" s="96"/>
      <c r="F703" s="9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</row>
    <row r="704">
      <c r="A704" s="96"/>
      <c r="B704" s="96"/>
      <c r="C704" s="96"/>
      <c r="D704" s="96"/>
      <c r="E704" s="96"/>
      <c r="F704" s="9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</row>
    <row r="705">
      <c r="A705" s="96"/>
      <c r="B705" s="96"/>
      <c r="C705" s="96"/>
      <c r="D705" s="96"/>
      <c r="E705" s="96"/>
      <c r="F705" s="9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</row>
    <row r="706">
      <c r="A706" s="96"/>
      <c r="B706" s="96"/>
      <c r="C706" s="96"/>
      <c r="D706" s="96"/>
      <c r="E706" s="96"/>
      <c r="F706" s="9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</row>
    <row r="707">
      <c r="A707" s="96"/>
      <c r="B707" s="96"/>
      <c r="C707" s="96"/>
      <c r="D707" s="96"/>
      <c r="E707" s="96"/>
      <c r="F707" s="9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</row>
    <row r="708">
      <c r="A708" s="96"/>
      <c r="B708" s="96"/>
      <c r="C708" s="96"/>
      <c r="D708" s="96"/>
      <c r="E708" s="96"/>
      <c r="F708" s="9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</row>
    <row r="709">
      <c r="A709" s="96"/>
      <c r="B709" s="96"/>
      <c r="C709" s="96"/>
      <c r="D709" s="96"/>
      <c r="E709" s="96"/>
      <c r="F709" s="9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</row>
    <row r="710">
      <c r="A710" s="96"/>
      <c r="B710" s="96"/>
      <c r="C710" s="96"/>
      <c r="D710" s="96"/>
      <c r="E710" s="96"/>
      <c r="F710" s="9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</row>
    <row r="711">
      <c r="A711" s="96"/>
      <c r="B711" s="96"/>
      <c r="C711" s="96"/>
      <c r="D711" s="96"/>
      <c r="E711" s="96"/>
      <c r="F711" s="9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</row>
    <row r="712">
      <c r="A712" s="96"/>
      <c r="B712" s="96"/>
      <c r="C712" s="96"/>
      <c r="D712" s="96"/>
      <c r="E712" s="96"/>
      <c r="F712" s="9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</row>
    <row r="713">
      <c r="A713" s="96"/>
      <c r="B713" s="96"/>
      <c r="C713" s="96"/>
      <c r="D713" s="96"/>
      <c r="E713" s="96"/>
      <c r="F713" s="9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</row>
    <row r="714">
      <c r="A714" s="96"/>
      <c r="B714" s="96"/>
      <c r="C714" s="96"/>
      <c r="D714" s="96"/>
      <c r="E714" s="96"/>
      <c r="F714" s="9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</row>
    <row r="715">
      <c r="A715" s="96"/>
      <c r="B715" s="96"/>
      <c r="C715" s="96"/>
      <c r="D715" s="96"/>
      <c r="E715" s="96"/>
      <c r="F715" s="9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</row>
    <row r="716">
      <c r="A716" s="96"/>
      <c r="B716" s="96"/>
      <c r="C716" s="96"/>
      <c r="D716" s="96"/>
      <c r="E716" s="96"/>
      <c r="F716" s="9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</row>
    <row r="717">
      <c r="A717" s="96"/>
      <c r="B717" s="96"/>
      <c r="C717" s="96"/>
      <c r="D717" s="96"/>
      <c r="E717" s="96"/>
      <c r="F717" s="9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</row>
    <row r="718">
      <c r="A718" s="96"/>
      <c r="B718" s="96"/>
      <c r="C718" s="96"/>
      <c r="D718" s="96"/>
      <c r="E718" s="96"/>
      <c r="F718" s="9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</row>
    <row r="719">
      <c r="A719" s="96"/>
      <c r="B719" s="96"/>
      <c r="C719" s="96"/>
      <c r="D719" s="96"/>
      <c r="E719" s="96"/>
      <c r="F719" s="9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</row>
    <row r="720">
      <c r="A720" s="96"/>
      <c r="B720" s="96"/>
      <c r="C720" s="96"/>
      <c r="D720" s="96"/>
      <c r="E720" s="96"/>
      <c r="F720" s="9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</row>
    <row r="721">
      <c r="A721" s="96"/>
      <c r="B721" s="96"/>
      <c r="C721" s="96"/>
      <c r="D721" s="96"/>
      <c r="E721" s="96"/>
      <c r="F721" s="9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</row>
    <row r="722">
      <c r="A722" s="96"/>
      <c r="B722" s="96"/>
      <c r="C722" s="96"/>
      <c r="D722" s="96"/>
      <c r="E722" s="96"/>
      <c r="F722" s="9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</row>
    <row r="723">
      <c r="A723" s="96"/>
      <c r="B723" s="96"/>
      <c r="C723" s="96"/>
      <c r="D723" s="96"/>
      <c r="E723" s="96"/>
      <c r="F723" s="9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</row>
    <row r="724">
      <c r="A724" s="96"/>
      <c r="B724" s="96"/>
      <c r="C724" s="96"/>
      <c r="D724" s="96"/>
      <c r="E724" s="96"/>
      <c r="F724" s="9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</row>
    <row r="725">
      <c r="A725" s="96"/>
      <c r="B725" s="96"/>
      <c r="C725" s="96"/>
      <c r="D725" s="96"/>
      <c r="E725" s="96"/>
      <c r="F725" s="9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</row>
    <row r="726">
      <c r="A726" s="96"/>
      <c r="B726" s="96"/>
      <c r="C726" s="96"/>
      <c r="D726" s="96"/>
      <c r="E726" s="96"/>
      <c r="F726" s="9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</row>
    <row r="727">
      <c r="A727" s="96"/>
      <c r="B727" s="96"/>
      <c r="C727" s="96"/>
      <c r="D727" s="96"/>
      <c r="E727" s="96"/>
      <c r="F727" s="9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</row>
    <row r="728">
      <c r="A728" s="96"/>
      <c r="B728" s="96"/>
      <c r="C728" s="96"/>
      <c r="D728" s="96"/>
      <c r="E728" s="96"/>
      <c r="F728" s="9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</row>
    <row r="729">
      <c r="A729" s="96"/>
      <c r="B729" s="96"/>
      <c r="C729" s="96"/>
      <c r="D729" s="96"/>
      <c r="E729" s="96"/>
      <c r="F729" s="9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</row>
    <row r="730">
      <c r="A730" s="96"/>
      <c r="B730" s="96"/>
      <c r="C730" s="96"/>
      <c r="D730" s="96"/>
      <c r="E730" s="96"/>
      <c r="F730" s="9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</row>
    <row r="731">
      <c r="A731" s="96"/>
      <c r="B731" s="96"/>
      <c r="C731" s="96"/>
      <c r="D731" s="96"/>
      <c r="E731" s="96"/>
      <c r="F731" s="9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</row>
    <row r="732">
      <c r="A732" s="96"/>
      <c r="B732" s="96"/>
      <c r="C732" s="96"/>
      <c r="D732" s="96"/>
      <c r="E732" s="96"/>
      <c r="F732" s="9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</row>
    <row r="733">
      <c r="A733" s="96"/>
      <c r="B733" s="96"/>
      <c r="C733" s="96"/>
      <c r="D733" s="96"/>
      <c r="E733" s="96"/>
      <c r="F733" s="9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</row>
    <row r="734">
      <c r="A734" s="96"/>
      <c r="B734" s="96"/>
      <c r="C734" s="96"/>
      <c r="D734" s="96"/>
      <c r="E734" s="96"/>
      <c r="F734" s="9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</row>
    <row r="735">
      <c r="A735" s="96"/>
      <c r="B735" s="96"/>
      <c r="C735" s="96"/>
      <c r="D735" s="96"/>
      <c r="E735" s="96"/>
      <c r="F735" s="9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</row>
    <row r="736">
      <c r="A736" s="96"/>
      <c r="B736" s="96"/>
      <c r="C736" s="96"/>
      <c r="D736" s="96"/>
      <c r="E736" s="96"/>
      <c r="F736" s="9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</row>
    <row r="737">
      <c r="A737" s="96"/>
      <c r="B737" s="96"/>
      <c r="C737" s="96"/>
      <c r="D737" s="96"/>
      <c r="E737" s="96"/>
      <c r="F737" s="9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</row>
    <row r="738">
      <c r="A738" s="96"/>
      <c r="B738" s="96"/>
      <c r="C738" s="96"/>
      <c r="D738" s="96"/>
      <c r="E738" s="96"/>
      <c r="F738" s="9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</row>
    <row r="739">
      <c r="A739" s="96"/>
      <c r="B739" s="96"/>
      <c r="C739" s="96"/>
      <c r="D739" s="96"/>
      <c r="E739" s="96"/>
      <c r="F739" s="9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</row>
    <row r="740">
      <c r="A740" s="96"/>
      <c r="B740" s="96"/>
      <c r="C740" s="96"/>
      <c r="D740" s="96"/>
      <c r="E740" s="96"/>
      <c r="F740" s="9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</row>
    <row r="741">
      <c r="A741" s="96"/>
      <c r="B741" s="96"/>
      <c r="C741" s="96"/>
      <c r="D741" s="96"/>
      <c r="E741" s="96"/>
      <c r="F741" s="9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</row>
    <row r="742">
      <c r="A742" s="96"/>
      <c r="B742" s="96"/>
      <c r="C742" s="96"/>
      <c r="D742" s="96"/>
      <c r="E742" s="96"/>
      <c r="F742" s="9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</row>
    <row r="743">
      <c r="A743" s="96"/>
      <c r="B743" s="96"/>
      <c r="C743" s="96"/>
      <c r="D743" s="96"/>
      <c r="E743" s="96"/>
      <c r="F743" s="9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</row>
    <row r="744">
      <c r="A744" s="96"/>
      <c r="B744" s="96"/>
      <c r="C744" s="96"/>
      <c r="D744" s="96"/>
      <c r="E744" s="96"/>
      <c r="F744" s="9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</row>
    <row r="745">
      <c r="A745" s="96"/>
      <c r="B745" s="96"/>
      <c r="C745" s="96"/>
      <c r="D745" s="96"/>
      <c r="E745" s="96"/>
      <c r="F745" s="9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</row>
    <row r="746">
      <c r="A746" s="96"/>
      <c r="B746" s="96"/>
      <c r="C746" s="96"/>
      <c r="D746" s="96"/>
      <c r="E746" s="96"/>
      <c r="F746" s="9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</row>
    <row r="747">
      <c r="A747" s="96"/>
      <c r="B747" s="96"/>
      <c r="C747" s="96"/>
      <c r="D747" s="96"/>
      <c r="E747" s="96"/>
      <c r="F747" s="9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</row>
    <row r="748">
      <c r="A748" s="96"/>
      <c r="B748" s="96"/>
      <c r="C748" s="96"/>
      <c r="D748" s="96"/>
      <c r="E748" s="96"/>
      <c r="F748" s="9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</row>
    <row r="749">
      <c r="A749" s="96"/>
      <c r="B749" s="96"/>
      <c r="C749" s="96"/>
      <c r="D749" s="96"/>
      <c r="E749" s="96"/>
      <c r="F749" s="9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</row>
    <row r="750">
      <c r="A750" s="96"/>
      <c r="B750" s="96"/>
      <c r="C750" s="96"/>
      <c r="D750" s="96"/>
      <c r="E750" s="96"/>
      <c r="F750" s="9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</row>
    <row r="751">
      <c r="A751" s="96"/>
      <c r="B751" s="96"/>
      <c r="C751" s="96"/>
      <c r="D751" s="96"/>
      <c r="E751" s="96"/>
      <c r="F751" s="9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</row>
    <row r="752">
      <c r="A752" s="96"/>
      <c r="B752" s="96"/>
      <c r="C752" s="96"/>
      <c r="D752" s="96"/>
      <c r="E752" s="96"/>
      <c r="F752" s="9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</row>
    <row r="753">
      <c r="A753" s="96"/>
      <c r="B753" s="96"/>
      <c r="C753" s="96"/>
      <c r="D753" s="96"/>
      <c r="E753" s="96"/>
      <c r="F753" s="9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</row>
    <row r="754">
      <c r="A754" s="96"/>
      <c r="B754" s="96"/>
      <c r="C754" s="96"/>
      <c r="D754" s="96"/>
      <c r="E754" s="96"/>
      <c r="F754" s="9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</row>
    <row r="755">
      <c r="A755" s="96"/>
      <c r="B755" s="96"/>
      <c r="C755" s="96"/>
      <c r="D755" s="96"/>
      <c r="E755" s="96"/>
      <c r="F755" s="9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</row>
    <row r="756">
      <c r="A756" s="96"/>
      <c r="B756" s="96"/>
      <c r="C756" s="96"/>
      <c r="D756" s="96"/>
      <c r="E756" s="96"/>
      <c r="F756" s="9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</row>
    <row r="757">
      <c r="A757" s="96"/>
      <c r="B757" s="96"/>
      <c r="C757" s="96"/>
      <c r="D757" s="96"/>
      <c r="E757" s="96"/>
      <c r="F757" s="9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</row>
    <row r="758">
      <c r="A758" s="96"/>
      <c r="B758" s="96"/>
      <c r="C758" s="96"/>
      <c r="D758" s="96"/>
      <c r="E758" s="96"/>
      <c r="F758" s="9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</row>
    <row r="759">
      <c r="A759" s="96"/>
      <c r="B759" s="96"/>
      <c r="C759" s="96"/>
      <c r="D759" s="96"/>
      <c r="E759" s="96"/>
      <c r="F759" s="9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</row>
    <row r="760">
      <c r="A760" s="96"/>
      <c r="B760" s="96"/>
      <c r="C760" s="96"/>
      <c r="D760" s="96"/>
      <c r="E760" s="96"/>
      <c r="F760" s="9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</row>
    <row r="761">
      <c r="A761" s="96"/>
      <c r="B761" s="96"/>
      <c r="C761" s="96"/>
      <c r="D761" s="96"/>
      <c r="E761" s="96"/>
      <c r="F761" s="9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</row>
    <row r="762">
      <c r="A762" s="96"/>
      <c r="B762" s="96"/>
      <c r="C762" s="96"/>
      <c r="D762" s="96"/>
      <c r="E762" s="96"/>
      <c r="F762" s="9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</row>
    <row r="763">
      <c r="A763" s="96"/>
      <c r="B763" s="96"/>
      <c r="C763" s="96"/>
      <c r="D763" s="96"/>
      <c r="E763" s="96"/>
      <c r="F763" s="9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</row>
    <row r="764">
      <c r="A764" s="96"/>
      <c r="B764" s="96"/>
      <c r="C764" s="96"/>
      <c r="D764" s="96"/>
      <c r="E764" s="96"/>
      <c r="F764" s="9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</row>
    <row r="765">
      <c r="A765" s="96"/>
      <c r="B765" s="96"/>
      <c r="C765" s="96"/>
      <c r="D765" s="96"/>
      <c r="E765" s="96"/>
      <c r="F765" s="9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</row>
    <row r="766">
      <c r="A766" s="96"/>
      <c r="B766" s="96"/>
      <c r="C766" s="96"/>
      <c r="D766" s="96"/>
      <c r="E766" s="96"/>
      <c r="F766" s="9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</row>
    <row r="767">
      <c r="A767" s="96"/>
      <c r="B767" s="96"/>
      <c r="C767" s="96"/>
      <c r="D767" s="96"/>
      <c r="E767" s="96"/>
      <c r="F767" s="9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</row>
    <row r="768">
      <c r="A768" s="96"/>
      <c r="B768" s="96"/>
      <c r="C768" s="96"/>
      <c r="D768" s="96"/>
      <c r="E768" s="96"/>
      <c r="F768" s="9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</row>
    <row r="769">
      <c r="A769" s="96"/>
      <c r="B769" s="96"/>
      <c r="C769" s="96"/>
      <c r="D769" s="96"/>
      <c r="E769" s="96"/>
      <c r="F769" s="9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</row>
    <row r="770">
      <c r="A770" s="96"/>
      <c r="B770" s="96"/>
      <c r="C770" s="96"/>
      <c r="D770" s="96"/>
      <c r="E770" s="96"/>
      <c r="F770" s="9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</row>
    <row r="771">
      <c r="A771" s="96"/>
      <c r="B771" s="96"/>
      <c r="C771" s="96"/>
      <c r="D771" s="96"/>
      <c r="E771" s="96"/>
      <c r="F771" s="9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</row>
    <row r="772">
      <c r="A772" s="96"/>
      <c r="B772" s="96"/>
      <c r="C772" s="96"/>
      <c r="D772" s="96"/>
      <c r="E772" s="96"/>
      <c r="F772" s="9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</row>
    <row r="773">
      <c r="A773" s="96"/>
      <c r="B773" s="96"/>
      <c r="C773" s="96"/>
      <c r="D773" s="96"/>
      <c r="E773" s="96"/>
      <c r="F773" s="9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</row>
    <row r="774">
      <c r="A774" s="96"/>
      <c r="B774" s="96"/>
      <c r="C774" s="96"/>
      <c r="D774" s="96"/>
      <c r="E774" s="96"/>
      <c r="F774" s="9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</row>
    <row r="775">
      <c r="A775" s="96"/>
      <c r="B775" s="96"/>
      <c r="C775" s="96"/>
      <c r="D775" s="96"/>
      <c r="E775" s="96"/>
      <c r="F775" s="9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</row>
    <row r="776">
      <c r="A776" s="96"/>
      <c r="B776" s="96"/>
      <c r="C776" s="96"/>
      <c r="D776" s="96"/>
      <c r="E776" s="96"/>
      <c r="F776" s="9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</row>
    <row r="777">
      <c r="A777" s="96"/>
      <c r="B777" s="96"/>
      <c r="C777" s="96"/>
      <c r="D777" s="96"/>
      <c r="E777" s="96"/>
      <c r="F777" s="9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</row>
    <row r="778">
      <c r="A778" s="96"/>
      <c r="B778" s="96"/>
      <c r="C778" s="96"/>
      <c r="D778" s="96"/>
      <c r="E778" s="96"/>
      <c r="F778" s="9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</row>
    <row r="779">
      <c r="A779" s="96"/>
      <c r="B779" s="96"/>
      <c r="C779" s="96"/>
      <c r="D779" s="96"/>
      <c r="E779" s="96"/>
      <c r="F779" s="9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</row>
    <row r="780">
      <c r="A780" s="96"/>
      <c r="B780" s="96"/>
      <c r="C780" s="96"/>
      <c r="D780" s="96"/>
      <c r="E780" s="96"/>
      <c r="F780" s="9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</row>
    <row r="781">
      <c r="A781" s="96"/>
      <c r="B781" s="96"/>
      <c r="C781" s="96"/>
      <c r="D781" s="96"/>
      <c r="E781" s="96"/>
      <c r="F781" s="9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</row>
    <row r="782">
      <c r="A782" s="96"/>
      <c r="B782" s="96"/>
      <c r="C782" s="96"/>
      <c r="D782" s="96"/>
      <c r="E782" s="96"/>
      <c r="F782" s="9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</row>
    <row r="783">
      <c r="A783" s="96"/>
      <c r="B783" s="96"/>
      <c r="C783" s="96"/>
      <c r="D783" s="96"/>
      <c r="E783" s="96"/>
      <c r="F783" s="9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</row>
    <row r="784">
      <c r="A784" s="96"/>
      <c r="B784" s="96"/>
      <c r="C784" s="96"/>
      <c r="D784" s="96"/>
      <c r="E784" s="96"/>
      <c r="F784" s="9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</row>
    <row r="785">
      <c r="A785" s="96"/>
      <c r="B785" s="96"/>
      <c r="C785" s="96"/>
      <c r="D785" s="96"/>
      <c r="E785" s="96"/>
      <c r="F785" s="9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</row>
    <row r="786">
      <c r="A786" s="96"/>
      <c r="B786" s="96"/>
      <c r="C786" s="96"/>
      <c r="D786" s="96"/>
      <c r="E786" s="96"/>
      <c r="F786" s="9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</row>
    <row r="787">
      <c r="A787" s="96"/>
      <c r="B787" s="96"/>
      <c r="C787" s="96"/>
      <c r="D787" s="96"/>
      <c r="E787" s="96"/>
      <c r="F787" s="9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</row>
    <row r="788">
      <c r="A788" s="96"/>
      <c r="B788" s="96"/>
      <c r="C788" s="96"/>
      <c r="D788" s="96"/>
      <c r="E788" s="96"/>
      <c r="F788" s="9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</row>
    <row r="789">
      <c r="A789" s="96"/>
      <c r="B789" s="96"/>
      <c r="C789" s="96"/>
      <c r="D789" s="96"/>
      <c r="E789" s="96"/>
      <c r="F789" s="9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</row>
    <row r="790">
      <c r="A790" s="96"/>
      <c r="B790" s="96"/>
      <c r="C790" s="96"/>
      <c r="D790" s="96"/>
      <c r="E790" s="96"/>
      <c r="F790" s="9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</row>
    <row r="791">
      <c r="A791" s="96"/>
      <c r="B791" s="96"/>
      <c r="C791" s="96"/>
      <c r="D791" s="96"/>
      <c r="E791" s="96"/>
      <c r="F791" s="9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</row>
    <row r="792">
      <c r="A792" s="96"/>
      <c r="B792" s="96"/>
      <c r="C792" s="96"/>
      <c r="D792" s="96"/>
      <c r="E792" s="96"/>
      <c r="F792" s="9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</row>
    <row r="793">
      <c r="A793" s="96"/>
      <c r="B793" s="96"/>
      <c r="C793" s="96"/>
      <c r="D793" s="96"/>
      <c r="E793" s="96"/>
      <c r="F793" s="9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</row>
    <row r="794">
      <c r="A794" s="96"/>
      <c r="B794" s="96"/>
      <c r="C794" s="96"/>
      <c r="D794" s="96"/>
      <c r="E794" s="96"/>
      <c r="F794" s="9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</row>
    <row r="795">
      <c r="A795" s="96"/>
      <c r="B795" s="96"/>
      <c r="C795" s="96"/>
      <c r="D795" s="96"/>
      <c r="E795" s="96"/>
      <c r="F795" s="9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</row>
    <row r="796">
      <c r="A796" s="96"/>
      <c r="B796" s="96"/>
      <c r="C796" s="96"/>
      <c r="D796" s="96"/>
      <c r="E796" s="96"/>
      <c r="F796" s="9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</row>
    <row r="797">
      <c r="A797" s="96"/>
      <c r="B797" s="96"/>
      <c r="C797" s="96"/>
      <c r="D797" s="96"/>
      <c r="E797" s="96"/>
      <c r="F797" s="9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</row>
    <row r="798">
      <c r="A798" s="96"/>
      <c r="B798" s="96"/>
      <c r="C798" s="96"/>
      <c r="D798" s="96"/>
      <c r="E798" s="96"/>
      <c r="F798" s="9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</row>
    <row r="799">
      <c r="A799" s="96"/>
      <c r="B799" s="96"/>
      <c r="C799" s="96"/>
      <c r="D799" s="96"/>
      <c r="E799" s="96"/>
      <c r="F799" s="9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</row>
    <row r="800">
      <c r="A800" s="96"/>
      <c r="B800" s="96"/>
      <c r="C800" s="96"/>
      <c r="D800" s="96"/>
      <c r="E800" s="96"/>
      <c r="F800" s="9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</row>
    <row r="801">
      <c r="A801" s="96"/>
      <c r="B801" s="96"/>
      <c r="C801" s="96"/>
      <c r="D801" s="96"/>
      <c r="E801" s="96"/>
      <c r="F801" s="9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</row>
    <row r="802">
      <c r="A802" s="96"/>
      <c r="B802" s="96"/>
      <c r="C802" s="96"/>
      <c r="D802" s="96"/>
      <c r="E802" s="96"/>
      <c r="F802" s="9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</row>
    <row r="803">
      <c r="A803" s="96"/>
      <c r="B803" s="96"/>
      <c r="C803" s="96"/>
      <c r="D803" s="96"/>
      <c r="E803" s="96"/>
      <c r="F803" s="9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</row>
    <row r="804">
      <c r="A804" s="96"/>
      <c r="B804" s="96"/>
      <c r="C804" s="96"/>
      <c r="D804" s="96"/>
      <c r="E804" s="96"/>
      <c r="F804" s="9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</row>
    <row r="805">
      <c r="A805" s="96"/>
      <c r="B805" s="96"/>
      <c r="C805" s="96"/>
      <c r="D805" s="96"/>
      <c r="E805" s="96"/>
      <c r="F805" s="9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</row>
    <row r="806">
      <c r="A806" s="96"/>
      <c r="B806" s="96"/>
      <c r="C806" s="96"/>
      <c r="D806" s="96"/>
      <c r="E806" s="96"/>
      <c r="F806" s="9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</row>
    <row r="807">
      <c r="A807" s="96"/>
      <c r="B807" s="96"/>
      <c r="C807" s="96"/>
      <c r="D807" s="96"/>
      <c r="E807" s="96"/>
      <c r="F807" s="9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</row>
    <row r="808">
      <c r="A808" s="96"/>
      <c r="B808" s="96"/>
      <c r="C808" s="96"/>
      <c r="D808" s="96"/>
      <c r="E808" s="96"/>
      <c r="F808" s="9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</row>
    <row r="809">
      <c r="A809" s="96"/>
      <c r="B809" s="96"/>
      <c r="C809" s="96"/>
      <c r="D809" s="96"/>
      <c r="E809" s="96"/>
      <c r="F809" s="9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</row>
    <row r="810">
      <c r="A810" s="96"/>
      <c r="B810" s="96"/>
      <c r="C810" s="96"/>
      <c r="D810" s="96"/>
      <c r="E810" s="96"/>
      <c r="F810" s="9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</row>
    <row r="811">
      <c r="A811" s="96"/>
      <c r="B811" s="96"/>
      <c r="C811" s="96"/>
      <c r="D811" s="96"/>
      <c r="E811" s="96"/>
      <c r="F811" s="9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</row>
    <row r="812">
      <c r="A812" s="96"/>
      <c r="B812" s="96"/>
      <c r="C812" s="96"/>
      <c r="D812" s="96"/>
      <c r="E812" s="96"/>
      <c r="F812" s="9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</row>
    <row r="813">
      <c r="A813" s="96"/>
      <c r="B813" s="96"/>
      <c r="C813" s="96"/>
      <c r="D813" s="96"/>
      <c r="E813" s="96"/>
      <c r="F813" s="9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</row>
    <row r="814">
      <c r="A814" s="96"/>
      <c r="B814" s="96"/>
      <c r="C814" s="96"/>
      <c r="D814" s="96"/>
      <c r="E814" s="96"/>
      <c r="F814" s="9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</row>
    <row r="815">
      <c r="A815" s="96"/>
      <c r="B815" s="96"/>
      <c r="C815" s="96"/>
      <c r="D815" s="96"/>
      <c r="E815" s="96"/>
      <c r="F815" s="9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</row>
    <row r="816">
      <c r="A816" s="96"/>
      <c r="B816" s="96"/>
      <c r="C816" s="96"/>
      <c r="D816" s="96"/>
      <c r="E816" s="96"/>
      <c r="F816" s="9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</row>
    <row r="817">
      <c r="A817" s="96"/>
      <c r="B817" s="96"/>
      <c r="C817" s="96"/>
      <c r="D817" s="96"/>
      <c r="E817" s="96"/>
      <c r="F817" s="9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</row>
    <row r="818">
      <c r="A818" s="96"/>
      <c r="B818" s="96"/>
      <c r="C818" s="96"/>
      <c r="D818" s="96"/>
      <c r="E818" s="96"/>
      <c r="F818" s="9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</row>
    <row r="819">
      <c r="A819" s="96"/>
      <c r="B819" s="96"/>
      <c r="C819" s="96"/>
      <c r="D819" s="96"/>
      <c r="E819" s="96"/>
      <c r="F819" s="9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</row>
    <row r="820">
      <c r="A820" s="96"/>
      <c r="B820" s="96"/>
      <c r="C820" s="96"/>
      <c r="D820" s="96"/>
      <c r="E820" s="96"/>
      <c r="F820" s="9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</row>
    <row r="821">
      <c r="A821" s="96"/>
      <c r="B821" s="96"/>
      <c r="C821" s="96"/>
      <c r="D821" s="96"/>
      <c r="E821" s="96"/>
      <c r="F821" s="9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</row>
    <row r="822">
      <c r="A822" s="96"/>
      <c r="B822" s="96"/>
      <c r="C822" s="96"/>
      <c r="D822" s="96"/>
      <c r="E822" s="96"/>
      <c r="F822" s="9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</row>
    <row r="823">
      <c r="A823" s="96"/>
      <c r="B823" s="96"/>
      <c r="C823" s="96"/>
      <c r="D823" s="96"/>
      <c r="E823" s="96"/>
      <c r="F823" s="9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</row>
    <row r="824">
      <c r="A824" s="96"/>
      <c r="B824" s="96"/>
      <c r="C824" s="96"/>
      <c r="D824" s="96"/>
      <c r="E824" s="96"/>
      <c r="F824" s="9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</row>
    <row r="825">
      <c r="A825" s="96"/>
      <c r="B825" s="96"/>
      <c r="C825" s="96"/>
      <c r="D825" s="96"/>
      <c r="E825" s="96"/>
      <c r="F825" s="9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</row>
    <row r="826">
      <c r="A826" s="96"/>
      <c r="B826" s="96"/>
      <c r="C826" s="96"/>
      <c r="D826" s="96"/>
      <c r="E826" s="96"/>
      <c r="F826" s="9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</row>
    <row r="827">
      <c r="A827" s="96"/>
      <c r="B827" s="96"/>
      <c r="C827" s="96"/>
      <c r="D827" s="96"/>
      <c r="E827" s="96"/>
      <c r="F827" s="9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</row>
    <row r="828">
      <c r="A828" s="96"/>
      <c r="B828" s="96"/>
      <c r="C828" s="96"/>
      <c r="D828" s="96"/>
      <c r="E828" s="96"/>
      <c r="F828" s="9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</row>
    <row r="829">
      <c r="A829" s="96"/>
      <c r="B829" s="96"/>
      <c r="C829" s="96"/>
      <c r="D829" s="96"/>
      <c r="E829" s="96"/>
      <c r="F829" s="9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</row>
    <row r="830">
      <c r="A830" s="96"/>
      <c r="B830" s="96"/>
      <c r="C830" s="96"/>
      <c r="D830" s="96"/>
      <c r="E830" s="96"/>
      <c r="F830" s="9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</row>
    <row r="831">
      <c r="A831" s="96"/>
      <c r="B831" s="96"/>
      <c r="C831" s="96"/>
      <c r="D831" s="96"/>
      <c r="E831" s="96"/>
      <c r="F831" s="9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</row>
    <row r="832">
      <c r="A832" s="96"/>
      <c r="B832" s="96"/>
      <c r="C832" s="96"/>
      <c r="D832" s="96"/>
      <c r="E832" s="96"/>
      <c r="F832" s="9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</row>
    <row r="833">
      <c r="A833" s="96"/>
      <c r="B833" s="96"/>
      <c r="C833" s="96"/>
      <c r="D833" s="96"/>
      <c r="E833" s="96"/>
      <c r="F833" s="9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</row>
    <row r="834">
      <c r="A834" s="96"/>
      <c r="B834" s="96"/>
      <c r="C834" s="96"/>
      <c r="D834" s="96"/>
      <c r="E834" s="96"/>
      <c r="F834" s="9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</row>
    <row r="835">
      <c r="A835" s="96"/>
      <c r="B835" s="96"/>
      <c r="C835" s="96"/>
      <c r="D835" s="96"/>
      <c r="E835" s="96"/>
      <c r="F835" s="9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</row>
    <row r="836">
      <c r="A836" s="96"/>
      <c r="B836" s="96"/>
      <c r="C836" s="96"/>
      <c r="D836" s="96"/>
      <c r="E836" s="96"/>
      <c r="F836" s="9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</row>
    <row r="837">
      <c r="A837" s="96"/>
      <c r="B837" s="96"/>
      <c r="C837" s="96"/>
      <c r="D837" s="96"/>
      <c r="E837" s="96"/>
      <c r="F837" s="9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</row>
    <row r="838">
      <c r="A838" s="96"/>
      <c r="B838" s="96"/>
      <c r="C838" s="96"/>
      <c r="D838" s="96"/>
      <c r="E838" s="96"/>
      <c r="F838" s="9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</row>
    <row r="839">
      <c r="A839" s="96"/>
      <c r="B839" s="96"/>
      <c r="C839" s="96"/>
      <c r="D839" s="96"/>
      <c r="E839" s="96"/>
      <c r="F839" s="9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</row>
    <row r="840">
      <c r="A840" s="96"/>
      <c r="B840" s="96"/>
      <c r="C840" s="96"/>
      <c r="D840" s="96"/>
      <c r="E840" s="96"/>
      <c r="F840" s="9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</row>
    <row r="841">
      <c r="A841" s="96"/>
      <c r="B841" s="96"/>
      <c r="C841" s="96"/>
      <c r="D841" s="96"/>
      <c r="E841" s="96"/>
      <c r="F841" s="9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</row>
    <row r="842">
      <c r="A842" s="96"/>
      <c r="B842" s="96"/>
      <c r="C842" s="96"/>
      <c r="D842" s="96"/>
      <c r="E842" s="96"/>
      <c r="F842" s="9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</row>
    <row r="843">
      <c r="A843" s="96"/>
      <c r="B843" s="96"/>
      <c r="C843" s="96"/>
      <c r="D843" s="96"/>
      <c r="E843" s="96"/>
      <c r="F843" s="9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</row>
    <row r="844">
      <c r="A844" s="96"/>
      <c r="B844" s="96"/>
      <c r="C844" s="96"/>
      <c r="D844" s="96"/>
      <c r="E844" s="96"/>
      <c r="F844" s="9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</row>
    <row r="845">
      <c r="A845" s="96"/>
      <c r="B845" s="96"/>
      <c r="C845" s="96"/>
      <c r="D845" s="96"/>
      <c r="E845" s="96"/>
      <c r="F845" s="9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</row>
    <row r="846">
      <c r="A846" s="96"/>
      <c r="B846" s="96"/>
      <c r="C846" s="96"/>
      <c r="D846" s="96"/>
      <c r="E846" s="96"/>
      <c r="F846" s="9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</row>
    <row r="847">
      <c r="A847" s="96"/>
      <c r="B847" s="96"/>
      <c r="C847" s="96"/>
      <c r="D847" s="96"/>
      <c r="E847" s="96"/>
      <c r="F847" s="9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</row>
    <row r="848">
      <c r="A848" s="96"/>
      <c r="B848" s="96"/>
      <c r="C848" s="96"/>
      <c r="D848" s="96"/>
      <c r="E848" s="96"/>
      <c r="F848" s="9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</row>
    <row r="849">
      <c r="A849" s="96"/>
      <c r="B849" s="96"/>
      <c r="C849" s="96"/>
      <c r="D849" s="96"/>
      <c r="E849" s="96"/>
      <c r="F849" s="9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</row>
    <row r="850">
      <c r="A850" s="96"/>
      <c r="B850" s="96"/>
      <c r="C850" s="96"/>
      <c r="D850" s="96"/>
      <c r="E850" s="96"/>
      <c r="F850" s="9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</row>
    <row r="851">
      <c r="A851" s="96"/>
      <c r="B851" s="96"/>
      <c r="C851" s="96"/>
      <c r="D851" s="96"/>
      <c r="E851" s="96"/>
      <c r="F851" s="9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</row>
    <row r="852">
      <c r="A852" s="96"/>
      <c r="B852" s="96"/>
      <c r="C852" s="96"/>
      <c r="D852" s="96"/>
      <c r="E852" s="96"/>
      <c r="F852" s="9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</row>
    <row r="853">
      <c r="A853" s="96"/>
      <c r="B853" s="96"/>
      <c r="C853" s="96"/>
      <c r="D853" s="96"/>
      <c r="E853" s="96"/>
      <c r="F853" s="9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</row>
    <row r="854">
      <c r="A854" s="96"/>
      <c r="B854" s="96"/>
      <c r="C854" s="96"/>
      <c r="D854" s="96"/>
      <c r="E854" s="96"/>
      <c r="F854" s="9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</row>
    <row r="855">
      <c r="A855" s="96"/>
      <c r="B855" s="96"/>
      <c r="C855" s="96"/>
      <c r="D855" s="96"/>
      <c r="E855" s="96"/>
      <c r="F855" s="9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</row>
    <row r="856">
      <c r="A856" s="96"/>
      <c r="B856" s="96"/>
      <c r="C856" s="96"/>
      <c r="D856" s="96"/>
      <c r="E856" s="96"/>
      <c r="F856" s="9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</row>
    <row r="857">
      <c r="A857" s="96"/>
      <c r="B857" s="96"/>
      <c r="C857" s="96"/>
      <c r="D857" s="96"/>
      <c r="E857" s="96"/>
      <c r="F857" s="9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</row>
    <row r="858">
      <c r="A858" s="96"/>
      <c r="B858" s="96"/>
      <c r="C858" s="96"/>
      <c r="D858" s="96"/>
      <c r="E858" s="96"/>
      <c r="F858" s="9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</row>
    <row r="859">
      <c r="A859" s="96"/>
      <c r="B859" s="96"/>
      <c r="C859" s="96"/>
      <c r="D859" s="96"/>
      <c r="E859" s="96"/>
      <c r="F859" s="9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</row>
    <row r="860">
      <c r="A860" s="96"/>
      <c r="B860" s="96"/>
      <c r="C860" s="96"/>
      <c r="D860" s="96"/>
      <c r="E860" s="96"/>
      <c r="F860" s="9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</row>
    <row r="861">
      <c r="A861" s="96"/>
      <c r="B861" s="96"/>
      <c r="C861" s="96"/>
      <c r="D861" s="96"/>
      <c r="E861" s="96"/>
      <c r="F861" s="9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</row>
    <row r="862">
      <c r="A862" s="96"/>
      <c r="B862" s="96"/>
      <c r="C862" s="96"/>
      <c r="D862" s="96"/>
      <c r="E862" s="96"/>
      <c r="F862" s="9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</row>
    <row r="863">
      <c r="A863" s="96"/>
      <c r="B863" s="96"/>
      <c r="C863" s="96"/>
      <c r="D863" s="96"/>
      <c r="E863" s="96"/>
      <c r="F863" s="9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</row>
    <row r="864">
      <c r="A864" s="96"/>
      <c r="B864" s="96"/>
      <c r="C864" s="96"/>
      <c r="D864" s="96"/>
      <c r="E864" s="96"/>
      <c r="F864" s="9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</row>
    <row r="865">
      <c r="A865" s="96"/>
      <c r="B865" s="96"/>
      <c r="C865" s="96"/>
      <c r="D865" s="96"/>
      <c r="E865" s="96"/>
      <c r="F865" s="9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</row>
    <row r="866">
      <c r="A866" s="96"/>
      <c r="B866" s="96"/>
      <c r="C866" s="96"/>
      <c r="D866" s="96"/>
      <c r="E866" s="96"/>
      <c r="F866" s="9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</row>
    <row r="867">
      <c r="A867" s="96"/>
      <c r="B867" s="96"/>
      <c r="C867" s="96"/>
      <c r="D867" s="96"/>
      <c r="E867" s="96"/>
      <c r="F867" s="9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</row>
    <row r="868">
      <c r="A868" s="96"/>
      <c r="B868" s="96"/>
      <c r="C868" s="96"/>
      <c r="D868" s="96"/>
      <c r="E868" s="96"/>
      <c r="F868" s="9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</row>
    <row r="869">
      <c r="A869" s="96"/>
      <c r="B869" s="96"/>
      <c r="C869" s="96"/>
      <c r="D869" s="96"/>
      <c r="E869" s="96"/>
      <c r="F869" s="9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</row>
    <row r="870">
      <c r="A870" s="96"/>
      <c r="B870" s="96"/>
      <c r="C870" s="96"/>
      <c r="D870" s="96"/>
      <c r="E870" s="96"/>
      <c r="F870" s="9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</row>
    <row r="871">
      <c r="A871" s="96"/>
      <c r="B871" s="96"/>
      <c r="C871" s="96"/>
      <c r="D871" s="96"/>
      <c r="E871" s="96"/>
      <c r="F871" s="9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</row>
    <row r="872">
      <c r="A872" s="96"/>
      <c r="B872" s="96"/>
      <c r="C872" s="96"/>
      <c r="D872" s="96"/>
      <c r="E872" s="96"/>
      <c r="F872" s="9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</row>
    <row r="873">
      <c r="A873" s="96"/>
      <c r="B873" s="96"/>
      <c r="C873" s="96"/>
      <c r="D873" s="96"/>
      <c r="E873" s="96"/>
      <c r="F873" s="9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</row>
    <row r="874">
      <c r="A874" s="96"/>
      <c r="B874" s="96"/>
      <c r="C874" s="96"/>
      <c r="D874" s="96"/>
      <c r="E874" s="96"/>
      <c r="F874" s="9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</row>
    <row r="875">
      <c r="A875" s="96"/>
      <c r="B875" s="96"/>
      <c r="C875" s="96"/>
      <c r="D875" s="96"/>
      <c r="E875" s="96"/>
      <c r="F875" s="9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</row>
    <row r="876">
      <c r="A876" s="96"/>
      <c r="B876" s="96"/>
      <c r="C876" s="96"/>
      <c r="D876" s="96"/>
      <c r="E876" s="96"/>
      <c r="F876" s="9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</row>
    <row r="877">
      <c r="A877" s="96"/>
      <c r="B877" s="96"/>
      <c r="C877" s="96"/>
      <c r="D877" s="96"/>
      <c r="E877" s="96"/>
      <c r="F877" s="9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</row>
    <row r="878">
      <c r="A878" s="96"/>
      <c r="B878" s="96"/>
      <c r="C878" s="96"/>
      <c r="D878" s="96"/>
      <c r="E878" s="96"/>
      <c r="F878" s="9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</row>
    <row r="879">
      <c r="A879" s="96"/>
      <c r="B879" s="96"/>
      <c r="C879" s="96"/>
      <c r="D879" s="96"/>
      <c r="E879" s="96"/>
      <c r="F879" s="9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</row>
    <row r="880">
      <c r="A880" s="96"/>
      <c r="B880" s="96"/>
      <c r="C880" s="96"/>
      <c r="D880" s="96"/>
      <c r="E880" s="96"/>
      <c r="F880" s="9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</row>
    <row r="881">
      <c r="A881" s="96"/>
      <c r="B881" s="96"/>
      <c r="C881" s="96"/>
      <c r="D881" s="96"/>
      <c r="E881" s="96"/>
      <c r="F881" s="9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</row>
    <row r="882">
      <c r="A882" s="96"/>
      <c r="B882" s="96"/>
      <c r="C882" s="96"/>
      <c r="D882" s="96"/>
      <c r="E882" s="96"/>
      <c r="F882" s="9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</row>
    <row r="883">
      <c r="A883" s="96"/>
      <c r="B883" s="96"/>
      <c r="C883" s="96"/>
      <c r="D883" s="96"/>
      <c r="E883" s="96"/>
      <c r="F883" s="9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</row>
    <row r="884">
      <c r="A884" s="96"/>
      <c r="B884" s="96"/>
      <c r="C884" s="96"/>
      <c r="D884" s="96"/>
      <c r="E884" s="96"/>
      <c r="F884" s="9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</row>
  </sheetData>
  <mergeCells count="4">
    <mergeCell ref="R1:W1"/>
    <mergeCell ref="H9:P10"/>
    <mergeCell ref="S9:Z10"/>
    <mergeCell ref="AD9:AK10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7"/>
      <c r="B1" s="18" t="s">
        <v>31</v>
      </c>
      <c r="C1" s="18" t="s">
        <v>34</v>
      </c>
      <c r="D1" s="18" t="s">
        <v>36</v>
      </c>
      <c r="E1" s="18" t="s">
        <v>32</v>
      </c>
      <c r="F1" s="18" t="s">
        <v>38</v>
      </c>
      <c r="G1" s="18" t="s">
        <v>33</v>
      </c>
      <c r="H1" s="18" t="s">
        <v>39</v>
      </c>
      <c r="I1" s="18" t="s">
        <v>35</v>
      </c>
      <c r="J1" s="18" t="s">
        <v>40</v>
      </c>
      <c r="K1" s="18" t="s">
        <v>37</v>
      </c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</row>
    <row r="2">
      <c r="A2" s="18" t="s">
        <v>31</v>
      </c>
      <c r="B2" s="97">
        <v>0.0</v>
      </c>
      <c r="C2" s="97">
        <v>1460.8</v>
      </c>
      <c r="D2" s="97">
        <v>1864.4</v>
      </c>
      <c r="E2" s="97">
        <v>11535.68</v>
      </c>
      <c r="F2" s="97">
        <v>2464.44</v>
      </c>
      <c r="G2" s="97">
        <v>7952.0</v>
      </c>
      <c r="H2" s="97">
        <v>2382.68</v>
      </c>
      <c r="I2" s="97">
        <v>24726.24</v>
      </c>
      <c r="J2" s="97">
        <v>2266.6</v>
      </c>
      <c r="K2" s="97">
        <v>70439.32</v>
      </c>
      <c r="L2" s="97">
        <v>5062.28</v>
      </c>
      <c r="M2" s="97">
        <v>17666.92</v>
      </c>
      <c r="N2" s="97">
        <v>26383.0</v>
      </c>
      <c r="O2" s="97">
        <v>1764.88</v>
      </c>
      <c r="P2" s="97">
        <v>17456.68</v>
      </c>
      <c r="Q2" s="97">
        <v>1290.08</v>
      </c>
      <c r="R2" s="97">
        <v>5868.64</v>
      </c>
      <c r="S2" s="97">
        <v>510.68</v>
      </c>
      <c r="T2" s="97">
        <v>5034.04</v>
      </c>
      <c r="U2" s="97">
        <v>4459.28</v>
      </c>
      <c r="V2" s="97">
        <v>4310.68</v>
      </c>
      <c r="W2" s="97">
        <v>2744.08</v>
      </c>
      <c r="X2" s="97">
        <v>320.8</v>
      </c>
      <c r="Y2" s="97">
        <v>1858.96</v>
      </c>
    </row>
    <row r="3">
      <c r="A3" s="18" t="s">
        <v>34</v>
      </c>
      <c r="B3" s="97">
        <v>1517.87</v>
      </c>
      <c r="C3" s="97">
        <v>0.0</v>
      </c>
      <c r="D3" s="97">
        <v>1940.46</v>
      </c>
      <c r="E3" s="97">
        <v>4244.09</v>
      </c>
      <c r="F3" s="97">
        <v>547.44</v>
      </c>
      <c r="G3" s="97">
        <v>6251.74</v>
      </c>
      <c r="H3" s="97">
        <v>2635.73</v>
      </c>
      <c r="I3" s="97">
        <v>6039.82</v>
      </c>
      <c r="J3" s="97">
        <v>3678.83</v>
      </c>
      <c r="K3" s="97">
        <v>4136.76</v>
      </c>
      <c r="L3" s="97">
        <v>3089.04</v>
      </c>
      <c r="M3" s="97">
        <v>11953.54</v>
      </c>
      <c r="N3" s="97">
        <v>14690.17</v>
      </c>
      <c r="O3" s="97">
        <v>1300.47</v>
      </c>
      <c r="P3" s="97">
        <v>15587.76</v>
      </c>
      <c r="Q3" s="97">
        <v>3045.25</v>
      </c>
      <c r="R3" s="97">
        <v>12342.59</v>
      </c>
      <c r="S3" s="97">
        <v>4355.51</v>
      </c>
      <c r="T3" s="97">
        <v>2628.72</v>
      </c>
      <c r="U3" s="97">
        <v>4160.92</v>
      </c>
      <c r="V3" s="97">
        <v>2389.24</v>
      </c>
      <c r="W3" s="97">
        <v>4073.07</v>
      </c>
      <c r="X3" s="97">
        <v>411.36</v>
      </c>
      <c r="Y3" s="97">
        <v>2702.24</v>
      </c>
    </row>
    <row r="4">
      <c r="A4" s="18" t="s">
        <v>36</v>
      </c>
      <c r="B4" s="97">
        <v>881.92</v>
      </c>
      <c r="C4" s="97">
        <v>768.89</v>
      </c>
      <c r="D4" s="97">
        <v>0.0</v>
      </c>
      <c r="E4" s="97">
        <v>2095.4</v>
      </c>
      <c r="F4" s="97">
        <v>575.8</v>
      </c>
      <c r="G4" s="97">
        <v>4265.72</v>
      </c>
      <c r="H4" s="97">
        <v>10479.28</v>
      </c>
      <c r="I4" s="97">
        <v>5041.36</v>
      </c>
      <c r="J4" s="97">
        <v>841.95</v>
      </c>
      <c r="K4" s="97">
        <v>2415.04</v>
      </c>
      <c r="L4" s="97">
        <v>3394.92</v>
      </c>
      <c r="M4" s="97">
        <v>16119.0</v>
      </c>
      <c r="N4" s="97">
        <v>15440.16</v>
      </c>
      <c r="O4" s="97">
        <v>1876.88</v>
      </c>
      <c r="P4" s="97">
        <v>45357.84</v>
      </c>
      <c r="Q4" s="97">
        <v>1106.2</v>
      </c>
      <c r="R4" s="97">
        <v>5173.2</v>
      </c>
      <c r="S4" s="97">
        <v>296.8</v>
      </c>
      <c r="T4" s="97">
        <v>1650.76</v>
      </c>
      <c r="U4" s="97">
        <v>3549.16</v>
      </c>
      <c r="V4" s="97">
        <v>1649.88</v>
      </c>
      <c r="W4" s="97">
        <v>3174.8</v>
      </c>
      <c r="X4" s="97">
        <v>148.64</v>
      </c>
      <c r="Y4" s="97">
        <v>1238.6</v>
      </c>
    </row>
    <row r="5">
      <c r="A5" s="18" t="s">
        <v>32</v>
      </c>
      <c r="B5" s="97">
        <v>2877.88</v>
      </c>
      <c r="C5" s="97">
        <v>2837.35</v>
      </c>
      <c r="D5" s="97">
        <v>2340.64</v>
      </c>
      <c r="E5" s="97">
        <v>0.0</v>
      </c>
      <c r="F5" s="97">
        <v>1346.84</v>
      </c>
      <c r="G5" s="97">
        <v>7897.68</v>
      </c>
      <c r="H5" s="97">
        <v>3023.8</v>
      </c>
      <c r="I5" s="97">
        <v>15699.2</v>
      </c>
      <c r="J5" s="97">
        <v>2504.17</v>
      </c>
      <c r="K5" s="97">
        <v>12387.4</v>
      </c>
      <c r="L5" s="97">
        <v>5085.68</v>
      </c>
      <c r="M5" s="97">
        <v>16577.48</v>
      </c>
      <c r="N5" s="97">
        <v>22812.24</v>
      </c>
      <c r="O5" s="97">
        <v>1779.36</v>
      </c>
      <c r="P5" s="97">
        <v>20270.8</v>
      </c>
      <c r="Q5" s="97">
        <v>2671.56</v>
      </c>
      <c r="R5" s="97">
        <v>8898.52</v>
      </c>
      <c r="S5" s="97">
        <v>901.08</v>
      </c>
      <c r="T5" s="97">
        <v>5160.2</v>
      </c>
      <c r="U5" s="97">
        <v>3930.96</v>
      </c>
      <c r="V5" s="97">
        <v>2846.0</v>
      </c>
      <c r="W5" s="97">
        <v>5035.44</v>
      </c>
      <c r="X5" s="97">
        <v>268.8</v>
      </c>
      <c r="Y5" s="97">
        <v>1956.36</v>
      </c>
    </row>
    <row r="6">
      <c r="A6" s="18" t="s">
        <v>38</v>
      </c>
      <c r="B6" s="97">
        <v>1916.56</v>
      </c>
      <c r="C6" s="97">
        <v>453.68</v>
      </c>
      <c r="D6" s="97">
        <v>821.08</v>
      </c>
      <c r="E6" s="97">
        <v>3869.6</v>
      </c>
      <c r="F6" s="97">
        <v>0.0</v>
      </c>
      <c r="G6" s="97">
        <v>5400.56</v>
      </c>
      <c r="H6" s="97">
        <v>977.52</v>
      </c>
      <c r="I6" s="97">
        <v>20364.36</v>
      </c>
      <c r="J6" s="97">
        <v>1191.2</v>
      </c>
      <c r="K6" s="97">
        <v>5911.52</v>
      </c>
      <c r="L6" s="97">
        <v>3793.64</v>
      </c>
      <c r="M6" s="97">
        <v>9324.88</v>
      </c>
      <c r="N6" s="97">
        <v>16995.16</v>
      </c>
      <c r="O6" s="97">
        <v>978.68</v>
      </c>
      <c r="P6" s="97">
        <v>8271.0</v>
      </c>
      <c r="Q6" s="97">
        <v>460.76</v>
      </c>
      <c r="R6" s="97">
        <v>2005.28</v>
      </c>
      <c r="S6" s="97">
        <v>163.88</v>
      </c>
      <c r="T6" s="97">
        <v>4191.36</v>
      </c>
      <c r="U6" s="97">
        <v>1665.12</v>
      </c>
      <c r="V6" s="97">
        <v>1663.24</v>
      </c>
      <c r="W6" s="97">
        <v>1083.04</v>
      </c>
      <c r="X6" s="97">
        <v>107.04</v>
      </c>
      <c r="Y6" s="97">
        <v>987.12</v>
      </c>
    </row>
    <row r="7">
      <c r="A7" s="18" t="s">
        <v>33</v>
      </c>
      <c r="B7" s="97">
        <v>2334.6</v>
      </c>
      <c r="C7" s="97">
        <v>2285.37</v>
      </c>
      <c r="D7" s="97">
        <v>2193.32</v>
      </c>
      <c r="E7" s="97">
        <v>10240.56</v>
      </c>
      <c r="F7" s="97">
        <v>2693.56</v>
      </c>
      <c r="G7" s="97">
        <v>0.0</v>
      </c>
      <c r="H7" s="97">
        <v>2535.32</v>
      </c>
      <c r="I7" s="97">
        <v>33272.84</v>
      </c>
      <c r="J7" s="97">
        <v>2248.87</v>
      </c>
      <c r="K7" s="97">
        <v>6665.76</v>
      </c>
      <c r="L7" s="97">
        <v>64034.16</v>
      </c>
      <c r="M7" s="97">
        <v>31156.2</v>
      </c>
      <c r="N7" s="97">
        <v>140589.8</v>
      </c>
      <c r="O7" s="97">
        <v>3082.24</v>
      </c>
      <c r="P7" s="97">
        <v>26141.36</v>
      </c>
      <c r="Q7" s="97">
        <v>1578.2</v>
      </c>
      <c r="R7" s="97">
        <v>6251.68</v>
      </c>
      <c r="S7" s="97">
        <v>681.04</v>
      </c>
      <c r="T7" s="97">
        <v>6378.4</v>
      </c>
      <c r="U7" s="97">
        <v>4030.36</v>
      </c>
      <c r="V7" s="97">
        <v>3144.12</v>
      </c>
      <c r="W7" s="97">
        <v>2947.48</v>
      </c>
      <c r="X7" s="97">
        <v>254.36</v>
      </c>
      <c r="Y7" s="97">
        <v>1724.52</v>
      </c>
    </row>
    <row r="8">
      <c r="A8" s="18" t="s">
        <v>39</v>
      </c>
      <c r="B8" s="97">
        <v>2873.96</v>
      </c>
      <c r="C8" s="97">
        <v>3207.09</v>
      </c>
      <c r="D8" s="97">
        <v>22608.32</v>
      </c>
      <c r="E8" s="97">
        <v>6602.08</v>
      </c>
      <c r="F8" s="97">
        <v>1576.64</v>
      </c>
      <c r="G8" s="97">
        <v>11335.92</v>
      </c>
      <c r="H8" s="97">
        <v>0.0</v>
      </c>
      <c r="I8" s="97">
        <v>14964.48</v>
      </c>
      <c r="J8" s="97">
        <v>3552.95</v>
      </c>
      <c r="K8" s="97">
        <v>8546.4</v>
      </c>
      <c r="L8" s="97">
        <v>8301.6</v>
      </c>
      <c r="M8" s="97">
        <v>39357.72</v>
      </c>
      <c r="N8" s="97">
        <v>40385.96</v>
      </c>
      <c r="O8" s="97">
        <v>4618.4</v>
      </c>
      <c r="P8" s="97">
        <v>74196.56</v>
      </c>
      <c r="Q8" s="97">
        <v>4964.52</v>
      </c>
      <c r="R8" s="97">
        <v>22279.48</v>
      </c>
      <c r="S8" s="97">
        <v>1243.52</v>
      </c>
      <c r="T8" s="97">
        <v>4950.32</v>
      </c>
      <c r="U8" s="97">
        <v>11520.76</v>
      </c>
      <c r="V8" s="97">
        <v>5473.56</v>
      </c>
      <c r="W8" s="97">
        <v>17182.88</v>
      </c>
      <c r="X8" s="97">
        <v>532.48</v>
      </c>
      <c r="Y8" s="97">
        <v>4373.72</v>
      </c>
    </row>
    <row r="9">
      <c r="A9" s="18" t="s">
        <v>35</v>
      </c>
      <c r="B9" s="97">
        <v>30724.48</v>
      </c>
      <c r="C9" s="97">
        <v>6826.26</v>
      </c>
      <c r="D9" s="97">
        <v>12802.76</v>
      </c>
      <c r="E9" s="97">
        <v>72304.0</v>
      </c>
      <c r="F9" s="97">
        <v>34996.76</v>
      </c>
      <c r="G9" s="97">
        <v>121568.9</v>
      </c>
      <c r="H9" s="97">
        <v>16938.64</v>
      </c>
      <c r="I9" s="97">
        <v>0.0</v>
      </c>
      <c r="J9" s="97">
        <v>23542.82</v>
      </c>
      <c r="K9" s="97">
        <v>101245.4</v>
      </c>
      <c r="L9" s="97">
        <v>74044.64</v>
      </c>
      <c r="M9" s="97">
        <v>173094.8</v>
      </c>
      <c r="N9" s="97">
        <v>338223.7</v>
      </c>
      <c r="O9" s="97">
        <v>15206.96</v>
      </c>
      <c r="P9" s="97">
        <v>148366.8</v>
      </c>
      <c r="Q9" s="97">
        <v>7271.88</v>
      </c>
      <c r="R9" s="97">
        <v>37292.88</v>
      </c>
      <c r="S9" s="97">
        <v>2656.08</v>
      </c>
      <c r="T9" s="97">
        <v>55832.28</v>
      </c>
      <c r="U9" s="97">
        <v>35138.12</v>
      </c>
      <c r="V9" s="97">
        <v>31612.76</v>
      </c>
      <c r="W9" s="97">
        <v>15897.56</v>
      </c>
      <c r="X9" s="97">
        <v>1480.64</v>
      </c>
      <c r="Y9" s="97">
        <v>9535.8</v>
      </c>
    </row>
    <row r="10">
      <c r="A10" s="18" t="s">
        <v>40</v>
      </c>
      <c r="B10" s="97">
        <v>535.69</v>
      </c>
      <c r="C10" s="97">
        <v>1238.12</v>
      </c>
      <c r="D10" s="97">
        <v>540.3</v>
      </c>
      <c r="E10" s="97">
        <v>1578.11</v>
      </c>
      <c r="F10" s="97">
        <v>310.92</v>
      </c>
      <c r="G10" s="97">
        <v>2948.54</v>
      </c>
      <c r="H10" s="97">
        <v>663.27</v>
      </c>
      <c r="I10" s="97">
        <v>4287.94</v>
      </c>
      <c r="J10" s="97">
        <v>0.0</v>
      </c>
      <c r="K10" s="97">
        <v>1785.4</v>
      </c>
      <c r="L10" s="97">
        <v>2370.04</v>
      </c>
      <c r="M10" s="97">
        <v>4931.5</v>
      </c>
      <c r="N10" s="97">
        <v>8495.79</v>
      </c>
      <c r="O10" s="97">
        <v>505.77</v>
      </c>
      <c r="P10" s="97">
        <v>5621.48</v>
      </c>
      <c r="Q10" s="97">
        <v>438.31</v>
      </c>
      <c r="R10" s="97">
        <v>1682.65</v>
      </c>
      <c r="S10" s="97">
        <v>159.53</v>
      </c>
      <c r="T10" s="97">
        <v>1251.48</v>
      </c>
      <c r="U10" s="97">
        <v>1051.64</v>
      </c>
      <c r="V10" s="97">
        <v>906.84</v>
      </c>
      <c r="W10" s="97">
        <v>926.69</v>
      </c>
      <c r="X10" s="97">
        <v>61.2</v>
      </c>
      <c r="Y10" s="97">
        <v>438.8</v>
      </c>
    </row>
    <row r="11">
      <c r="A11" s="18" t="s">
        <v>37</v>
      </c>
      <c r="B11" s="97">
        <v>29981.56</v>
      </c>
      <c r="C11" s="97">
        <v>2231.22</v>
      </c>
      <c r="D11" s="97">
        <v>3648.96</v>
      </c>
      <c r="E11" s="97">
        <v>35048.12</v>
      </c>
      <c r="F11" s="97">
        <v>4802.16</v>
      </c>
      <c r="G11" s="97">
        <v>19692.68</v>
      </c>
      <c r="H11" s="97">
        <v>4405.52</v>
      </c>
      <c r="I11" s="97">
        <v>51923.64</v>
      </c>
      <c r="J11" s="97">
        <v>4601.38</v>
      </c>
      <c r="K11" s="97">
        <v>0.0</v>
      </c>
      <c r="L11" s="97">
        <v>14925.2</v>
      </c>
      <c r="M11" s="97">
        <v>35673.36</v>
      </c>
      <c r="N11" s="97">
        <v>60489.08</v>
      </c>
      <c r="O11" s="97">
        <v>3696.44</v>
      </c>
      <c r="P11" s="97">
        <v>38133.8</v>
      </c>
      <c r="Q11" s="97">
        <v>2095.36</v>
      </c>
      <c r="R11" s="97">
        <v>10183.0</v>
      </c>
      <c r="S11" s="97">
        <v>764.88</v>
      </c>
      <c r="T11" s="97">
        <v>15236.24</v>
      </c>
      <c r="U11" s="97">
        <v>7225.24</v>
      </c>
      <c r="V11" s="97">
        <v>7952.68</v>
      </c>
      <c r="W11" s="97">
        <v>4707.4</v>
      </c>
      <c r="X11" s="97">
        <v>554.6</v>
      </c>
      <c r="Y11" s="97">
        <v>3892.52</v>
      </c>
    </row>
    <row r="12">
      <c r="A12" s="97"/>
      <c r="B12" s="97">
        <v>88.84</v>
      </c>
      <c r="C12" s="97">
        <v>28.28</v>
      </c>
      <c r="D12" s="97">
        <v>115.96</v>
      </c>
      <c r="E12" s="97">
        <v>306.96</v>
      </c>
      <c r="F12" s="97">
        <v>107.6</v>
      </c>
      <c r="G12" s="97">
        <v>13524.96</v>
      </c>
      <c r="H12" s="97">
        <v>71.56</v>
      </c>
      <c r="I12" s="97">
        <v>1615.04</v>
      </c>
      <c r="J12" s="97">
        <v>94.08</v>
      </c>
      <c r="K12" s="97">
        <v>386.16</v>
      </c>
      <c r="L12" s="97">
        <v>0.0</v>
      </c>
      <c r="M12" s="97">
        <v>2996.76</v>
      </c>
      <c r="N12" s="97">
        <v>28482.32</v>
      </c>
      <c r="O12" s="97">
        <v>268.32</v>
      </c>
      <c r="P12" s="97">
        <v>2981.92</v>
      </c>
      <c r="Q12" s="97">
        <v>32.84</v>
      </c>
      <c r="R12" s="97">
        <v>187.32</v>
      </c>
      <c r="S12" s="97">
        <v>8.24</v>
      </c>
      <c r="T12" s="97">
        <v>429.64</v>
      </c>
      <c r="U12" s="97">
        <v>166.64</v>
      </c>
      <c r="V12" s="97">
        <v>130.72</v>
      </c>
      <c r="W12" s="97">
        <v>62.52</v>
      </c>
      <c r="X12" s="97">
        <v>11.32</v>
      </c>
      <c r="Y12" s="97">
        <v>56.96</v>
      </c>
    </row>
    <row r="13">
      <c r="A13" s="97"/>
      <c r="B13" s="97">
        <v>5994.64</v>
      </c>
      <c r="C13" s="97">
        <v>3387.32</v>
      </c>
      <c r="D13" s="97">
        <v>11123.24</v>
      </c>
      <c r="E13" s="97">
        <v>14405.24</v>
      </c>
      <c r="F13" s="97">
        <v>3505.04</v>
      </c>
      <c r="G13" s="97">
        <v>76200.84</v>
      </c>
      <c r="H13" s="97">
        <v>10956.2</v>
      </c>
      <c r="I13" s="97">
        <v>38856.72</v>
      </c>
      <c r="J13" s="97">
        <v>5921.0</v>
      </c>
      <c r="K13" s="97">
        <v>16808.52</v>
      </c>
      <c r="L13" s="97">
        <v>69017.36</v>
      </c>
      <c r="M13" s="97">
        <v>0.0</v>
      </c>
      <c r="N13" s="97">
        <v>293043.8</v>
      </c>
      <c r="O13" s="97">
        <v>53810.88</v>
      </c>
      <c r="P13" s="97">
        <v>310609.0</v>
      </c>
      <c r="Q13" s="97">
        <v>3702.4</v>
      </c>
      <c r="R13" s="97">
        <v>16346.12</v>
      </c>
      <c r="S13" s="97">
        <v>1206.8</v>
      </c>
      <c r="T13" s="97">
        <v>14522.96</v>
      </c>
      <c r="U13" s="97">
        <v>17204.88</v>
      </c>
      <c r="V13" s="97">
        <v>11467.4</v>
      </c>
      <c r="W13" s="97">
        <v>9925.28</v>
      </c>
      <c r="X13" s="97">
        <v>804.68</v>
      </c>
      <c r="Y13" s="97">
        <v>7045.12</v>
      </c>
    </row>
    <row r="14">
      <c r="A14" s="97"/>
      <c r="B14" s="97">
        <v>16171.76</v>
      </c>
      <c r="C14" s="97">
        <v>7347.31</v>
      </c>
      <c r="D14" s="97">
        <v>9179.44</v>
      </c>
      <c r="E14" s="97">
        <v>19515.52</v>
      </c>
      <c r="F14" s="97">
        <v>5684.68</v>
      </c>
      <c r="G14" s="97">
        <v>164135.0</v>
      </c>
      <c r="H14" s="97">
        <v>10064.28</v>
      </c>
      <c r="I14" s="97">
        <v>78887.08</v>
      </c>
      <c r="J14" s="97">
        <v>10887.77</v>
      </c>
      <c r="K14" s="97">
        <v>24899.2</v>
      </c>
      <c r="L14" s="97">
        <v>186052.7</v>
      </c>
      <c r="M14" s="97">
        <v>240386.6</v>
      </c>
      <c r="N14" s="97">
        <v>0.0</v>
      </c>
      <c r="O14" s="97">
        <v>19966.8</v>
      </c>
      <c r="P14" s="97">
        <v>135121.5</v>
      </c>
      <c r="Q14" s="97">
        <v>6717.28</v>
      </c>
      <c r="R14" s="97">
        <v>25816.32</v>
      </c>
      <c r="S14" s="97">
        <v>1532.28</v>
      </c>
      <c r="T14" s="97">
        <v>17676.28</v>
      </c>
      <c r="U14" s="97">
        <v>18287.4</v>
      </c>
      <c r="V14" s="97">
        <v>14622.72</v>
      </c>
      <c r="W14" s="97">
        <v>10137.72</v>
      </c>
      <c r="X14" s="97">
        <v>832.2</v>
      </c>
      <c r="Y14" s="97">
        <v>5902.2</v>
      </c>
    </row>
    <row r="15">
      <c r="A15" s="97"/>
      <c r="B15" s="97">
        <v>205.36</v>
      </c>
      <c r="C15" s="97">
        <v>104.25</v>
      </c>
      <c r="D15" s="97">
        <v>417.96</v>
      </c>
      <c r="E15" s="97">
        <v>656.48</v>
      </c>
      <c r="F15" s="97">
        <v>107.52</v>
      </c>
      <c r="G15" s="97">
        <v>4010.4</v>
      </c>
      <c r="H15" s="97">
        <v>414.96</v>
      </c>
      <c r="I15" s="97">
        <v>1246.24</v>
      </c>
      <c r="J15" s="97">
        <v>205.75</v>
      </c>
      <c r="K15" s="97">
        <v>524.32</v>
      </c>
      <c r="L15" s="97">
        <v>3957.64</v>
      </c>
      <c r="M15" s="97">
        <v>19282.36</v>
      </c>
      <c r="N15" s="97">
        <v>11990.2</v>
      </c>
      <c r="O15" s="97">
        <v>0.0</v>
      </c>
      <c r="P15" s="97">
        <v>16447.84</v>
      </c>
      <c r="Q15" s="97">
        <v>122.76</v>
      </c>
      <c r="R15" s="97">
        <v>580.12</v>
      </c>
      <c r="S15" s="97">
        <v>37.76</v>
      </c>
      <c r="T15" s="97">
        <v>844.28</v>
      </c>
      <c r="U15" s="97">
        <v>532.76</v>
      </c>
      <c r="V15" s="97">
        <v>342.88</v>
      </c>
      <c r="W15" s="97">
        <v>322.04</v>
      </c>
      <c r="X15" s="97">
        <v>23.48</v>
      </c>
      <c r="Y15" s="97">
        <v>209.68</v>
      </c>
    </row>
    <row r="16">
      <c r="A16" s="97"/>
      <c r="B16" s="97">
        <v>9800.36</v>
      </c>
      <c r="C16" s="97">
        <v>6852.51</v>
      </c>
      <c r="D16" s="97">
        <v>48956.12</v>
      </c>
      <c r="E16" s="97">
        <v>21848.44</v>
      </c>
      <c r="F16" s="97">
        <v>5298.44</v>
      </c>
      <c r="G16" s="97">
        <v>65917.28</v>
      </c>
      <c r="H16" s="97">
        <v>34038.88</v>
      </c>
      <c r="I16" s="97">
        <v>60157.52</v>
      </c>
      <c r="J16" s="97">
        <v>8939.97</v>
      </c>
      <c r="K16" s="97">
        <v>27990.88</v>
      </c>
      <c r="L16" s="97">
        <v>56240.24</v>
      </c>
      <c r="M16" s="97">
        <v>338656.3</v>
      </c>
      <c r="N16" s="97">
        <v>234673.4</v>
      </c>
      <c r="O16" s="97">
        <v>38011.76</v>
      </c>
      <c r="P16" s="97">
        <v>0.0</v>
      </c>
      <c r="Q16" s="97">
        <v>8529.28</v>
      </c>
      <c r="R16" s="97">
        <v>38891.32</v>
      </c>
      <c r="S16" s="97">
        <v>2629.56</v>
      </c>
      <c r="T16" s="97">
        <v>62735.56</v>
      </c>
      <c r="U16" s="97">
        <v>37672.04</v>
      </c>
      <c r="V16" s="97">
        <v>19963.08</v>
      </c>
      <c r="W16" s="97">
        <v>21429.12</v>
      </c>
      <c r="X16" s="97">
        <v>1457.88</v>
      </c>
      <c r="Y16" s="97">
        <v>11890.32</v>
      </c>
    </row>
    <row r="17">
      <c r="A17" s="97"/>
      <c r="B17" s="97">
        <v>1396.36</v>
      </c>
      <c r="C17" s="97">
        <v>2918.05</v>
      </c>
      <c r="D17" s="97">
        <v>2785.32</v>
      </c>
      <c r="E17" s="97">
        <v>3971.08</v>
      </c>
      <c r="F17" s="97">
        <v>568.56</v>
      </c>
      <c r="G17" s="97">
        <v>5332.24</v>
      </c>
      <c r="H17" s="97">
        <v>4122.0</v>
      </c>
      <c r="I17" s="97">
        <v>6491.48</v>
      </c>
      <c r="J17" s="97">
        <v>1756.35</v>
      </c>
      <c r="K17" s="97">
        <v>4117.08</v>
      </c>
      <c r="L17" s="97">
        <v>3476.84</v>
      </c>
      <c r="M17" s="97">
        <v>14338.28</v>
      </c>
      <c r="N17" s="97">
        <v>16594.92</v>
      </c>
      <c r="O17" s="97">
        <v>1577.0</v>
      </c>
      <c r="P17" s="97">
        <v>20220.08</v>
      </c>
      <c r="Q17" s="97">
        <v>0.0</v>
      </c>
      <c r="R17" s="97">
        <v>22867.04</v>
      </c>
      <c r="S17" s="97">
        <v>1298.04</v>
      </c>
      <c r="T17" s="97">
        <v>3307.12</v>
      </c>
      <c r="U17" s="97">
        <v>5121.96</v>
      </c>
      <c r="V17" s="97">
        <v>2483.84</v>
      </c>
      <c r="W17" s="97">
        <v>7072.6</v>
      </c>
      <c r="X17" s="97">
        <v>323.16</v>
      </c>
      <c r="Y17" s="97">
        <v>2754.2</v>
      </c>
    </row>
    <row r="18">
      <c r="A18" s="97"/>
      <c r="B18" s="97">
        <v>9557.92</v>
      </c>
      <c r="C18" s="97">
        <v>19168.52</v>
      </c>
      <c r="D18" s="97">
        <v>19779.84</v>
      </c>
      <c r="E18" s="97">
        <v>23145.6</v>
      </c>
      <c r="F18" s="97">
        <v>3814.56</v>
      </c>
      <c r="G18" s="97">
        <v>34534.68</v>
      </c>
      <c r="H18" s="97">
        <v>29904.72</v>
      </c>
      <c r="I18" s="97">
        <v>42490.8</v>
      </c>
      <c r="J18" s="97">
        <v>11067.68</v>
      </c>
      <c r="K18" s="97">
        <v>26872.2</v>
      </c>
      <c r="L18" s="97">
        <v>23459.52</v>
      </c>
      <c r="M18" s="97">
        <v>94997.36</v>
      </c>
      <c r="N18" s="97">
        <v>109456.2</v>
      </c>
      <c r="O18" s="97">
        <v>10424.4</v>
      </c>
      <c r="P18" s="97">
        <v>140325.1</v>
      </c>
      <c r="Q18" s="97">
        <v>38365.36</v>
      </c>
      <c r="R18" s="97">
        <v>0.0</v>
      </c>
      <c r="S18" s="97">
        <v>10674.96</v>
      </c>
      <c r="T18" s="97">
        <v>34343.48</v>
      </c>
      <c r="U18" s="97">
        <v>42197.96</v>
      </c>
      <c r="V18" s="97">
        <v>18615.8</v>
      </c>
      <c r="W18" s="97">
        <v>39774.6</v>
      </c>
      <c r="X18" s="97">
        <v>2650.96</v>
      </c>
      <c r="Y18" s="97">
        <v>24102.48</v>
      </c>
    </row>
    <row r="19">
      <c r="A19" s="97"/>
      <c r="B19" s="97">
        <v>532.56</v>
      </c>
      <c r="C19" s="97">
        <v>3138.76</v>
      </c>
      <c r="D19" s="97">
        <v>674.56</v>
      </c>
      <c r="E19" s="97">
        <v>1413.28</v>
      </c>
      <c r="F19" s="97">
        <v>185.28</v>
      </c>
      <c r="G19" s="97">
        <v>1969.64</v>
      </c>
      <c r="H19" s="97">
        <v>935.16</v>
      </c>
      <c r="I19" s="97">
        <v>2016.96</v>
      </c>
      <c r="J19" s="97">
        <v>1771.52</v>
      </c>
      <c r="K19" s="97">
        <v>1401.6</v>
      </c>
      <c r="L19" s="97">
        <v>1111.6</v>
      </c>
      <c r="M19" s="97">
        <v>4000.84</v>
      </c>
      <c r="N19" s="97">
        <v>4996.6</v>
      </c>
      <c r="O19" s="97">
        <v>434.0</v>
      </c>
      <c r="P19" s="97">
        <v>5484.04</v>
      </c>
      <c r="Q19" s="97">
        <v>1206.56</v>
      </c>
      <c r="R19" s="97">
        <v>6022.48</v>
      </c>
      <c r="S19" s="97">
        <v>0.0</v>
      </c>
      <c r="T19" s="97">
        <v>1003.48</v>
      </c>
      <c r="U19" s="97">
        <v>1652.4</v>
      </c>
      <c r="V19" s="97">
        <v>912.72</v>
      </c>
      <c r="W19" s="97">
        <v>1423.8</v>
      </c>
      <c r="X19" s="97">
        <v>179.76</v>
      </c>
      <c r="Y19" s="97">
        <v>1224.0</v>
      </c>
    </row>
    <row r="20">
      <c r="A20" s="97"/>
      <c r="B20" s="97">
        <v>2743.84</v>
      </c>
      <c r="C20" s="97">
        <v>1521.99</v>
      </c>
      <c r="D20" s="97">
        <v>1912.4</v>
      </c>
      <c r="E20" s="97">
        <v>8370.32</v>
      </c>
      <c r="F20" s="97">
        <v>2901.68</v>
      </c>
      <c r="G20" s="97">
        <v>6658.56</v>
      </c>
      <c r="H20" s="97">
        <v>2519.24</v>
      </c>
      <c r="I20" s="97">
        <v>21592.4</v>
      </c>
      <c r="J20" s="97">
        <v>2193.25</v>
      </c>
      <c r="K20" s="97">
        <v>9437.44</v>
      </c>
      <c r="L20" s="97">
        <v>4805.96</v>
      </c>
      <c r="M20" s="97">
        <v>14625.8</v>
      </c>
      <c r="N20" s="97">
        <v>22212.16</v>
      </c>
      <c r="O20" s="97">
        <v>1541.6</v>
      </c>
      <c r="P20" s="97">
        <v>16023.76</v>
      </c>
      <c r="Q20" s="97">
        <v>2183.28</v>
      </c>
      <c r="R20" s="97">
        <v>14374.04</v>
      </c>
      <c r="S20" s="97">
        <v>732.12</v>
      </c>
      <c r="T20" s="97">
        <v>0.0</v>
      </c>
      <c r="U20" s="97">
        <v>4569.64</v>
      </c>
      <c r="V20" s="97">
        <v>3067.28</v>
      </c>
      <c r="W20" s="97">
        <v>3065.12</v>
      </c>
      <c r="X20" s="97">
        <v>294.2</v>
      </c>
      <c r="Y20" s="97">
        <v>2489.28</v>
      </c>
    </row>
    <row r="21">
      <c r="A21" s="97"/>
      <c r="B21" s="97">
        <v>3915.4</v>
      </c>
      <c r="C21" s="97">
        <v>3564.87</v>
      </c>
      <c r="D21" s="97">
        <v>8240.0</v>
      </c>
      <c r="E21" s="97">
        <v>7625.56</v>
      </c>
      <c r="F21" s="97">
        <v>1786.0</v>
      </c>
      <c r="G21" s="97">
        <v>13844.44</v>
      </c>
      <c r="H21" s="97">
        <v>9905.68</v>
      </c>
      <c r="I21" s="97">
        <v>19429.04</v>
      </c>
      <c r="J21" s="97">
        <v>4373.53</v>
      </c>
      <c r="K21" s="97">
        <v>10738.48</v>
      </c>
      <c r="L21" s="97">
        <v>10047.88</v>
      </c>
      <c r="M21" s="97">
        <v>52584.88</v>
      </c>
      <c r="N21" s="97">
        <v>54368.68</v>
      </c>
      <c r="O21" s="97">
        <v>5501.44</v>
      </c>
      <c r="P21" s="97">
        <v>69955.92</v>
      </c>
      <c r="Q21" s="97">
        <v>4856.16</v>
      </c>
      <c r="R21" s="97">
        <v>25965.12</v>
      </c>
      <c r="S21" s="97">
        <v>1582.48</v>
      </c>
      <c r="T21" s="97">
        <v>6841.6</v>
      </c>
      <c r="U21" s="97">
        <v>0.0</v>
      </c>
      <c r="V21" s="97">
        <v>13174.6</v>
      </c>
      <c r="W21" s="97">
        <v>9211.32</v>
      </c>
      <c r="X21" s="97">
        <v>1167.72</v>
      </c>
      <c r="Y21" s="97">
        <v>13688.84</v>
      </c>
    </row>
    <row r="22">
      <c r="A22" s="97"/>
      <c r="B22" s="97">
        <v>3298.92</v>
      </c>
      <c r="C22" s="97">
        <v>1679.63</v>
      </c>
      <c r="D22" s="97">
        <v>2857.96</v>
      </c>
      <c r="E22" s="97">
        <v>5676.84</v>
      </c>
      <c r="F22" s="97">
        <v>1302.4</v>
      </c>
      <c r="G22" s="97">
        <v>9510.24</v>
      </c>
      <c r="H22" s="97">
        <v>3415.52</v>
      </c>
      <c r="I22" s="97">
        <v>15738.24</v>
      </c>
      <c r="J22" s="97">
        <v>3637.17</v>
      </c>
      <c r="K22" s="97">
        <v>9738.96</v>
      </c>
      <c r="L22" s="97">
        <v>7137.88</v>
      </c>
      <c r="M22" s="97">
        <v>26959.48</v>
      </c>
      <c r="N22" s="97">
        <v>35081.52</v>
      </c>
      <c r="O22" s="97">
        <v>2755.0</v>
      </c>
      <c r="P22" s="97">
        <v>28096.96</v>
      </c>
      <c r="Q22" s="97">
        <v>1764.0</v>
      </c>
      <c r="R22" s="97">
        <v>8339.4</v>
      </c>
      <c r="S22" s="97">
        <v>664.36</v>
      </c>
      <c r="T22" s="97">
        <v>4006.08</v>
      </c>
      <c r="U22" s="97">
        <v>10607.92</v>
      </c>
      <c r="V22" s="97">
        <v>0.0</v>
      </c>
      <c r="W22" s="97">
        <v>3631.28</v>
      </c>
      <c r="X22" s="97">
        <v>604.96</v>
      </c>
      <c r="Y22" s="97">
        <v>4032.44</v>
      </c>
    </row>
    <row r="23">
      <c r="A23" s="97"/>
      <c r="B23" s="97">
        <v>2284.36</v>
      </c>
      <c r="C23" s="97">
        <v>3287.42</v>
      </c>
      <c r="D23" s="97">
        <v>6230.28</v>
      </c>
      <c r="E23" s="97">
        <v>6443.92</v>
      </c>
      <c r="F23" s="97">
        <v>1107.56</v>
      </c>
      <c r="G23" s="97">
        <v>9485.76</v>
      </c>
      <c r="H23" s="97">
        <v>10450.04</v>
      </c>
      <c r="I23" s="97">
        <v>12467.32</v>
      </c>
      <c r="J23" s="97">
        <v>2745.98</v>
      </c>
      <c r="K23" s="97">
        <v>7319.0</v>
      </c>
      <c r="L23" s="97">
        <v>6868.04</v>
      </c>
      <c r="M23" s="97">
        <v>28703.6</v>
      </c>
      <c r="N23" s="97">
        <v>33017.52</v>
      </c>
      <c r="O23" s="97">
        <v>3218.88</v>
      </c>
      <c r="P23" s="97">
        <v>40677.28</v>
      </c>
      <c r="Q23" s="97">
        <v>6113.92</v>
      </c>
      <c r="R23" s="97">
        <v>20481.6</v>
      </c>
      <c r="S23" s="97">
        <v>1242.12</v>
      </c>
      <c r="T23" s="97">
        <v>3976.6</v>
      </c>
      <c r="U23" s="97">
        <v>7293.24</v>
      </c>
      <c r="V23" s="97">
        <v>3904.28</v>
      </c>
      <c r="W23" s="97">
        <v>0.0</v>
      </c>
      <c r="X23" s="97">
        <v>409.88</v>
      </c>
      <c r="Y23" s="97">
        <v>3357.04</v>
      </c>
    </row>
    <row r="24">
      <c r="A24" s="97"/>
      <c r="B24" s="97">
        <v>554.88</v>
      </c>
      <c r="C24" s="97">
        <v>662.52</v>
      </c>
      <c r="D24" s="97">
        <v>623.92</v>
      </c>
      <c r="E24" s="97">
        <v>1044.88</v>
      </c>
      <c r="F24" s="97">
        <v>215.04</v>
      </c>
      <c r="G24" s="97">
        <v>1648.92</v>
      </c>
      <c r="H24" s="97">
        <v>763.52</v>
      </c>
      <c r="I24" s="97">
        <v>2510.0</v>
      </c>
      <c r="J24" s="97">
        <v>456.12</v>
      </c>
      <c r="K24" s="97">
        <v>1734.52</v>
      </c>
      <c r="L24" s="97">
        <v>1215.0</v>
      </c>
      <c r="M24" s="97">
        <v>4621.84</v>
      </c>
      <c r="N24" s="97">
        <v>5734.16</v>
      </c>
      <c r="O24" s="97">
        <v>489.88</v>
      </c>
      <c r="P24" s="97">
        <v>5626.88</v>
      </c>
      <c r="Q24" s="97">
        <v>542.44</v>
      </c>
      <c r="R24" s="97">
        <v>2881.44</v>
      </c>
      <c r="S24" s="97">
        <v>306.56</v>
      </c>
      <c r="T24" s="97">
        <v>780.24</v>
      </c>
      <c r="U24" s="97">
        <v>1940.48</v>
      </c>
      <c r="V24" s="97">
        <v>1326.68</v>
      </c>
      <c r="W24" s="97">
        <v>830.56</v>
      </c>
      <c r="X24" s="97">
        <v>0.0</v>
      </c>
      <c r="Y24" s="97">
        <v>1951.36</v>
      </c>
    </row>
    <row r="25">
      <c r="A25" s="97"/>
      <c r="B25" s="97">
        <v>2253.68</v>
      </c>
      <c r="C25" s="97">
        <v>2398.56</v>
      </c>
      <c r="D25" s="97">
        <v>1932.96</v>
      </c>
      <c r="E25" s="97">
        <v>4835.36</v>
      </c>
      <c r="F25" s="97">
        <v>906.92</v>
      </c>
      <c r="G25" s="97">
        <v>4472.8</v>
      </c>
      <c r="H25" s="97">
        <v>4010.08</v>
      </c>
      <c r="I25" s="97">
        <v>12362.4</v>
      </c>
      <c r="J25" s="97">
        <v>1068.4</v>
      </c>
      <c r="K25" s="97">
        <v>4619.68</v>
      </c>
      <c r="L25" s="97">
        <v>1460.24</v>
      </c>
      <c r="M25" s="97">
        <v>16223.88</v>
      </c>
      <c r="N25" s="97">
        <v>14771.84</v>
      </c>
      <c r="O25" s="97">
        <v>999.48</v>
      </c>
      <c r="P25" s="97">
        <v>21924.12</v>
      </c>
      <c r="Q25" s="97">
        <v>2733.48</v>
      </c>
      <c r="R25" s="97">
        <v>22593.12</v>
      </c>
      <c r="S25" s="97">
        <v>1369.96</v>
      </c>
      <c r="T25" s="97">
        <v>4125.76</v>
      </c>
      <c r="U25" s="97">
        <v>17274.08</v>
      </c>
      <c r="V25" s="97">
        <v>5132.36</v>
      </c>
      <c r="W25" s="97">
        <v>3277.36</v>
      </c>
      <c r="X25" s="97">
        <v>682.6</v>
      </c>
      <c r="Y25" s="97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38"/>
  </cols>
  <sheetData>
    <row r="1">
      <c r="A1" s="51" t="s">
        <v>88</v>
      </c>
      <c r="B1" s="51" t="s">
        <v>89</v>
      </c>
      <c r="C1" s="51" t="s">
        <v>141</v>
      </c>
      <c r="D1" s="43" t="s">
        <v>90</v>
      </c>
      <c r="E1" s="40"/>
      <c r="H1" s="38" t="s">
        <v>77</v>
      </c>
      <c r="I1" s="38" t="s">
        <v>79</v>
      </c>
    </row>
    <row r="2">
      <c r="A2" s="98" t="s">
        <v>31</v>
      </c>
      <c r="B2" s="98" t="s">
        <v>31</v>
      </c>
      <c r="C2" s="99">
        <v>3962012.0</v>
      </c>
      <c r="D2" s="24">
        <f t="array" ref="D2">if(A2=B2,0,XLOOKUP(A2&amp;B2, $A:$A&amp;$B:$B, $C:$C))/25</f>
        <v>0</v>
      </c>
      <c r="E2" s="40">
        <f>C2/25</f>
        <v>158480.48</v>
      </c>
      <c r="G2" s="98" t="s">
        <v>31</v>
      </c>
      <c r="H2" s="42">
        <f>sum(Flow!B2:K2)</f>
        <v>125092.16</v>
      </c>
      <c r="I2" s="42">
        <v>73644.52</v>
      </c>
    </row>
    <row r="3">
      <c r="A3" s="98" t="s">
        <v>31</v>
      </c>
      <c r="B3" s="98" t="s">
        <v>34</v>
      </c>
      <c r="C3" s="99">
        <v>36520.0</v>
      </c>
      <c r="D3" s="24">
        <f t="array" ref="D3">if(A3=B3,0,XLOOKUP(A3&amp;B3, $A:$A&amp;$B:$B, $C:$C))/25</f>
        <v>1460.8</v>
      </c>
      <c r="E3" s="40"/>
      <c r="G3" s="98" t="s">
        <v>34</v>
      </c>
      <c r="H3" s="42">
        <f>sum(Flow!B3:K3)</f>
        <v>30992.74</v>
      </c>
      <c r="I3" s="42">
        <v>21308.780000000002</v>
      </c>
    </row>
    <row r="4">
      <c r="A4" s="98" t="s">
        <v>31</v>
      </c>
      <c r="B4" s="98" t="s">
        <v>36</v>
      </c>
      <c r="C4" s="99">
        <v>46610.0</v>
      </c>
      <c r="D4" s="24">
        <f t="array" ref="D4">if(A4=B4,0,XLOOKUP(A4&amp;B4, $A:$A&amp;$B:$B, $C:$C))/25</f>
        <v>1864.4</v>
      </c>
      <c r="E4" s="40"/>
      <c r="G4" s="98" t="s">
        <v>36</v>
      </c>
      <c r="H4" s="42">
        <f>sum(Flow!B4:K4)</f>
        <v>27365.36</v>
      </c>
      <c r="I4" s="42">
        <v>48760.240000000005</v>
      </c>
    </row>
    <row r="5">
      <c r="A5" s="98" t="s">
        <v>31</v>
      </c>
      <c r="B5" s="98" t="s">
        <v>32</v>
      </c>
      <c r="C5" s="99">
        <v>288392.0</v>
      </c>
      <c r="D5" s="24">
        <f t="array" ref="D5">if(A5=B5,0,XLOOKUP(A5&amp;B5, $A:$A&amp;$B:$B, $C:$C))/25</f>
        <v>11535.68</v>
      </c>
      <c r="E5" s="40"/>
      <c r="G5" s="98" t="s">
        <v>32</v>
      </c>
      <c r="H5" s="42">
        <f>sum(Flow!B5:K5)</f>
        <v>50914.96</v>
      </c>
      <c r="I5" s="42">
        <v>147517.64</v>
      </c>
    </row>
    <row r="6">
      <c r="A6" s="98" t="s">
        <v>31</v>
      </c>
      <c r="B6" s="98" t="s">
        <v>38</v>
      </c>
      <c r="C6" s="99">
        <v>61611.0</v>
      </c>
      <c r="D6" s="24">
        <f t="array" ref="D6">if(A6=B6,0,XLOOKUP(A6&amp;B6, $A:$A&amp;$B:$B, $C:$C))/25</f>
        <v>2464.44</v>
      </c>
      <c r="E6" s="40"/>
      <c r="G6" s="98" t="s">
        <v>38</v>
      </c>
      <c r="H6" s="42">
        <f>sum(Flow!B6:K6)</f>
        <v>40906.08</v>
      </c>
      <c r="I6" s="42">
        <v>49314.56</v>
      </c>
    </row>
    <row r="7">
      <c r="A7" s="98" t="s">
        <v>31</v>
      </c>
      <c r="B7" s="98" t="s">
        <v>33</v>
      </c>
      <c r="C7" s="99">
        <v>198800.0</v>
      </c>
      <c r="D7" s="24">
        <f t="array" ref="D7">if(A7=B7,0,XLOOKUP(A7&amp;B7, $A:$A&amp;$B:$B, $C:$C))/25</f>
        <v>7952</v>
      </c>
      <c r="E7" s="40"/>
      <c r="G7" s="98" t="s">
        <v>33</v>
      </c>
      <c r="H7" s="42">
        <f>sum(Flow!B7:K7)</f>
        <v>64470.2</v>
      </c>
      <c r="I7" s="42">
        <v>187313.74</v>
      </c>
    </row>
    <row r="8">
      <c r="A8" s="98" t="s">
        <v>31</v>
      </c>
      <c r="B8" s="98" t="s">
        <v>39</v>
      </c>
      <c r="C8" s="99">
        <v>59567.0</v>
      </c>
      <c r="D8" s="24">
        <f t="array" ref="D8">if(A8=B8,0,XLOOKUP(A8&amp;B8, $A:$A&amp;$B:$B, $C:$C))/25</f>
        <v>2382.68</v>
      </c>
      <c r="E8" s="40"/>
      <c r="G8" s="98" t="s">
        <v>39</v>
      </c>
      <c r="H8" s="42">
        <f>sum(Flow!B8:K8)</f>
        <v>75267.84</v>
      </c>
      <c r="I8" s="42">
        <v>44041.759999999995</v>
      </c>
    </row>
    <row r="9">
      <c r="A9" s="98" t="s">
        <v>31</v>
      </c>
      <c r="B9" s="98" t="s">
        <v>35</v>
      </c>
      <c r="C9" s="99">
        <v>618156.0</v>
      </c>
      <c r="D9" s="24">
        <f t="array" ref="D9">if(A9=B9,0,XLOOKUP(A9&amp;B9, $A:$A&amp;$B:$B, $C:$C))/25</f>
        <v>24726.24</v>
      </c>
      <c r="E9" s="40"/>
      <c r="G9" s="98" t="s">
        <v>35</v>
      </c>
      <c r="H9" s="42">
        <f>sum(Flow!B9:K9)</f>
        <v>420950.02</v>
      </c>
      <c r="I9" s="42">
        <v>176319.88</v>
      </c>
    </row>
    <row r="10">
      <c r="A10" s="98" t="s">
        <v>31</v>
      </c>
      <c r="B10" s="98" t="s">
        <v>40</v>
      </c>
      <c r="C10" s="99">
        <v>56665.0</v>
      </c>
      <c r="D10" s="24">
        <f t="array" ref="D10">if(A10=B10,0,XLOOKUP(A10&amp;B10, $A:$A&amp;$B:$B, $C:$C))/25</f>
        <v>2266.6</v>
      </c>
      <c r="E10" s="40"/>
      <c r="G10" s="98" t="s">
        <v>40</v>
      </c>
      <c r="H10" s="42">
        <f>sum(Flow!B10:K10)</f>
        <v>13888.29</v>
      </c>
      <c r="I10" s="42">
        <v>44428.77</v>
      </c>
    </row>
    <row r="11">
      <c r="A11" s="98" t="s">
        <v>31</v>
      </c>
      <c r="B11" s="98" t="s">
        <v>37</v>
      </c>
      <c r="C11" s="99">
        <v>1760983.0</v>
      </c>
      <c r="D11" s="24">
        <f t="array" ref="D11">if(A11=B11,0,XLOOKUP(A11&amp;B11, $A:$A&amp;$B:$B, $C:$C))/25</f>
        <v>70439.32</v>
      </c>
      <c r="E11" s="40"/>
      <c r="G11" s="98" t="s">
        <v>37</v>
      </c>
      <c r="H11" s="42">
        <f>sum(Flow!B11:K11)</f>
        <v>156335.24</v>
      </c>
      <c r="I11" s="42">
        <v>213532.99999999997</v>
      </c>
    </row>
    <row r="12">
      <c r="A12" s="98" t="s">
        <v>31</v>
      </c>
      <c r="B12" s="98" t="s">
        <v>62</v>
      </c>
      <c r="C12" s="99">
        <v>126557.0</v>
      </c>
      <c r="D12" s="24">
        <f t="array" ref="D12">if(A12=B12,0,XLOOKUP(A12&amp;B12, $A:$A&amp;$B:$B, $C:$C))/25</f>
        <v>5062.28</v>
      </c>
      <c r="E12" s="40"/>
    </row>
    <row r="13">
      <c r="A13" s="98" t="s">
        <v>31</v>
      </c>
      <c r="B13" s="98" t="s">
        <v>64</v>
      </c>
      <c r="C13" s="99">
        <v>441673.0</v>
      </c>
      <c r="D13" s="24">
        <f t="array" ref="D13">if(A13=B13,0,XLOOKUP(A13&amp;B13, $A:$A&amp;$B:$B, $C:$C))/25</f>
        <v>17666.92</v>
      </c>
      <c r="E13" s="40"/>
    </row>
    <row r="14">
      <c r="A14" s="98" t="s">
        <v>31</v>
      </c>
      <c r="B14" s="98" t="s">
        <v>63</v>
      </c>
      <c r="C14" s="99">
        <v>659575.0</v>
      </c>
      <c r="D14" s="24">
        <f t="array" ref="D14">if(A14=B14,0,XLOOKUP(A14&amp;B14, $A:$A&amp;$B:$B, $C:$C))/25</f>
        <v>26383</v>
      </c>
      <c r="E14" s="40"/>
    </row>
    <row r="15">
      <c r="A15" s="98" t="s">
        <v>31</v>
      </c>
      <c r="B15" s="98" t="s">
        <v>65</v>
      </c>
      <c r="C15" s="99">
        <v>44122.0</v>
      </c>
      <c r="D15" s="24">
        <f t="array" ref="D15">if(A15=B15,0,XLOOKUP(A15&amp;B15, $A:$A&amp;$B:$B, $C:$C))/25</f>
        <v>1764.88</v>
      </c>
      <c r="E15" s="40"/>
    </row>
    <row r="16">
      <c r="A16" s="98" t="s">
        <v>31</v>
      </c>
      <c r="B16" s="98" t="s">
        <v>66</v>
      </c>
      <c r="C16" s="99">
        <v>436417.0</v>
      </c>
      <c r="D16" s="24">
        <f t="array" ref="D16">if(A16=B16,0,XLOOKUP(A16&amp;B16, $A:$A&amp;$B:$B, $C:$C))/25</f>
        <v>17456.68</v>
      </c>
      <c r="E16" s="40"/>
    </row>
    <row r="17">
      <c r="A17" s="98" t="s">
        <v>31</v>
      </c>
      <c r="B17" s="98" t="s">
        <v>67</v>
      </c>
      <c r="C17" s="99">
        <v>32252.0</v>
      </c>
      <c r="D17" s="24">
        <f t="array" ref="D17">if(A17=B17,0,XLOOKUP(A17&amp;B17, $A:$A&amp;$B:$B, $C:$C))/25</f>
        <v>1290.08</v>
      </c>
      <c r="E17" s="40"/>
    </row>
    <row r="18">
      <c r="A18" s="98" t="s">
        <v>31</v>
      </c>
      <c r="B18" s="98" t="s">
        <v>68</v>
      </c>
      <c r="C18" s="99">
        <v>146716.0</v>
      </c>
      <c r="D18" s="24">
        <f t="array" ref="D18">if(A18=B18,0,XLOOKUP(A18&amp;B18, $A:$A&amp;$B:$B, $C:$C))/25</f>
        <v>5868.64</v>
      </c>
      <c r="E18" s="40"/>
    </row>
    <row r="19">
      <c r="A19" s="98" t="s">
        <v>31</v>
      </c>
      <c r="B19" s="98" t="s">
        <v>69</v>
      </c>
      <c r="C19" s="99">
        <v>12767.0</v>
      </c>
      <c r="D19" s="24">
        <f t="array" ref="D19">if(A19=B19,0,XLOOKUP(A19&amp;B19, $A:$A&amp;$B:$B, $C:$C))/25</f>
        <v>510.68</v>
      </c>
      <c r="E19" s="40"/>
    </row>
    <row r="20">
      <c r="A20" s="98" t="s">
        <v>31</v>
      </c>
      <c r="B20" s="98" t="s">
        <v>70</v>
      </c>
      <c r="C20" s="99">
        <v>125851.0</v>
      </c>
      <c r="D20" s="24">
        <f t="array" ref="D20">if(A20=B20,0,XLOOKUP(A20&amp;B20, $A:$A&amp;$B:$B, $C:$C))/25</f>
        <v>5034.04</v>
      </c>
      <c r="E20" s="40"/>
    </row>
    <row r="21">
      <c r="A21" s="98" t="s">
        <v>31</v>
      </c>
      <c r="B21" s="98" t="s">
        <v>71</v>
      </c>
      <c r="C21" s="99">
        <v>111482.0</v>
      </c>
      <c r="D21" s="24">
        <f t="array" ref="D21">if(A21=B21,0,XLOOKUP(A21&amp;B21, $A:$A&amp;$B:$B, $C:$C))/25</f>
        <v>4459.28</v>
      </c>
      <c r="E21" s="40"/>
    </row>
    <row r="22">
      <c r="A22" s="98" t="s">
        <v>31</v>
      </c>
      <c r="B22" s="98" t="s">
        <v>72</v>
      </c>
      <c r="C22" s="99">
        <v>107767.0</v>
      </c>
      <c r="D22" s="24">
        <f t="array" ref="D22">if(A22=B22,0,XLOOKUP(A22&amp;B22, $A:$A&amp;$B:$B, $C:$C))/25</f>
        <v>4310.68</v>
      </c>
      <c r="E22" s="40"/>
    </row>
    <row r="23">
      <c r="A23" s="98" t="s">
        <v>31</v>
      </c>
      <c r="B23" s="98" t="s">
        <v>73</v>
      </c>
      <c r="C23" s="99">
        <v>68602.0</v>
      </c>
      <c r="D23" s="24">
        <f t="array" ref="D23">if(A23=B23,0,XLOOKUP(A23&amp;B23, $A:$A&amp;$B:$B, $C:$C))/25</f>
        <v>2744.08</v>
      </c>
      <c r="E23" s="40"/>
    </row>
    <row r="24">
      <c r="A24" s="98" t="s">
        <v>31</v>
      </c>
      <c r="B24" s="98" t="s">
        <v>74</v>
      </c>
      <c r="C24" s="99">
        <v>8020.0</v>
      </c>
      <c r="D24" s="24">
        <f t="array" ref="D24">if(A24=B24,0,XLOOKUP(A24&amp;B24, $A:$A&amp;$B:$B, $C:$C))/25</f>
        <v>320.8</v>
      </c>
      <c r="E24" s="40"/>
    </row>
    <row r="25">
      <c r="A25" s="98" t="s">
        <v>31</v>
      </c>
      <c r="B25" s="98" t="s">
        <v>75</v>
      </c>
      <c r="C25" s="99">
        <v>46474.0</v>
      </c>
      <c r="D25" s="24">
        <f t="array" ref="D25">if(A25=B25,0,XLOOKUP(A25&amp;B25, $A:$A&amp;$B:$B, $C:$C))/25</f>
        <v>1858.96</v>
      </c>
      <c r="E25" s="40"/>
    </row>
    <row r="26">
      <c r="A26" s="100" t="s">
        <v>34</v>
      </c>
      <c r="B26" s="100" t="s">
        <v>31</v>
      </c>
      <c r="C26" s="99">
        <v>37947.0</v>
      </c>
      <c r="D26" s="24">
        <f t="array" ref="D26">if(A26=B26,0,XLOOKUP(A26&amp;B26, $A:$A&amp;$B:$B, $C:$C))/25</f>
        <v>1517.88</v>
      </c>
      <c r="E26" s="40"/>
    </row>
    <row r="27">
      <c r="A27" s="100" t="s">
        <v>34</v>
      </c>
      <c r="B27" s="100" t="s">
        <v>34</v>
      </c>
      <c r="C27" s="99">
        <v>780171.0</v>
      </c>
      <c r="D27" s="24">
        <f t="array" ref="D27">if(A27=B27,0,XLOOKUP(A27&amp;B27, $A:$A&amp;$B:$B, $C:$C))/25</f>
        <v>0</v>
      </c>
      <c r="E27" s="40"/>
    </row>
    <row r="28">
      <c r="A28" s="100" t="s">
        <v>34</v>
      </c>
      <c r="B28" s="100" t="s">
        <v>36</v>
      </c>
      <c r="C28" s="99">
        <v>48512.0</v>
      </c>
      <c r="D28" s="24">
        <f t="array" ref="D28">if(A28=B28,0,XLOOKUP(A28&amp;B28, $A:$A&amp;$B:$B, $C:$C))/25</f>
        <v>1940.48</v>
      </c>
      <c r="E28" s="40"/>
    </row>
    <row r="29">
      <c r="A29" s="100" t="s">
        <v>34</v>
      </c>
      <c r="B29" s="100" t="s">
        <v>32</v>
      </c>
      <c r="C29" s="99">
        <v>106102.0</v>
      </c>
      <c r="D29" s="24">
        <f t="array" ref="D29">if(A29=B29,0,XLOOKUP(A29&amp;B29, $A:$A&amp;$B:$B, $C:$C))/25</f>
        <v>4244.08</v>
      </c>
      <c r="E29" s="40"/>
    </row>
    <row r="30">
      <c r="A30" s="100" t="s">
        <v>34</v>
      </c>
      <c r="B30" s="100" t="s">
        <v>38</v>
      </c>
      <c r="C30" s="99">
        <v>13686.0</v>
      </c>
      <c r="D30" s="24">
        <f t="array" ref="D30">if(A30=B30,0,XLOOKUP(A30&amp;B30, $A:$A&amp;$B:$B, $C:$C))/25</f>
        <v>547.44</v>
      </c>
      <c r="E30" s="40"/>
    </row>
    <row r="31">
      <c r="A31" s="100" t="s">
        <v>34</v>
      </c>
      <c r="B31" s="100" t="s">
        <v>33</v>
      </c>
      <c r="C31" s="99">
        <v>156293.0</v>
      </c>
      <c r="D31" s="24">
        <f t="array" ref="D31">if(A31=B31,0,XLOOKUP(A31&amp;B31, $A:$A&amp;$B:$B, $C:$C))/25</f>
        <v>6251.72</v>
      </c>
      <c r="E31" s="40"/>
    </row>
    <row r="32">
      <c r="A32" s="100" t="s">
        <v>34</v>
      </c>
      <c r="B32" s="100" t="s">
        <v>39</v>
      </c>
      <c r="C32" s="99">
        <v>65893.0</v>
      </c>
      <c r="D32" s="24">
        <f t="array" ref="D32">if(A32=B32,0,XLOOKUP(A32&amp;B32, $A:$A&amp;$B:$B, $C:$C))/25</f>
        <v>2635.72</v>
      </c>
      <c r="E32" s="40"/>
    </row>
    <row r="33">
      <c r="A33" s="100" t="s">
        <v>34</v>
      </c>
      <c r="B33" s="100" t="s">
        <v>35</v>
      </c>
      <c r="C33" s="99">
        <v>150995.0</v>
      </c>
      <c r="D33" s="24">
        <f t="array" ref="D33">if(A33=B33,0,XLOOKUP(A33&amp;B33, $A:$A&amp;$B:$B, $C:$C))/25</f>
        <v>6039.8</v>
      </c>
      <c r="E33" s="40"/>
    </row>
    <row r="34">
      <c r="A34" s="100" t="s">
        <v>34</v>
      </c>
      <c r="B34" s="100" t="s">
        <v>40</v>
      </c>
      <c r="C34" s="99">
        <v>91971.0</v>
      </c>
      <c r="D34" s="24">
        <f t="array" ref="D34">if(A34=B34,0,XLOOKUP(A34&amp;B34, $A:$A&amp;$B:$B, $C:$C))/25</f>
        <v>3678.84</v>
      </c>
      <c r="E34" s="40"/>
    </row>
    <row r="35">
      <c r="A35" s="100" t="s">
        <v>34</v>
      </c>
      <c r="B35" s="100" t="s">
        <v>37</v>
      </c>
      <c r="C35" s="99">
        <v>103419.0</v>
      </c>
      <c r="D35" s="24">
        <f t="array" ref="D35">if(A35=B35,0,XLOOKUP(A35&amp;B35, $A:$A&amp;$B:$B, $C:$C))/25</f>
        <v>4136.76</v>
      </c>
      <c r="E35" s="40"/>
    </row>
    <row r="36">
      <c r="A36" s="100" t="s">
        <v>34</v>
      </c>
      <c r="B36" s="100" t="s">
        <v>62</v>
      </c>
      <c r="C36" s="99">
        <v>77226.0</v>
      </c>
      <c r="D36" s="24">
        <f t="array" ref="D36">if(A36=B36,0,XLOOKUP(A36&amp;B36, $A:$A&amp;$B:$B, $C:$C))/25</f>
        <v>3089.04</v>
      </c>
      <c r="E36" s="40"/>
    </row>
    <row r="37">
      <c r="A37" s="100" t="s">
        <v>34</v>
      </c>
      <c r="B37" s="100" t="s">
        <v>64</v>
      </c>
      <c r="C37" s="99">
        <v>298838.0</v>
      </c>
      <c r="D37" s="24">
        <f t="array" ref="D37">if(A37=B37,0,XLOOKUP(A37&amp;B37, $A:$A&amp;$B:$B, $C:$C))/25</f>
        <v>11953.52</v>
      </c>
      <c r="E37" s="40"/>
    </row>
    <row r="38">
      <c r="A38" s="100" t="s">
        <v>34</v>
      </c>
      <c r="B38" s="100" t="s">
        <v>63</v>
      </c>
      <c r="C38" s="99">
        <v>367254.0</v>
      </c>
      <c r="D38" s="24">
        <f t="array" ref="D38">if(A38=B38,0,XLOOKUP(A38&amp;B38, $A:$A&amp;$B:$B, $C:$C))/25</f>
        <v>14690.16</v>
      </c>
      <c r="E38" s="40"/>
    </row>
    <row r="39">
      <c r="A39" s="100" t="s">
        <v>34</v>
      </c>
      <c r="B39" s="100" t="s">
        <v>65</v>
      </c>
      <c r="C39" s="99">
        <v>32512.0</v>
      </c>
      <c r="D39" s="24">
        <f t="array" ref="D39">if(A39=B39,0,XLOOKUP(A39&amp;B39, $A:$A&amp;$B:$B, $C:$C))/25</f>
        <v>1300.48</v>
      </c>
      <c r="E39" s="40"/>
    </row>
    <row r="40">
      <c r="A40" s="100" t="s">
        <v>34</v>
      </c>
      <c r="B40" s="100" t="s">
        <v>66</v>
      </c>
      <c r="C40" s="99">
        <v>389694.0</v>
      </c>
      <c r="D40" s="24">
        <f t="array" ref="D40">if(A40=B40,0,XLOOKUP(A40&amp;B40, $A:$A&amp;$B:$B, $C:$C))/25</f>
        <v>15587.76</v>
      </c>
      <c r="E40" s="40"/>
    </row>
    <row r="41">
      <c r="A41" s="100" t="s">
        <v>34</v>
      </c>
      <c r="B41" s="100" t="s">
        <v>67</v>
      </c>
      <c r="C41" s="99">
        <v>76131.0</v>
      </c>
      <c r="D41" s="24">
        <f t="array" ref="D41">if(A41=B41,0,XLOOKUP(A41&amp;B41, $A:$A&amp;$B:$B, $C:$C))/25</f>
        <v>3045.24</v>
      </c>
      <c r="E41" s="40"/>
    </row>
    <row r="42">
      <c r="A42" s="100" t="s">
        <v>34</v>
      </c>
      <c r="B42" s="100" t="s">
        <v>68</v>
      </c>
      <c r="C42" s="99">
        <v>308565.0</v>
      </c>
      <c r="D42" s="24">
        <f t="array" ref="D42">if(A42=B42,0,XLOOKUP(A42&amp;B42, $A:$A&amp;$B:$B, $C:$C))/25</f>
        <v>12342.6</v>
      </c>
      <c r="E42" s="40"/>
    </row>
    <row r="43">
      <c r="A43" s="100" t="s">
        <v>34</v>
      </c>
      <c r="B43" s="100" t="s">
        <v>69</v>
      </c>
      <c r="C43" s="99">
        <v>108888.0</v>
      </c>
      <c r="D43" s="24">
        <f t="array" ref="D43">if(A43=B43,0,XLOOKUP(A43&amp;B43, $A:$A&amp;$B:$B, $C:$C))/25</f>
        <v>4355.52</v>
      </c>
      <c r="E43" s="40"/>
    </row>
    <row r="44">
      <c r="A44" s="100" t="s">
        <v>34</v>
      </c>
      <c r="B44" s="100" t="s">
        <v>70</v>
      </c>
      <c r="C44" s="99">
        <v>65718.0</v>
      </c>
      <c r="D44" s="24">
        <f t="array" ref="D44">if(A44=B44,0,XLOOKUP(A44&amp;B44, $A:$A&amp;$B:$B, $C:$C))/25</f>
        <v>2628.72</v>
      </c>
      <c r="E44" s="40"/>
    </row>
    <row r="45">
      <c r="A45" s="100" t="s">
        <v>34</v>
      </c>
      <c r="B45" s="100" t="s">
        <v>71</v>
      </c>
      <c r="C45" s="99">
        <v>104023.0</v>
      </c>
      <c r="D45" s="24">
        <f t="array" ref="D45">if(A45=B45,0,XLOOKUP(A45&amp;B45, $A:$A&amp;$B:$B, $C:$C))/25</f>
        <v>4160.92</v>
      </c>
      <c r="E45" s="40"/>
    </row>
    <row r="46">
      <c r="A46" s="100" t="s">
        <v>34</v>
      </c>
      <c r="B46" s="100" t="s">
        <v>72</v>
      </c>
      <c r="C46" s="99">
        <v>59731.0</v>
      </c>
      <c r="D46" s="24">
        <f t="array" ref="D46">if(A46=B46,0,XLOOKUP(A46&amp;B46, $A:$A&amp;$B:$B, $C:$C))/25</f>
        <v>2389.24</v>
      </c>
      <c r="E46" s="40"/>
    </row>
    <row r="47">
      <c r="A47" s="100" t="s">
        <v>34</v>
      </c>
      <c r="B47" s="100" t="s">
        <v>73</v>
      </c>
      <c r="C47" s="99">
        <v>101827.0</v>
      </c>
      <c r="D47" s="24">
        <f t="array" ref="D47">if(A47=B47,0,XLOOKUP(A47&amp;B47, $A:$A&amp;$B:$B, $C:$C))/25</f>
        <v>4073.08</v>
      </c>
      <c r="E47" s="40"/>
    </row>
    <row r="48">
      <c r="A48" s="100" t="s">
        <v>34</v>
      </c>
      <c r="B48" s="100" t="s">
        <v>74</v>
      </c>
      <c r="C48" s="99">
        <v>10284.0</v>
      </c>
      <c r="D48" s="24">
        <f t="array" ref="D48">if(A48=B48,0,XLOOKUP(A48&amp;B48, $A:$A&amp;$B:$B, $C:$C))/25</f>
        <v>411.36</v>
      </c>
      <c r="E48" s="40"/>
    </row>
    <row r="49">
      <c r="A49" s="100" t="s">
        <v>34</v>
      </c>
      <c r="B49" s="100" t="s">
        <v>75</v>
      </c>
      <c r="C49" s="99">
        <v>67556.0</v>
      </c>
      <c r="D49" s="24">
        <f t="array" ref="D49">if(A49=B49,0,XLOOKUP(A49&amp;B49, $A:$A&amp;$B:$B, $C:$C))/25</f>
        <v>2702.24</v>
      </c>
      <c r="E49" s="40"/>
    </row>
    <row r="50">
      <c r="A50" s="101" t="s">
        <v>36</v>
      </c>
      <c r="B50" s="101" t="s">
        <v>31</v>
      </c>
      <c r="C50" s="99">
        <v>22048.0</v>
      </c>
      <c r="D50" s="24">
        <f t="array" ref="D50">if(A50=B50,0,XLOOKUP(A50&amp;B50, $A:$A&amp;$B:$B, $C:$C))/25</f>
        <v>881.92</v>
      </c>
      <c r="E50" s="40"/>
    </row>
    <row r="51">
      <c r="A51" s="101" t="s">
        <v>36</v>
      </c>
      <c r="B51" s="101" t="s">
        <v>34</v>
      </c>
      <c r="C51" s="99">
        <v>19222.0</v>
      </c>
      <c r="D51" s="24">
        <f t="array" ref="D51">if(A51=B51,0,XLOOKUP(A51&amp;B51, $A:$A&amp;$B:$B, $C:$C))/25</f>
        <v>768.88</v>
      </c>
      <c r="E51" s="40"/>
    </row>
    <row r="52">
      <c r="A52" s="101" t="s">
        <v>36</v>
      </c>
      <c r="B52" s="101" t="s">
        <v>36</v>
      </c>
      <c r="C52" s="99">
        <v>1502284.0</v>
      </c>
      <c r="D52" s="24">
        <f t="array" ref="D52">if(A52=B52,0,XLOOKUP(A52&amp;B52, $A:$A&amp;$B:$B, $C:$C))/25</f>
        <v>0</v>
      </c>
      <c r="E52" s="40"/>
    </row>
    <row r="53">
      <c r="A53" s="101" t="s">
        <v>36</v>
      </c>
      <c r="B53" s="101" t="s">
        <v>32</v>
      </c>
      <c r="C53" s="99">
        <v>52385.0</v>
      </c>
      <c r="D53" s="24">
        <f t="array" ref="D53">if(A53=B53,0,XLOOKUP(A53&amp;B53, $A:$A&amp;$B:$B, $C:$C))/25</f>
        <v>2095.4</v>
      </c>
      <c r="E53" s="40"/>
    </row>
    <row r="54">
      <c r="A54" s="101" t="s">
        <v>36</v>
      </c>
      <c r="B54" s="101" t="s">
        <v>38</v>
      </c>
      <c r="C54" s="99">
        <v>14395.0</v>
      </c>
      <c r="D54" s="24">
        <f t="array" ref="D54">if(A54=B54,0,XLOOKUP(A54&amp;B54, $A:$A&amp;$B:$B, $C:$C))/25</f>
        <v>575.8</v>
      </c>
      <c r="E54" s="40"/>
    </row>
    <row r="55">
      <c r="A55" s="101" t="s">
        <v>36</v>
      </c>
      <c r="B55" s="101" t="s">
        <v>33</v>
      </c>
      <c r="C55" s="99">
        <v>106643.0</v>
      </c>
      <c r="D55" s="24">
        <f t="array" ref="D55">if(A55=B55,0,XLOOKUP(A55&amp;B55, $A:$A&amp;$B:$B, $C:$C))/25</f>
        <v>4265.72</v>
      </c>
      <c r="E55" s="40"/>
    </row>
    <row r="56">
      <c r="A56" s="101" t="s">
        <v>36</v>
      </c>
      <c r="B56" s="101" t="s">
        <v>39</v>
      </c>
      <c r="C56" s="99">
        <v>261982.0</v>
      </c>
      <c r="D56" s="24">
        <f t="array" ref="D56">if(A56=B56,0,XLOOKUP(A56&amp;B56, $A:$A&amp;$B:$B, $C:$C))/25</f>
        <v>10479.28</v>
      </c>
      <c r="E56" s="40"/>
    </row>
    <row r="57">
      <c r="A57" s="101" t="s">
        <v>36</v>
      </c>
      <c r="B57" s="101" t="s">
        <v>35</v>
      </c>
      <c r="C57" s="99">
        <v>126034.0</v>
      </c>
      <c r="D57" s="24">
        <f t="array" ref="D57">if(A57=B57,0,XLOOKUP(A57&amp;B57, $A:$A&amp;$B:$B, $C:$C))/25</f>
        <v>5041.36</v>
      </c>
      <c r="E57" s="40"/>
    </row>
    <row r="58">
      <c r="A58" s="101" t="s">
        <v>36</v>
      </c>
      <c r="B58" s="101" t="s">
        <v>40</v>
      </c>
      <c r="C58" s="99">
        <v>21049.0</v>
      </c>
      <c r="D58" s="24">
        <f t="array" ref="D58">if(A58=B58,0,XLOOKUP(A58&amp;B58, $A:$A&amp;$B:$B, $C:$C))/25</f>
        <v>841.96</v>
      </c>
      <c r="E58" s="40"/>
    </row>
    <row r="59">
      <c r="A59" s="101" t="s">
        <v>36</v>
      </c>
      <c r="B59" s="101" t="s">
        <v>37</v>
      </c>
      <c r="C59" s="99">
        <v>60376.0</v>
      </c>
      <c r="D59" s="24">
        <f t="array" ref="D59">if(A59=B59,0,XLOOKUP(A59&amp;B59, $A:$A&amp;$B:$B, $C:$C))/25</f>
        <v>2415.04</v>
      </c>
      <c r="E59" s="40"/>
    </row>
    <row r="60">
      <c r="A60" s="101" t="s">
        <v>36</v>
      </c>
      <c r="B60" s="101" t="s">
        <v>62</v>
      </c>
      <c r="C60" s="99">
        <v>84873.0</v>
      </c>
      <c r="D60" s="24">
        <f t="array" ref="D60">if(A60=B60,0,XLOOKUP(A60&amp;B60, $A:$A&amp;$B:$B, $C:$C))/25</f>
        <v>3394.92</v>
      </c>
      <c r="E60" s="40"/>
    </row>
    <row r="61">
      <c r="A61" s="101" t="s">
        <v>36</v>
      </c>
      <c r="B61" s="101" t="s">
        <v>64</v>
      </c>
      <c r="C61" s="99">
        <v>402975.0</v>
      </c>
      <c r="D61" s="24">
        <f t="array" ref="D61">if(A61=B61,0,XLOOKUP(A61&amp;B61, $A:$A&amp;$B:$B, $C:$C))/25</f>
        <v>16119</v>
      </c>
      <c r="E61" s="40"/>
    </row>
    <row r="62">
      <c r="A62" s="101" t="s">
        <v>36</v>
      </c>
      <c r="B62" s="101" t="s">
        <v>63</v>
      </c>
      <c r="C62" s="99">
        <v>386004.0</v>
      </c>
      <c r="D62" s="24">
        <f t="array" ref="D62">if(A62=B62,0,XLOOKUP(A62&amp;B62, $A:$A&amp;$B:$B, $C:$C))/25</f>
        <v>15440.16</v>
      </c>
      <c r="E62" s="40"/>
    </row>
    <row r="63">
      <c r="A63" s="101" t="s">
        <v>36</v>
      </c>
      <c r="B63" s="101" t="s">
        <v>65</v>
      </c>
      <c r="C63" s="99">
        <v>46922.0</v>
      </c>
      <c r="D63" s="24">
        <f t="array" ref="D63">if(A63=B63,0,XLOOKUP(A63&amp;B63, $A:$A&amp;$B:$B, $C:$C))/25</f>
        <v>1876.88</v>
      </c>
      <c r="E63" s="40"/>
    </row>
    <row r="64">
      <c r="A64" s="101" t="s">
        <v>36</v>
      </c>
      <c r="B64" s="101" t="s">
        <v>66</v>
      </c>
      <c r="C64" s="99">
        <v>1133946.0</v>
      </c>
      <c r="D64" s="24">
        <f t="array" ref="D64">if(A64=B64,0,XLOOKUP(A64&amp;B64, $A:$A&amp;$B:$B, $C:$C))/25</f>
        <v>45357.84</v>
      </c>
      <c r="E64" s="40"/>
    </row>
    <row r="65">
      <c r="A65" s="101" t="s">
        <v>36</v>
      </c>
      <c r="B65" s="101" t="s">
        <v>67</v>
      </c>
      <c r="C65" s="99">
        <v>27655.0</v>
      </c>
      <c r="D65" s="24">
        <f t="array" ref="D65">if(A65=B65,0,XLOOKUP(A65&amp;B65, $A:$A&amp;$B:$B, $C:$C))/25</f>
        <v>1106.2</v>
      </c>
      <c r="E65" s="40"/>
    </row>
    <row r="66">
      <c r="A66" s="101" t="s">
        <v>36</v>
      </c>
      <c r="B66" s="101" t="s">
        <v>68</v>
      </c>
      <c r="C66" s="99">
        <v>129330.0</v>
      </c>
      <c r="D66" s="24">
        <f t="array" ref="D66">if(A66=B66,0,XLOOKUP(A66&amp;B66, $A:$A&amp;$B:$B, $C:$C))/25</f>
        <v>5173.2</v>
      </c>
      <c r="E66" s="40"/>
    </row>
    <row r="67">
      <c r="A67" s="101" t="s">
        <v>36</v>
      </c>
      <c r="B67" s="101" t="s">
        <v>69</v>
      </c>
      <c r="C67" s="99">
        <v>7420.0</v>
      </c>
      <c r="D67" s="24">
        <f t="array" ref="D67">if(A67=B67,0,XLOOKUP(A67&amp;B67, $A:$A&amp;$B:$B, $C:$C))/25</f>
        <v>296.8</v>
      </c>
      <c r="E67" s="40"/>
    </row>
    <row r="68">
      <c r="A68" s="101" t="s">
        <v>36</v>
      </c>
      <c r="B68" s="101" t="s">
        <v>70</v>
      </c>
      <c r="C68" s="99">
        <v>41269.0</v>
      </c>
      <c r="D68" s="24">
        <f t="array" ref="D68">if(A68=B68,0,XLOOKUP(A68&amp;B68, $A:$A&amp;$B:$B, $C:$C))/25</f>
        <v>1650.76</v>
      </c>
      <c r="E68" s="40"/>
    </row>
    <row r="69">
      <c r="A69" s="101" t="s">
        <v>36</v>
      </c>
      <c r="B69" s="101" t="s">
        <v>71</v>
      </c>
      <c r="C69" s="99">
        <v>88729.0</v>
      </c>
      <c r="D69" s="24">
        <f t="array" ref="D69">if(A69=B69,0,XLOOKUP(A69&amp;B69, $A:$A&amp;$B:$B, $C:$C))/25</f>
        <v>3549.16</v>
      </c>
      <c r="E69" s="40"/>
    </row>
    <row r="70">
      <c r="A70" s="101" t="s">
        <v>36</v>
      </c>
      <c r="B70" s="101" t="s">
        <v>72</v>
      </c>
      <c r="C70" s="99">
        <v>41247.0</v>
      </c>
      <c r="D70" s="24">
        <f t="array" ref="D70">if(A70=B70,0,XLOOKUP(A70&amp;B70, $A:$A&amp;$B:$B, $C:$C))/25</f>
        <v>1649.88</v>
      </c>
      <c r="E70" s="40"/>
    </row>
    <row r="71">
      <c r="A71" s="101" t="s">
        <v>36</v>
      </c>
      <c r="B71" s="101" t="s">
        <v>73</v>
      </c>
      <c r="C71" s="99">
        <v>79370.0</v>
      </c>
      <c r="D71" s="24">
        <f t="array" ref="D71">if(A71=B71,0,XLOOKUP(A71&amp;B71, $A:$A&amp;$B:$B, $C:$C))/25</f>
        <v>3174.8</v>
      </c>
      <c r="E71" s="40"/>
    </row>
    <row r="72">
      <c r="A72" s="101" t="s">
        <v>36</v>
      </c>
      <c r="B72" s="101" t="s">
        <v>74</v>
      </c>
      <c r="C72" s="99">
        <v>3716.0</v>
      </c>
      <c r="D72" s="24">
        <f t="array" ref="D72">if(A72=B72,0,XLOOKUP(A72&amp;B72, $A:$A&amp;$B:$B, $C:$C))/25</f>
        <v>148.64</v>
      </c>
      <c r="E72" s="40"/>
    </row>
    <row r="73">
      <c r="A73" s="101" t="s">
        <v>36</v>
      </c>
      <c r="B73" s="101" t="s">
        <v>75</v>
      </c>
      <c r="C73" s="99">
        <v>30965.0</v>
      </c>
      <c r="D73" s="24">
        <f t="array" ref="D73">if(A73=B73,0,XLOOKUP(A73&amp;B73, $A:$A&amp;$B:$B, $C:$C))/25</f>
        <v>1238.6</v>
      </c>
      <c r="E73" s="40"/>
    </row>
    <row r="74">
      <c r="A74" s="102" t="s">
        <v>32</v>
      </c>
      <c r="B74" s="102" t="s">
        <v>31</v>
      </c>
      <c r="C74" s="99">
        <v>71947.0</v>
      </c>
      <c r="D74" s="24">
        <f t="array" ref="D74">if(A74=B74,0,XLOOKUP(A74&amp;B74, $A:$A&amp;$B:$B, $C:$C))/25</f>
        <v>2877.88</v>
      </c>
      <c r="E74" s="40"/>
    </row>
    <row r="75">
      <c r="A75" s="102" t="s">
        <v>32</v>
      </c>
      <c r="B75" s="102" t="s">
        <v>34</v>
      </c>
      <c r="C75" s="99">
        <v>70934.0</v>
      </c>
      <c r="D75" s="24">
        <f t="array" ref="D75">if(A75=B75,0,XLOOKUP(A75&amp;B75, $A:$A&amp;$B:$B, $C:$C))/25</f>
        <v>2837.36</v>
      </c>
      <c r="E75" s="40"/>
    </row>
    <row r="76">
      <c r="A76" s="102" t="s">
        <v>32</v>
      </c>
      <c r="B76" s="102" t="s">
        <v>36</v>
      </c>
      <c r="C76" s="99">
        <v>58516.0</v>
      </c>
      <c r="D76" s="24">
        <f t="array" ref="D76">if(A76=B76,0,XLOOKUP(A76&amp;B76, $A:$A&amp;$B:$B, $C:$C))/25</f>
        <v>2340.64</v>
      </c>
      <c r="E76" s="40"/>
    </row>
    <row r="77">
      <c r="A77" s="102" t="s">
        <v>32</v>
      </c>
      <c r="B77" s="102" t="s">
        <v>32</v>
      </c>
      <c r="C77" s="99">
        <v>738186.0</v>
      </c>
      <c r="D77" s="24">
        <f t="array" ref="D77">if(A77=B77,0,XLOOKUP(A77&amp;B77, $A:$A&amp;$B:$B, $C:$C))/25</f>
        <v>0</v>
      </c>
      <c r="E77" s="40"/>
    </row>
    <row r="78">
      <c r="A78" s="102" t="s">
        <v>32</v>
      </c>
      <c r="B78" s="102" t="s">
        <v>38</v>
      </c>
      <c r="C78" s="99">
        <v>33671.0</v>
      </c>
      <c r="D78" s="24">
        <f t="array" ref="D78">if(A78=B78,0,XLOOKUP(A78&amp;B78, $A:$A&amp;$B:$B, $C:$C))/25</f>
        <v>1346.84</v>
      </c>
      <c r="E78" s="40"/>
    </row>
    <row r="79">
      <c r="A79" s="102" t="s">
        <v>32</v>
      </c>
      <c r="B79" s="102" t="s">
        <v>33</v>
      </c>
      <c r="C79" s="99">
        <v>197442.0</v>
      </c>
      <c r="D79" s="24">
        <f t="array" ref="D79">if(A79=B79,0,XLOOKUP(A79&amp;B79, $A:$A&amp;$B:$B, $C:$C))/25</f>
        <v>7897.68</v>
      </c>
      <c r="E79" s="40"/>
    </row>
    <row r="80">
      <c r="A80" s="102" t="s">
        <v>32</v>
      </c>
      <c r="B80" s="102" t="s">
        <v>39</v>
      </c>
      <c r="C80" s="99">
        <v>75595.0</v>
      </c>
      <c r="D80" s="24">
        <f t="array" ref="D80">if(A80=B80,0,XLOOKUP(A80&amp;B80, $A:$A&amp;$B:$B, $C:$C))/25</f>
        <v>3023.8</v>
      </c>
      <c r="E80" s="40"/>
    </row>
    <row r="81">
      <c r="A81" s="102" t="s">
        <v>32</v>
      </c>
      <c r="B81" s="102" t="s">
        <v>35</v>
      </c>
      <c r="C81" s="99">
        <v>392480.0</v>
      </c>
      <c r="D81" s="24">
        <f t="array" ref="D81">if(A81=B81,0,XLOOKUP(A81&amp;B81, $A:$A&amp;$B:$B, $C:$C))/25</f>
        <v>15699.2</v>
      </c>
      <c r="E81" s="40"/>
    </row>
    <row r="82">
      <c r="A82" s="102" t="s">
        <v>32</v>
      </c>
      <c r="B82" s="102" t="s">
        <v>40</v>
      </c>
      <c r="C82" s="99">
        <v>62604.0</v>
      </c>
      <c r="D82" s="24">
        <f t="array" ref="D82">if(A82=B82,0,XLOOKUP(A82&amp;B82, $A:$A&amp;$B:$B, $C:$C))/25</f>
        <v>2504.16</v>
      </c>
      <c r="E82" s="40"/>
    </row>
    <row r="83">
      <c r="A83" s="102" t="s">
        <v>32</v>
      </c>
      <c r="B83" s="102" t="s">
        <v>37</v>
      </c>
      <c r="C83" s="99">
        <v>309685.0</v>
      </c>
      <c r="D83" s="24">
        <f t="array" ref="D83">if(A83=B83,0,XLOOKUP(A83&amp;B83, $A:$A&amp;$B:$B, $C:$C))/25</f>
        <v>12387.4</v>
      </c>
      <c r="E83" s="40"/>
    </row>
    <row r="84">
      <c r="A84" s="102" t="s">
        <v>32</v>
      </c>
      <c r="B84" s="102" t="s">
        <v>62</v>
      </c>
      <c r="C84" s="99">
        <v>127142.0</v>
      </c>
      <c r="D84" s="24">
        <f t="array" ref="D84">if(A84=B84,0,XLOOKUP(A84&amp;B84, $A:$A&amp;$B:$B, $C:$C))/25</f>
        <v>5085.68</v>
      </c>
      <c r="E84" s="40"/>
    </row>
    <row r="85">
      <c r="A85" s="102" t="s">
        <v>32</v>
      </c>
      <c r="B85" s="102" t="s">
        <v>64</v>
      </c>
      <c r="C85" s="99">
        <v>414437.0</v>
      </c>
      <c r="D85" s="24">
        <f t="array" ref="D85">if(A85=B85,0,XLOOKUP(A85&amp;B85, $A:$A&amp;$B:$B, $C:$C))/25</f>
        <v>16577.48</v>
      </c>
      <c r="E85" s="40"/>
    </row>
    <row r="86">
      <c r="A86" s="102" t="s">
        <v>32</v>
      </c>
      <c r="B86" s="102" t="s">
        <v>63</v>
      </c>
      <c r="C86" s="99">
        <v>570306.0</v>
      </c>
      <c r="D86" s="24">
        <f t="array" ref="D86">if(A86=B86,0,XLOOKUP(A86&amp;B86, $A:$A&amp;$B:$B, $C:$C))/25</f>
        <v>22812.24</v>
      </c>
      <c r="E86" s="40"/>
    </row>
    <row r="87">
      <c r="A87" s="102" t="s">
        <v>32</v>
      </c>
      <c r="B87" s="102" t="s">
        <v>65</v>
      </c>
      <c r="C87" s="99">
        <v>44484.0</v>
      </c>
      <c r="D87" s="24">
        <f t="array" ref="D87">if(A87=B87,0,XLOOKUP(A87&amp;B87, $A:$A&amp;$B:$B, $C:$C))/25</f>
        <v>1779.36</v>
      </c>
      <c r="E87" s="40"/>
    </row>
    <row r="88">
      <c r="A88" s="102" t="s">
        <v>32</v>
      </c>
      <c r="B88" s="102" t="s">
        <v>66</v>
      </c>
      <c r="C88" s="99">
        <v>506770.0</v>
      </c>
      <c r="D88" s="24">
        <f t="array" ref="D88">if(A88=B88,0,XLOOKUP(A88&amp;B88, $A:$A&amp;$B:$B, $C:$C))/25</f>
        <v>20270.8</v>
      </c>
      <c r="E88" s="40"/>
    </row>
    <row r="89">
      <c r="A89" s="102" t="s">
        <v>32</v>
      </c>
      <c r="B89" s="102" t="s">
        <v>67</v>
      </c>
      <c r="C89" s="99">
        <v>66789.0</v>
      </c>
      <c r="D89" s="24">
        <f t="array" ref="D89">if(A89=B89,0,XLOOKUP(A89&amp;B89, $A:$A&amp;$B:$B, $C:$C))/25</f>
        <v>2671.56</v>
      </c>
      <c r="E89" s="40"/>
    </row>
    <row r="90">
      <c r="A90" s="102" t="s">
        <v>32</v>
      </c>
      <c r="B90" s="102" t="s">
        <v>68</v>
      </c>
      <c r="C90" s="99">
        <v>222463.0</v>
      </c>
      <c r="D90" s="24">
        <f t="array" ref="D90">if(A90=B90,0,XLOOKUP(A90&amp;B90, $A:$A&amp;$B:$B, $C:$C))/25</f>
        <v>8898.52</v>
      </c>
      <c r="E90" s="40"/>
    </row>
    <row r="91">
      <c r="A91" s="102" t="s">
        <v>32</v>
      </c>
      <c r="B91" s="102" t="s">
        <v>69</v>
      </c>
      <c r="C91" s="99">
        <v>22527.0</v>
      </c>
      <c r="D91" s="24">
        <f t="array" ref="D91">if(A91=B91,0,XLOOKUP(A91&amp;B91, $A:$A&amp;$B:$B, $C:$C))/25</f>
        <v>901.08</v>
      </c>
      <c r="E91" s="40"/>
    </row>
    <row r="92">
      <c r="A92" s="102" t="s">
        <v>32</v>
      </c>
      <c r="B92" s="102" t="s">
        <v>70</v>
      </c>
      <c r="C92" s="99">
        <v>129005.0</v>
      </c>
      <c r="D92" s="24">
        <f t="array" ref="D92">if(A92=B92,0,XLOOKUP(A92&amp;B92, $A:$A&amp;$B:$B, $C:$C))/25</f>
        <v>5160.2</v>
      </c>
      <c r="E92" s="40"/>
    </row>
    <row r="93">
      <c r="A93" s="102" t="s">
        <v>32</v>
      </c>
      <c r="B93" s="102" t="s">
        <v>71</v>
      </c>
      <c r="C93" s="99">
        <v>98274.0</v>
      </c>
      <c r="D93" s="24">
        <f t="array" ref="D93">if(A93=B93,0,XLOOKUP(A93&amp;B93, $A:$A&amp;$B:$B, $C:$C))/25</f>
        <v>3930.96</v>
      </c>
      <c r="E93" s="40"/>
    </row>
    <row r="94">
      <c r="A94" s="102" t="s">
        <v>32</v>
      </c>
      <c r="B94" s="102" t="s">
        <v>72</v>
      </c>
      <c r="C94" s="99">
        <v>71150.0</v>
      </c>
      <c r="D94" s="24">
        <f t="array" ref="D94">if(A94=B94,0,XLOOKUP(A94&amp;B94, $A:$A&amp;$B:$B, $C:$C))/25</f>
        <v>2846</v>
      </c>
      <c r="E94" s="40"/>
    </row>
    <row r="95">
      <c r="A95" s="102" t="s">
        <v>32</v>
      </c>
      <c r="B95" s="102" t="s">
        <v>73</v>
      </c>
      <c r="C95" s="99">
        <v>125886.0</v>
      </c>
      <c r="D95" s="24">
        <f t="array" ref="D95">if(A95=B95,0,XLOOKUP(A95&amp;B95, $A:$A&amp;$B:$B, $C:$C))/25</f>
        <v>5035.44</v>
      </c>
      <c r="E95" s="40"/>
    </row>
    <row r="96">
      <c r="A96" s="102" t="s">
        <v>32</v>
      </c>
      <c r="B96" s="102" t="s">
        <v>74</v>
      </c>
      <c r="C96" s="99">
        <v>6720.0</v>
      </c>
      <c r="D96" s="24">
        <f t="array" ref="D96">if(A96=B96,0,XLOOKUP(A96&amp;B96, $A:$A&amp;$B:$B, $C:$C))/25</f>
        <v>268.8</v>
      </c>
      <c r="E96" s="40"/>
    </row>
    <row r="97">
      <c r="A97" s="102" t="s">
        <v>32</v>
      </c>
      <c r="B97" s="102" t="s">
        <v>75</v>
      </c>
      <c r="C97" s="99">
        <v>48909.0</v>
      </c>
      <c r="D97" s="24">
        <f t="array" ref="D97">if(A97=B97,0,XLOOKUP(A97&amp;B97, $A:$A&amp;$B:$B, $C:$C))/25</f>
        <v>1956.36</v>
      </c>
      <c r="E97" s="40"/>
    </row>
    <row r="98">
      <c r="A98" s="103" t="s">
        <v>38</v>
      </c>
      <c r="B98" s="103" t="s">
        <v>31</v>
      </c>
      <c r="C98" s="99">
        <v>47914.0</v>
      </c>
      <c r="D98" s="24">
        <f t="array" ref="D98">if(A98=B98,0,XLOOKUP(A98&amp;B98, $A:$A&amp;$B:$B, $C:$C))/25</f>
        <v>1916.56</v>
      </c>
      <c r="E98" s="40"/>
    </row>
    <row r="99">
      <c r="A99" s="103" t="s">
        <v>38</v>
      </c>
      <c r="B99" s="103" t="s">
        <v>34</v>
      </c>
      <c r="C99" s="99">
        <v>11342.0</v>
      </c>
      <c r="D99" s="24">
        <f t="array" ref="D99">if(A99=B99,0,XLOOKUP(A99&amp;B99, $A:$A&amp;$B:$B, $C:$C))/25</f>
        <v>453.68</v>
      </c>
      <c r="E99" s="40"/>
    </row>
    <row r="100">
      <c r="A100" s="103" t="s">
        <v>38</v>
      </c>
      <c r="B100" s="103" t="s">
        <v>36</v>
      </c>
      <c r="C100" s="99">
        <v>20527.0</v>
      </c>
      <c r="D100" s="24">
        <f t="array" ref="D100">if(A100=B100,0,XLOOKUP(A100&amp;B100, $A:$A&amp;$B:$B, $C:$C))/25</f>
        <v>821.08</v>
      </c>
      <c r="E100" s="40"/>
    </row>
    <row r="101">
      <c r="A101" s="103" t="s">
        <v>38</v>
      </c>
      <c r="B101" s="103" t="s">
        <v>32</v>
      </c>
      <c r="C101" s="99">
        <v>96740.0</v>
      </c>
      <c r="D101" s="24">
        <f t="array" ref="D101">if(A101=B101,0,XLOOKUP(A101&amp;B101, $A:$A&amp;$B:$B, $C:$C))/25</f>
        <v>3869.6</v>
      </c>
      <c r="E101" s="40"/>
    </row>
    <row r="102">
      <c r="A102" s="103" t="s">
        <v>38</v>
      </c>
      <c r="B102" s="103" t="s">
        <v>38</v>
      </c>
      <c r="C102" s="99">
        <v>540138.0</v>
      </c>
      <c r="D102" s="24">
        <f t="array" ref="D102">if(A102=B102,0,XLOOKUP(A102&amp;B102, $A:$A&amp;$B:$B, $C:$C))/25</f>
        <v>0</v>
      </c>
      <c r="E102" s="40"/>
    </row>
    <row r="103">
      <c r="A103" s="103" t="s">
        <v>38</v>
      </c>
      <c r="B103" s="103" t="s">
        <v>33</v>
      </c>
      <c r="C103" s="99">
        <v>135014.0</v>
      </c>
      <c r="D103" s="24">
        <f t="array" ref="D103">if(A103=B103,0,XLOOKUP(A103&amp;B103, $A:$A&amp;$B:$B, $C:$C))/25</f>
        <v>5400.56</v>
      </c>
      <c r="E103" s="40"/>
    </row>
    <row r="104">
      <c r="A104" s="103" t="s">
        <v>38</v>
      </c>
      <c r="B104" s="103" t="s">
        <v>39</v>
      </c>
      <c r="C104" s="99">
        <v>24438.0</v>
      </c>
      <c r="D104" s="24">
        <f t="array" ref="D104">if(A104=B104,0,XLOOKUP(A104&amp;B104, $A:$A&amp;$B:$B, $C:$C))/25</f>
        <v>977.52</v>
      </c>
      <c r="E104" s="40"/>
    </row>
    <row r="105">
      <c r="A105" s="103" t="s">
        <v>38</v>
      </c>
      <c r="B105" s="103" t="s">
        <v>35</v>
      </c>
      <c r="C105" s="99">
        <v>509109.0</v>
      </c>
      <c r="D105" s="24">
        <f t="array" ref="D105">if(A105=B105,0,XLOOKUP(A105&amp;B105, $A:$A&amp;$B:$B, $C:$C))/25</f>
        <v>20364.36</v>
      </c>
      <c r="E105" s="40"/>
    </row>
    <row r="106">
      <c r="A106" s="103" t="s">
        <v>38</v>
      </c>
      <c r="B106" s="103" t="s">
        <v>40</v>
      </c>
      <c r="C106" s="99">
        <v>29780.0</v>
      </c>
      <c r="D106" s="24">
        <f t="array" ref="D106">if(A106=B106,0,XLOOKUP(A106&amp;B106, $A:$A&amp;$B:$B, $C:$C))/25</f>
        <v>1191.2</v>
      </c>
      <c r="E106" s="40"/>
    </row>
    <row r="107">
      <c r="A107" s="103" t="s">
        <v>38</v>
      </c>
      <c r="B107" s="103" t="s">
        <v>37</v>
      </c>
      <c r="C107" s="99">
        <v>147788.0</v>
      </c>
      <c r="D107" s="24">
        <f t="array" ref="D107">if(A107=B107,0,XLOOKUP(A107&amp;B107, $A:$A&amp;$B:$B, $C:$C))/25</f>
        <v>5911.52</v>
      </c>
      <c r="E107" s="40"/>
    </row>
    <row r="108">
      <c r="A108" s="103" t="s">
        <v>38</v>
      </c>
      <c r="B108" s="103" t="s">
        <v>62</v>
      </c>
      <c r="C108" s="99">
        <v>94841.0</v>
      </c>
      <c r="D108" s="24">
        <f t="array" ref="D108">if(A108=B108,0,XLOOKUP(A108&amp;B108, $A:$A&amp;$B:$B, $C:$C))/25</f>
        <v>3793.64</v>
      </c>
      <c r="E108" s="40"/>
    </row>
    <row r="109">
      <c r="A109" s="103" t="s">
        <v>38</v>
      </c>
      <c r="B109" s="103" t="s">
        <v>64</v>
      </c>
      <c r="C109" s="99">
        <v>233122.0</v>
      </c>
      <c r="D109" s="24">
        <f t="array" ref="D109">if(A109=B109,0,XLOOKUP(A109&amp;B109, $A:$A&amp;$B:$B, $C:$C))/25</f>
        <v>9324.88</v>
      </c>
      <c r="E109" s="40"/>
    </row>
    <row r="110">
      <c r="A110" s="103" t="s">
        <v>38</v>
      </c>
      <c r="B110" s="103" t="s">
        <v>63</v>
      </c>
      <c r="C110" s="99">
        <v>424879.0</v>
      </c>
      <c r="D110" s="24">
        <f t="array" ref="D110">if(A110=B110,0,XLOOKUP(A110&amp;B110, $A:$A&amp;$B:$B, $C:$C))/25</f>
        <v>16995.16</v>
      </c>
      <c r="E110" s="40"/>
    </row>
    <row r="111">
      <c r="A111" s="103" t="s">
        <v>38</v>
      </c>
      <c r="B111" s="103" t="s">
        <v>65</v>
      </c>
      <c r="C111" s="99">
        <v>24467.0</v>
      </c>
      <c r="D111" s="24">
        <f t="array" ref="D111">if(A111=B111,0,XLOOKUP(A111&amp;B111, $A:$A&amp;$B:$B, $C:$C))/25</f>
        <v>978.68</v>
      </c>
      <c r="E111" s="40"/>
    </row>
    <row r="112">
      <c r="A112" s="103" t="s">
        <v>38</v>
      </c>
      <c r="B112" s="103" t="s">
        <v>66</v>
      </c>
      <c r="C112" s="99">
        <v>206775.0</v>
      </c>
      <c r="D112" s="24">
        <f t="array" ref="D112">if(A112=B112,0,XLOOKUP(A112&amp;B112, $A:$A&amp;$B:$B, $C:$C))/25</f>
        <v>8271</v>
      </c>
      <c r="E112" s="40"/>
    </row>
    <row r="113">
      <c r="A113" s="103" t="s">
        <v>38</v>
      </c>
      <c r="B113" s="103" t="s">
        <v>67</v>
      </c>
      <c r="C113" s="99">
        <v>11519.0</v>
      </c>
      <c r="D113" s="24">
        <f t="array" ref="D113">if(A113=B113,0,XLOOKUP(A113&amp;B113, $A:$A&amp;$B:$B, $C:$C))/25</f>
        <v>460.76</v>
      </c>
      <c r="E113" s="40"/>
    </row>
    <row r="114">
      <c r="A114" s="103" t="s">
        <v>38</v>
      </c>
      <c r="B114" s="103" t="s">
        <v>68</v>
      </c>
      <c r="C114" s="99">
        <v>50132.0</v>
      </c>
      <c r="D114" s="24">
        <f t="array" ref="D114">if(A114=B114,0,XLOOKUP(A114&amp;B114, $A:$A&amp;$B:$B, $C:$C))/25</f>
        <v>2005.28</v>
      </c>
      <c r="E114" s="40"/>
    </row>
    <row r="115">
      <c r="A115" s="103" t="s">
        <v>38</v>
      </c>
      <c r="B115" s="103" t="s">
        <v>69</v>
      </c>
      <c r="C115" s="99">
        <v>4097.0</v>
      </c>
      <c r="D115" s="24">
        <f t="array" ref="D115">if(A115=B115,0,XLOOKUP(A115&amp;B115, $A:$A&amp;$B:$B, $C:$C))/25</f>
        <v>163.88</v>
      </c>
      <c r="E115" s="40"/>
    </row>
    <row r="116">
      <c r="A116" s="103" t="s">
        <v>38</v>
      </c>
      <c r="B116" s="103" t="s">
        <v>70</v>
      </c>
      <c r="C116" s="99">
        <v>104784.0</v>
      </c>
      <c r="D116" s="24">
        <f t="array" ref="D116">if(A116=B116,0,XLOOKUP(A116&amp;B116, $A:$A&amp;$B:$B, $C:$C))/25</f>
        <v>4191.36</v>
      </c>
      <c r="E116" s="40"/>
    </row>
    <row r="117">
      <c r="A117" s="103" t="s">
        <v>38</v>
      </c>
      <c r="B117" s="103" t="s">
        <v>71</v>
      </c>
      <c r="C117" s="99">
        <v>41628.0</v>
      </c>
      <c r="D117" s="24">
        <f t="array" ref="D117">if(A117=B117,0,XLOOKUP(A117&amp;B117, $A:$A&amp;$B:$B, $C:$C))/25</f>
        <v>1665.12</v>
      </c>
      <c r="E117" s="40"/>
    </row>
    <row r="118">
      <c r="A118" s="103" t="s">
        <v>38</v>
      </c>
      <c r="B118" s="103" t="s">
        <v>72</v>
      </c>
      <c r="C118" s="99">
        <v>41581.0</v>
      </c>
      <c r="D118" s="24">
        <f t="array" ref="D118">if(A118=B118,0,XLOOKUP(A118&amp;B118, $A:$A&amp;$B:$B, $C:$C))/25</f>
        <v>1663.24</v>
      </c>
      <c r="E118" s="40"/>
    </row>
    <row r="119">
      <c r="A119" s="103" t="s">
        <v>38</v>
      </c>
      <c r="B119" s="103" t="s">
        <v>73</v>
      </c>
      <c r="C119" s="99">
        <v>27076.0</v>
      </c>
      <c r="D119" s="24">
        <f t="array" ref="D119">if(A119=B119,0,XLOOKUP(A119&amp;B119, $A:$A&amp;$B:$B, $C:$C))/25</f>
        <v>1083.04</v>
      </c>
      <c r="E119" s="40"/>
    </row>
    <row r="120">
      <c r="A120" s="103" t="s">
        <v>38</v>
      </c>
      <c r="B120" s="103" t="s">
        <v>74</v>
      </c>
      <c r="C120" s="99">
        <v>2676.0</v>
      </c>
      <c r="D120" s="24">
        <f t="array" ref="D120">if(A120=B120,0,XLOOKUP(A120&amp;B120, $A:$A&amp;$B:$B, $C:$C))/25</f>
        <v>107.04</v>
      </c>
      <c r="E120" s="40"/>
    </row>
    <row r="121">
      <c r="A121" s="103" t="s">
        <v>38</v>
      </c>
      <c r="B121" s="103" t="s">
        <v>75</v>
      </c>
      <c r="C121" s="99">
        <v>24678.0</v>
      </c>
      <c r="D121" s="24">
        <f t="array" ref="D121">if(A121=B121,0,XLOOKUP(A121&amp;B121, $A:$A&amp;$B:$B, $C:$C))/25</f>
        <v>987.12</v>
      </c>
      <c r="E121" s="40"/>
    </row>
    <row r="122">
      <c r="A122" s="104" t="s">
        <v>33</v>
      </c>
      <c r="B122" s="104" t="s">
        <v>31</v>
      </c>
      <c r="C122" s="99">
        <v>58365.0</v>
      </c>
      <c r="D122" s="24">
        <f t="array" ref="D122">if(A122=B122,0,XLOOKUP(A122&amp;B122, $A:$A&amp;$B:$B, $C:$C))/25</f>
        <v>2334.6</v>
      </c>
      <c r="E122" s="40"/>
    </row>
    <row r="123">
      <c r="A123" s="104" t="s">
        <v>33</v>
      </c>
      <c r="B123" s="104" t="s">
        <v>34</v>
      </c>
      <c r="C123" s="99">
        <v>57134.0</v>
      </c>
      <c r="D123" s="24">
        <f t="array" ref="D123">if(A123=B123,0,XLOOKUP(A123&amp;B123, $A:$A&amp;$B:$B, $C:$C))/25</f>
        <v>2285.36</v>
      </c>
      <c r="E123" s="40"/>
    </row>
    <row r="124">
      <c r="A124" s="104" t="s">
        <v>33</v>
      </c>
      <c r="B124" s="104" t="s">
        <v>36</v>
      </c>
      <c r="C124" s="99">
        <v>54833.0</v>
      </c>
      <c r="D124" s="24">
        <f t="array" ref="D124">if(A124=B124,0,XLOOKUP(A124&amp;B124, $A:$A&amp;$B:$B, $C:$C))/25</f>
        <v>2193.32</v>
      </c>
      <c r="E124" s="40"/>
    </row>
    <row r="125">
      <c r="A125" s="104" t="s">
        <v>33</v>
      </c>
      <c r="B125" s="104" t="s">
        <v>32</v>
      </c>
      <c r="C125" s="99">
        <v>256014.0</v>
      </c>
      <c r="D125" s="24">
        <f t="array" ref="D125">if(A125=B125,0,XLOOKUP(A125&amp;B125, $A:$A&amp;$B:$B, $C:$C))/25</f>
        <v>10240.56</v>
      </c>
      <c r="E125" s="40"/>
    </row>
    <row r="126">
      <c r="A126" s="104" t="s">
        <v>33</v>
      </c>
      <c r="B126" s="104" t="s">
        <v>38</v>
      </c>
      <c r="C126" s="99">
        <v>67339.0</v>
      </c>
      <c r="D126" s="24">
        <f t="array" ref="D126">if(A126=B126,0,XLOOKUP(A126&amp;B126, $A:$A&amp;$B:$B, $C:$C))/25</f>
        <v>2693.56</v>
      </c>
      <c r="E126" s="40"/>
    </row>
    <row r="127">
      <c r="A127" s="104" t="s">
        <v>33</v>
      </c>
      <c r="B127" s="104" t="s">
        <v>33</v>
      </c>
      <c r="C127" s="99">
        <v>3852634.0</v>
      </c>
      <c r="D127" s="24">
        <f t="array" ref="D127">if(A127=B127,0,XLOOKUP(A127&amp;B127, $A:$A&amp;$B:$B, $C:$C))/25</f>
        <v>0</v>
      </c>
      <c r="E127" s="40"/>
    </row>
    <row r="128">
      <c r="A128" s="104" t="s">
        <v>33</v>
      </c>
      <c r="B128" s="104" t="s">
        <v>39</v>
      </c>
      <c r="C128" s="99">
        <v>63383.0</v>
      </c>
      <c r="D128" s="24">
        <f t="array" ref="D128">if(A128=B128,0,XLOOKUP(A128&amp;B128, $A:$A&amp;$B:$B, $C:$C))/25</f>
        <v>2535.32</v>
      </c>
      <c r="E128" s="40"/>
    </row>
    <row r="129">
      <c r="A129" s="104" t="s">
        <v>33</v>
      </c>
      <c r="B129" s="104" t="s">
        <v>35</v>
      </c>
      <c r="C129" s="99">
        <v>831821.0</v>
      </c>
      <c r="D129" s="24">
        <f t="array" ref="D129">if(A129=B129,0,XLOOKUP(A129&amp;B129, $A:$A&amp;$B:$B, $C:$C))/25</f>
        <v>33272.84</v>
      </c>
      <c r="E129" s="40"/>
    </row>
    <row r="130">
      <c r="A130" s="104" t="s">
        <v>33</v>
      </c>
      <c r="B130" s="104" t="s">
        <v>40</v>
      </c>
      <c r="C130" s="99">
        <v>56222.0</v>
      </c>
      <c r="D130" s="24">
        <f t="array" ref="D130">if(A130=B130,0,XLOOKUP(A130&amp;B130, $A:$A&amp;$B:$B, $C:$C))/25</f>
        <v>2248.88</v>
      </c>
      <c r="E130" s="40"/>
    </row>
    <row r="131">
      <c r="A131" s="104" t="s">
        <v>33</v>
      </c>
      <c r="B131" s="104" t="s">
        <v>37</v>
      </c>
      <c r="C131" s="99">
        <v>166644.0</v>
      </c>
      <c r="D131" s="24">
        <f t="array" ref="D131">if(A131=B131,0,XLOOKUP(A131&amp;B131, $A:$A&amp;$B:$B, $C:$C))/25</f>
        <v>6665.76</v>
      </c>
      <c r="E131" s="40"/>
    </row>
    <row r="132">
      <c r="A132" s="104" t="s">
        <v>33</v>
      </c>
      <c r="B132" s="104" t="s">
        <v>62</v>
      </c>
      <c r="C132" s="99">
        <v>1600854.0</v>
      </c>
      <c r="D132" s="24">
        <f t="array" ref="D132">if(A132=B132,0,XLOOKUP(A132&amp;B132, $A:$A&amp;$B:$B, $C:$C))/25</f>
        <v>64034.16</v>
      </c>
      <c r="E132" s="40"/>
    </row>
    <row r="133">
      <c r="A133" s="104" t="s">
        <v>33</v>
      </c>
      <c r="B133" s="104" t="s">
        <v>64</v>
      </c>
      <c r="C133" s="99">
        <v>778905.0</v>
      </c>
      <c r="D133" s="24">
        <f t="array" ref="D133">if(A133=B133,0,XLOOKUP(A133&amp;B133, $A:$A&amp;$B:$B, $C:$C))/25</f>
        <v>31156.2</v>
      </c>
      <c r="E133" s="40"/>
    </row>
    <row r="134">
      <c r="A134" s="104" t="s">
        <v>33</v>
      </c>
      <c r="B134" s="104" t="s">
        <v>63</v>
      </c>
      <c r="C134" s="99">
        <v>3514744.0</v>
      </c>
      <c r="D134" s="24">
        <f t="array" ref="D134">if(A134=B134,0,XLOOKUP(A134&amp;B134, $A:$A&amp;$B:$B, $C:$C))/25</f>
        <v>140589.76</v>
      </c>
      <c r="E134" s="40"/>
    </row>
    <row r="135">
      <c r="A135" s="104" t="s">
        <v>33</v>
      </c>
      <c r="B135" s="104" t="s">
        <v>65</v>
      </c>
      <c r="C135" s="99">
        <v>77056.0</v>
      </c>
      <c r="D135" s="24">
        <f t="array" ref="D135">if(A135=B135,0,XLOOKUP(A135&amp;B135, $A:$A&amp;$B:$B, $C:$C))/25</f>
        <v>3082.24</v>
      </c>
      <c r="E135" s="40"/>
    </row>
    <row r="136">
      <c r="A136" s="104" t="s">
        <v>33</v>
      </c>
      <c r="B136" s="104" t="s">
        <v>66</v>
      </c>
      <c r="C136" s="99">
        <v>653534.0</v>
      </c>
      <c r="D136" s="24">
        <f t="array" ref="D136">if(A136=B136,0,XLOOKUP(A136&amp;B136, $A:$A&amp;$B:$B, $C:$C))/25</f>
        <v>26141.36</v>
      </c>
      <c r="E136" s="40"/>
    </row>
    <row r="137">
      <c r="A137" s="104" t="s">
        <v>33</v>
      </c>
      <c r="B137" s="104" t="s">
        <v>67</v>
      </c>
      <c r="C137" s="99">
        <v>39455.0</v>
      </c>
      <c r="D137" s="24">
        <f t="array" ref="D137">if(A137=B137,0,XLOOKUP(A137&amp;B137, $A:$A&amp;$B:$B, $C:$C))/25</f>
        <v>1578.2</v>
      </c>
      <c r="E137" s="40"/>
    </row>
    <row r="138">
      <c r="A138" s="104" t="s">
        <v>33</v>
      </c>
      <c r="B138" s="104" t="s">
        <v>68</v>
      </c>
      <c r="C138" s="99">
        <v>156292.0</v>
      </c>
      <c r="D138" s="24">
        <f t="array" ref="D138">if(A138=B138,0,XLOOKUP(A138&amp;B138, $A:$A&amp;$B:$B, $C:$C))/25</f>
        <v>6251.68</v>
      </c>
      <c r="E138" s="40"/>
    </row>
    <row r="139">
      <c r="A139" s="104" t="s">
        <v>33</v>
      </c>
      <c r="B139" s="104" t="s">
        <v>69</v>
      </c>
      <c r="C139" s="99">
        <v>17026.0</v>
      </c>
      <c r="D139" s="24">
        <f t="array" ref="D139">if(A139=B139,0,XLOOKUP(A139&amp;B139, $A:$A&amp;$B:$B, $C:$C))/25</f>
        <v>681.04</v>
      </c>
      <c r="E139" s="40"/>
    </row>
    <row r="140">
      <c r="A140" s="104" t="s">
        <v>33</v>
      </c>
      <c r="B140" s="104" t="s">
        <v>70</v>
      </c>
      <c r="C140" s="99">
        <v>159460.0</v>
      </c>
      <c r="D140" s="24">
        <f t="array" ref="D140">if(A140=B140,0,XLOOKUP(A140&amp;B140, $A:$A&amp;$B:$B, $C:$C))/25</f>
        <v>6378.4</v>
      </c>
      <c r="E140" s="40"/>
    </row>
    <row r="141">
      <c r="A141" s="104" t="s">
        <v>33</v>
      </c>
      <c r="B141" s="104" t="s">
        <v>71</v>
      </c>
      <c r="C141" s="99">
        <v>100759.0</v>
      </c>
      <c r="D141" s="24">
        <f t="array" ref="D141">if(A141=B141,0,XLOOKUP(A141&amp;B141, $A:$A&amp;$B:$B, $C:$C))/25</f>
        <v>4030.36</v>
      </c>
      <c r="E141" s="40"/>
    </row>
    <row r="142">
      <c r="A142" s="104" t="s">
        <v>33</v>
      </c>
      <c r="B142" s="104" t="s">
        <v>72</v>
      </c>
      <c r="C142" s="99">
        <v>78603.0</v>
      </c>
      <c r="D142" s="24">
        <f t="array" ref="D142">if(A142=B142,0,XLOOKUP(A142&amp;B142, $A:$A&amp;$B:$B, $C:$C))/25</f>
        <v>3144.12</v>
      </c>
      <c r="E142" s="40"/>
    </row>
    <row r="143">
      <c r="A143" s="104" t="s">
        <v>33</v>
      </c>
      <c r="B143" s="104" t="s">
        <v>73</v>
      </c>
      <c r="C143" s="99">
        <v>73687.0</v>
      </c>
      <c r="D143" s="24">
        <f t="array" ref="D143">if(A143=B143,0,XLOOKUP(A143&amp;B143, $A:$A&amp;$B:$B, $C:$C))/25</f>
        <v>2947.48</v>
      </c>
      <c r="E143" s="40"/>
    </row>
    <row r="144">
      <c r="A144" s="104" t="s">
        <v>33</v>
      </c>
      <c r="B144" s="104" t="s">
        <v>74</v>
      </c>
      <c r="C144" s="99">
        <v>6359.0</v>
      </c>
      <c r="D144" s="24">
        <f t="array" ref="D144">if(A144=B144,0,XLOOKUP(A144&amp;B144, $A:$A&amp;$B:$B, $C:$C))/25</f>
        <v>254.36</v>
      </c>
      <c r="E144" s="40"/>
    </row>
    <row r="145">
      <c r="A145" s="104" t="s">
        <v>33</v>
      </c>
      <c r="B145" s="104" t="s">
        <v>75</v>
      </c>
      <c r="C145" s="99">
        <v>43113.0</v>
      </c>
      <c r="D145" s="24">
        <f t="array" ref="D145">if(A145=B145,0,XLOOKUP(A145&amp;B145, $A:$A&amp;$B:$B, $C:$C))/25</f>
        <v>1724.52</v>
      </c>
      <c r="E145" s="40"/>
    </row>
    <row r="146">
      <c r="A146" s="105" t="s">
        <v>39</v>
      </c>
      <c r="B146" s="105" t="s">
        <v>31</v>
      </c>
      <c r="C146" s="99">
        <v>71849.0</v>
      </c>
      <c r="D146" s="24">
        <f t="array" ref="D146">if(A146=B146,0,XLOOKUP(A146&amp;B146, $A:$A&amp;$B:$B, $C:$C))/25</f>
        <v>2873.96</v>
      </c>
      <c r="E146" s="40"/>
    </row>
    <row r="147">
      <c r="A147" s="105" t="s">
        <v>39</v>
      </c>
      <c r="B147" s="105" t="s">
        <v>34</v>
      </c>
      <c r="C147" s="99">
        <v>80177.0</v>
      </c>
      <c r="D147" s="24">
        <f t="array" ref="D147">if(A147=B147,0,XLOOKUP(A147&amp;B147, $A:$A&amp;$B:$B, $C:$C))/25</f>
        <v>3207.08</v>
      </c>
      <c r="E147" s="40"/>
    </row>
    <row r="148">
      <c r="A148" s="105" t="s">
        <v>39</v>
      </c>
      <c r="B148" s="105" t="s">
        <v>36</v>
      </c>
      <c r="C148" s="99">
        <v>565208.0</v>
      </c>
      <c r="D148" s="24">
        <f t="array" ref="D148">if(A148=B148,0,XLOOKUP(A148&amp;B148, $A:$A&amp;$B:$B, $C:$C))/25</f>
        <v>22608.32</v>
      </c>
      <c r="E148" s="40"/>
    </row>
    <row r="149">
      <c r="A149" s="105" t="s">
        <v>39</v>
      </c>
      <c r="B149" s="105" t="s">
        <v>32</v>
      </c>
      <c r="C149" s="99">
        <v>165052.0</v>
      </c>
      <c r="D149" s="24">
        <f t="array" ref="D149">if(A149=B149,0,XLOOKUP(A149&amp;B149, $A:$A&amp;$B:$B, $C:$C))/25</f>
        <v>6602.08</v>
      </c>
      <c r="E149" s="40"/>
    </row>
    <row r="150">
      <c r="A150" s="105" t="s">
        <v>39</v>
      </c>
      <c r="B150" s="105" t="s">
        <v>38</v>
      </c>
      <c r="C150" s="99">
        <v>39416.0</v>
      </c>
      <c r="D150" s="24">
        <f t="array" ref="D150">if(A150=B150,0,XLOOKUP(A150&amp;B150, $A:$A&amp;$B:$B, $C:$C))/25</f>
        <v>1576.64</v>
      </c>
      <c r="E150" s="40"/>
    </row>
    <row r="151">
      <c r="A151" s="105" t="s">
        <v>39</v>
      </c>
      <c r="B151" s="105" t="s">
        <v>33</v>
      </c>
      <c r="C151" s="99">
        <v>283398.0</v>
      </c>
      <c r="D151" s="24">
        <f t="array" ref="D151">if(A151=B151,0,XLOOKUP(A151&amp;B151, $A:$A&amp;$B:$B, $C:$C))/25</f>
        <v>11335.92</v>
      </c>
      <c r="E151" s="40"/>
    </row>
    <row r="152">
      <c r="A152" s="105" t="s">
        <v>39</v>
      </c>
      <c r="B152" s="105" t="s">
        <v>39</v>
      </c>
      <c r="C152" s="99">
        <v>4087251.0</v>
      </c>
      <c r="D152" s="24">
        <f t="array" ref="D152">if(A152=B152,0,XLOOKUP(A152&amp;B152, $A:$A&amp;$B:$B, $C:$C))/25</f>
        <v>0</v>
      </c>
      <c r="E152" s="40"/>
    </row>
    <row r="153">
      <c r="A153" s="105" t="s">
        <v>39</v>
      </c>
      <c r="B153" s="105" t="s">
        <v>35</v>
      </c>
      <c r="C153" s="99">
        <v>374112.0</v>
      </c>
      <c r="D153" s="24">
        <f t="array" ref="D153">if(A153=B153,0,XLOOKUP(A153&amp;B153, $A:$A&amp;$B:$B, $C:$C))/25</f>
        <v>14964.48</v>
      </c>
      <c r="E153" s="40"/>
    </row>
    <row r="154">
      <c r="A154" s="105" t="s">
        <v>39</v>
      </c>
      <c r="B154" s="105" t="s">
        <v>40</v>
      </c>
      <c r="C154" s="99">
        <v>88824.0</v>
      </c>
      <c r="D154" s="24">
        <f t="array" ref="D154">if(A154=B154,0,XLOOKUP(A154&amp;B154, $A:$A&amp;$B:$B, $C:$C))/25</f>
        <v>3552.96</v>
      </c>
      <c r="E154" s="40"/>
    </row>
    <row r="155">
      <c r="A155" s="105" t="s">
        <v>39</v>
      </c>
      <c r="B155" s="105" t="s">
        <v>37</v>
      </c>
      <c r="C155" s="99">
        <v>213660.0</v>
      </c>
      <c r="D155" s="24">
        <f t="array" ref="D155">if(A155=B155,0,XLOOKUP(A155&amp;B155, $A:$A&amp;$B:$B, $C:$C))/25</f>
        <v>8546.4</v>
      </c>
      <c r="E155" s="40"/>
    </row>
    <row r="156">
      <c r="A156" s="105" t="s">
        <v>39</v>
      </c>
      <c r="B156" s="105" t="s">
        <v>62</v>
      </c>
      <c r="C156" s="99">
        <v>207540.0</v>
      </c>
      <c r="D156" s="24">
        <f t="array" ref="D156">if(A156=B156,0,XLOOKUP(A156&amp;B156, $A:$A&amp;$B:$B, $C:$C))/25</f>
        <v>8301.6</v>
      </c>
      <c r="E156" s="40"/>
    </row>
    <row r="157">
      <c r="A157" s="105" t="s">
        <v>39</v>
      </c>
      <c r="B157" s="105" t="s">
        <v>64</v>
      </c>
      <c r="C157" s="99">
        <v>983943.0</v>
      </c>
      <c r="D157" s="24">
        <f t="array" ref="D157">if(A157=B157,0,XLOOKUP(A157&amp;B157, $A:$A&amp;$B:$B, $C:$C))/25</f>
        <v>39357.72</v>
      </c>
      <c r="E157" s="40"/>
    </row>
    <row r="158">
      <c r="A158" s="105" t="s">
        <v>39</v>
      </c>
      <c r="B158" s="105" t="s">
        <v>63</v>
      </c>
      <c r="C158" s="99">
        <v>1009649.0</v>
      </c>
      <c r="D158" s="24">
        <f t="array" ref="D158">if(A158=B158,0,XLOOKUP(A158&amp;B158, $A:$A&amp;$B:$B, $C:$C))/25</f>
        <v>40385.96</v>
      </c>
      <c r="E158" s="40"/>
    </row>
    <row r="159">
      <c r="A159" s="105" t="s">
        <v>39</v>
      </c>
      <c r="B159" s="105" t="s">
        <v>65</v>
      </c>
      <c r="C159" s="99">
        <v>115460.0</v>
      </c>
      <c r="D159" s="24">
        <f t="array" ref="D159">if(A159=B159,0,XLOOKUP(A159&amp;B159, $A:$A&amp;$B:$B, $C:$C))/25</f>
        <v>4618.4</v>
      </c>
      <c r="E159" s="40"/>
    </row>
    <row r="160">
      <c r="A160" s="105" t="s">
        <v>39</v>
      </c>
      <c r="B160" s="105" t="s">
        <v>66</v>
      </c>
      <c r="C160" s="99">
        <v>1854914.0</v>
      </c>
      <c r="D160" s="24">
        <f t="array" ref="D160">if(A160=B160,0,XLOOKUP(A160&amp;B160, $A:$A&amp;$B:$B, $C:$C))/25</f>
        <v>74196.56</v>
      </c>
      <c r="E160" s="40"/>
    </row>
    <row r="161">
      <c r="A161" s="105" t="s">
        <v>39</v>
      </c>
      <c r="B161" s="105" t="s">
        <v>67</v>
      </c>
      <c r="C161" s="99">
        <v>124113.0</v>
      </c>
      <c r="D161" s="24">
        <f t="array" ref="D161">if(A161=B161,0,XLOOKUP(A161&amp;B161, $A:$A&amp;$B:$B, $C:$C))/25</f>
        <v>4964.52</v>
      </c>
      <c r="E161" s="40"/>
    </row>
    <row r="162">
      <c r="A162" s="105" t="s">
        <v>39</v>
      </c>
      <c r="B162" s="105" t="s">
        <v>68</v>
      </c>
      <c r="C162" s="99">
        <v>556987.0</v>
      </c>
      <c r="D162" s="24">
        <f t="array" ref="D162">if(A162=B162,0,XLOOKUP(A162&amp;B162, $A:$A&amp;$B:$B, $C:$C))/25</f>
        <v>22279.48</v>
      </c>
      <c r="E162" s="40"/>
    </row>
    <row r="163">
      <c r="A163" s="105" t="s">
        <v>39</v>
      </c>
      <c r="B163" s="105" t="s">
        <v>69</v>
      </c>
      <c r="C163" s="99">
        <v>31088.0</v>
      </c>
      <c r="D163" s="24">
        <f t="array" ref="D163">if(A163=B163,0,XLOOKUP(A163&amp;B163, $A:$A&amp;$B:$B, $C:$C))/25</f>
        <v>1243.52</v>
      </c>
      <c r="E163" s="40"/>
    </row>
    <row r="164">
      <c r="A164" s="105" t="s">
        <v>39</v>
      </c>
      <c r="B164" s="105" t="s">
        <v>70</v>
      </c>
      <c r="C164" s="99">
        <v>123758.0</v>
      </c>
      <c r="D164" s="24">
        <f t="array" ref="D164">if(A164=B164,0,XLOOKUP(A164&amp;B164, $A:$A&amp;$B:$B, $C:$C))/25</f>
        <v>4950.32</v>
      </c>
      <c r="E164" s="40"/>
    </row>
    <row r="165">
      <c r="A165" s="105" t="s">
        <v>39</v>
      </c>
      <c r="B165" s="105" t="s">
        <v>71</v>
      </c>
      <c r="C165" s="99">
        <v>288019.0</v>
      </c>
      <c r="D165" s="24">
        <f t="array" ref="D165">if(A165=B165,0,XLOOKUP(A165&amp;B165, $A:$A&amp;$B:$B, $C:$C))/25</f>
        <v>11520.76</v>
      </c>
      <c r="E165" s="40"/>
    </row>
    <row r="166">
      <c r="A166" s="105" t="s">
        <v>39</v>
      </c>
      <c r="B166" s="105" t="s">
        <v>72</v>
      </c>
      <c r="C166" s="99">
        <v>136839.0</v>
      </c>
      <c r="D166" s="24">
        <f t="array" ref="D166">if(A166=B166,0,XLOOKUP(A166&amp;B166, $A:$A&amp;$B:$B, $C:$C))/25</f>
        <v>5473.56</v>
      </c>
      <c r="E166" s="40"/>
    </row>
    <row r="167">
      <c r="A167" s="105" t="s">
        <v>39</v>
      </c>
      <c r="B167" s="105" t="s">
        <v>73</v>
      </c>
      <c r="C167" s="99">
        <v>429572.0</v>
      </c>
      <c r="D167" s="24">
        <f t="array" ref="D167">if(A167=B167,0,XLOOKUP(A167&amp;B167, $A:$A&amp;$B:$B, $C:$C))/25</f>
        <v>17182.88</v>
      </c>
      <c r="E167" s="40"/>
    </row>
    <row r="168">
      <c r="A168" s="105" t="s">
        <v>39</v>
      </c>
      <c r="B168" s="105" t="s">
        <v>74</v>
      </c>
      <c r="C168" s="99">
        <v>13312.0</v>
      </c>
      <c r="D168" s="24">
        <f t="array" ref="D168">if(A168=B168,0,XLOOKUP(A168&amp;B168, $A:$A&amp;$B:$B, $C:$C))/25</f>
        <v>532.48</v>
      </c>
      <c r="E168" s="40"/>
    </row>
    <row r="169">
      <c r="A169" s="105" t="s">
        <v>39</v>
      </c>
      <c r="B169" s="105" t="s">
        <v>75</v>
      </c>
      <c r="C169" s="99">
        <v>109343.0</v>
      </c>
      <c r="D169" s="24">
        <f t="array" ref="D169">if(A169=B169,0,XLOOKUP(A169&amp;B169, $A:$A&amp;$B:$B, $C:$C))/25</f>
        <v>4373.72</v>
      </c>
      <c r="E169" s="40"/>
    </row>
    <row r="170">
      <c r="A170" s="106" t="s">
        <v>35</v>
      </c>
      <c r="B170" s="106" t="s">
        <v>31</v>
      </c>
      <c r="C170" s="99">
        <v>768112.0</v>
      </c>
      <c r="D170" s="24">
        <f t="array" ref="D170">if(A170=B170,0,XLOOKUP(A170&amp;B170, $A:$A&amp;$B:$B, $C:$C))/25</f>
        <v>30724.48</v>
      </c>
      <c r="E170" s="40"/>
    </row>
    <row r="171">
      <c r="A171" s="106" t="s">
        <v>35</v>
      </c>
      <c r="B171" s="106" t="s">
        <v>34</v>
      </c>
      <c r="C171" s="99">
        <v>170656.0</v>
      </c>
      <c r="D171" s="24">
        <f t="array" ref="D171">if(A171=B171,0,XLOOKUP(A171&amp;B171, $A:$A&amp;$B:$B, $C:$C))/25</f>
        <v>6826.24</v>
      </c>
      <c r="E171" s="40"/>
    </row>
    <row r="172">
      <c r="A172" s="106" t="s">
        <v>35</v>
      </c>
      <c r="B172" s="106" t="s">
        <v>36</v>
      </c>
      <c r="C172" s="99">
        <v>320069.0</v>
      </c>
      <c r="D172" s="24">
        <f t="array" ref="D172">if(A172=B172,0,XLOOKUP(A172&amp;B172, $A:$A&amp;$B:$B, $C:$C))/25</f>
        <v>12802.76</v>
      </c>
      <c r="E172" s="40"/>
    </row>
    <row r="173">
      <c r="A173" s="106" t="s">
        <v>35</v>
      </c>
      <c r="B173" s="106" t="s">
        <v>32</v>
      </c>
      <c r="C173" s="99">
        <v>1807600.0</v>
      </c>
      <c r="D173" s="24">
        <f t="array" ref="D173">if(A173=B173,0,XLOOKUP(A173&amp;B173, $A:$A&amp;$B:$B, $C:$C))/25</f>
        <v>72304</v>
      </c>
      <c r="E173" s="40"/>
    </row>
    <row r="174">
      <c r="A174" s="106" t="s">
        <v>35</v>
      </c>
      <c r="B174" s="106" t="s">
        <v>38</v>
      </c>
      <c r="C174" s="99">
        <v>874919.0</v>
      </c>
      <c r="D174" s="24">
        <f t="array" ref="D174">if(A174=B174,0,XLOOKUP(A174&amp;B174, $A:$A&amp;$B:$B, $C:$C))/25</f>
        <v>34996.76</v>
      </c>
      <c r="E174" s="40"/>
    </row>
    <row r="175">
      <c r="A175" s="106" t="s">
        <v>35</v>
      </c>
      <c r="B175" s="106" t="s">
        <v>33</v>
      </c>
      <c r="C175" s="99">
        <v>3039223.0</v>
      </c>
      <c r="D175" s="24">
        <f t="array" ref="D175">if(A175=B175,0,XLOOKUP(A175&amp;B175, $A:$A&amp;$B:$B, $C:$C))/25</f>
        <v>121568.92</v>
      </c>
      <c r="E175" s="40"/>
    </row>
    <row r="176">
      <c r="A176" s="106" t="s">
        <v>35</v>
      </c>
      <c r="B176" s="106" t="s">
        <v>39</v>
      </c>
      <c r="C176" s="99">
        <v>423466.0</v>
      </c>
      <c r="D176" s="24">
        <f t="array" ref="D176">if(A176=B176,0,XLOOKUP(A176&amp;B176, $A:$A&amp;$B:$B, $C:$C))/25</f>
        <v>16938.64</v>
      </c>
      <c r="E176" s="40"/>
    </row>
    <row r="177">
      <c r="A177" s="106" t="s">
        <v>35</v>
      </c>
      <c r="B177" s="106" t="s">
        <v>35</v>
      </c>
      <c r="C177" s="99">
        <v>2.6262978E7</v>
      </c>
      <c r="D177" s="24">
        <f t="array" ref="D177">if(A177=B177,0,XLOOKUP(A177&amp;B177, $A:$A&amp;$B:$B, $C:$C))/25</f>
        <v>0</v>
      </c>
      <c r="E177" s="40"/>
    </row>
    <row r="178">
      <c r="A178" s="106" t="s">
        <v>35</v>
      </c>
      <c r="B178" s="106" t="s">
        <v>40</v>
      </c>
      <c r="C178" s="99">
        <v>588571.0</v>
      </c>
      <c r="D178" s="24">
        <f t="array" ref="D178">if(A178=B178,0,XLOOKUP(A178&amp;B178, $A:$A&amp;$B:$B, $C:$C))/25</f>
        <v>23542.84</v>
      </c>
      <c r="E178" s="40"/>
    </row>
    <row r="179">
      <c r="A179" s="106" t="s">
        <v>35</v>
      </c>
      <c r="B179" s="106" t="s">
        <v>37</v>
      </c>
      <c r="C179" s="99">
        <v>2531136.0</v>
      </c>
      <c r="D179" s="24">
        <f t="array" ref="D179">if(A179=B179,0,XLOOKUP(A179&amp;B179, $A:$A&amp;$B:$B, $C:$C))/25</f>
        <v>101245.44</v>
      </c>
      <c r="E179" s="40"/>
    </row>
    <row r="180">
      <c r="A180" s="106" t="s">
        <v>35</v>
      </c>
      <c r="B180" s="106" t="s">
        <v>62</v>
      </c>
      <c r="C180" s="99">
        <v>1851116.0</v>
      </c>
      <c r="D180" s="24">
        <f t="array" ref="D180">if(A180=B180,0,XLOOKUP(A180&amp;B180, $A:$A&amp;$B:$B, $C:$C))/25</f>
        <v>74044.64</v>
      </c>
      <c r="E180" s="40"/>
    </row>
    <row r="181">
      <c r="A181" s="106" t="s">
        <v>35</v>
      </c>
      <c r="B181" s="106" t="s">
        <v>64</v>
      </c>
      <c r="C181" s="99">
        <v>4327369.0</v>
      </c>
      <c r="D181" s="24">
        <f t="array" ref="D181">if(A181=B181,0,XLOOKUP(A181&amp;B181, $A:$A&amp;$B:$B, $C:$C))/25</f>
        <v>173094.76</v>
      </c>
      <c r="E181" s="40"/>
    </row>
    <row r="182">
      <c r="A182" s="106" t="s">
        <v>35</v>
      </c>
      <c r="B182" s="106" t="s">
        <v>63</v>
      </c>
      <c r="C182" s="99">
        <v>8455592.0</v>
      </c>
      <c r="D182" s="24">
        <f t="array" ref="D182">if(A182=B182,0,XLOOKUP(A182&amp;B182, $A:$A&amp;$B:$B, $C:$C))/25</f>
        <v>338223.68</v>
      </c>
      <c r="E182" s="40"/>
    </row>
    <row r="183">
      <c r="A183" s="106" t="s">
        <v>35</v>
      </c>
      <c r="B183" s="106" t="s">
        <v>65</v>
      </c>
      <c r="C183" s="99">
        <v>380174.0</v>
      </c>
      <c r="D183" s="24">
        <f t="array" ref="D183">if(A183=B183,0,XLOOKUP(A183&amp;B183, $A:$A&amp;$B:$B, $C:$C))/25</f>
        <v>15206.96</v>
      </c>
      <c r="E183" s="40"/>
    </row>
    <row r="184">
      <c r="A184" s="106" t="s">
        <v>35</v>
      </c>
      <c r="B184" s="106" t="s">
        <v>66</v>
      </c>
      <c r="C184" s="99">
        <v>3709170.0</v>
      </c>
      <c r="D184" s="24">
        <f t="array" ref="D184">if(A184=B184,0,XLOOKUP(A184&amp;B184, $A:$A&amp;$B:$B, $C:$C))/25</f>
        <v>148366.8</v>
      </c>
      <c r="E184" s="40"/>
    </row>
    <row r="185">
      <c r="A185" s="106" t="s">
        <v>35</v>
      </c>
      <c r="B185" s="106" t="s">
        <v>67</v>
      </c>
      <c r="C185" s="99">
        <v>181797.0</v>
      </c>
      <c r="D185" s="24">
        <f t="array" ref="D185">if(A185=B185,0,XLOOKUP(A185&amp;B185, $A:$A&amp;$B:$B, $C:$C))/25</f>
        <v>7271.88</v>
      </c>
      <c r="E185" s="40"/>
    </row>
    <row r="186">
      <c r="A186" s="106" t="s">
        <v>35</v>
      </c>
      <c r="B186" s="106" t="s">
        <v>68</v>
      </c>
      <c r="C186" s="99">
        <v>932322.0</v>
      </c>
      <c r="D186" s="24">
        <f t="array" ref="D186">if(A186=B186,0,XLOOKUP(A186&amp;B186, $A:$A&amp;$B:$B, $C:$C))/25</f>
        <v>37292.88</v>
      </c>
      <c r="E186" s="40"/>
    </row>
    <row r="187">
      <c r="A187" s="106" t="s">
        <v>35</v>
      </c>
      <c r="B187" s="106" t="s">
        <v>69</v>
      </c>
      <c r="C187" s="99">
        <v>66402.0</v>
      </c>
      <c r="D187" s="24">
        <f t="array" ref="D187">if(A187=B187,0,XLOOKUP(A187&amp;B187, $A:$A&amp;$B:$B, $C:$C))/25</f>
        <v>2656.08</v>
      </c>
      <c r="E187" s="40"/>
    </row>
    <row r="188">
      <c r="A188" s="106" t="s">
        <v>35</v>
      </c>
      <c r="B188" s="106" t="s">
        <v>70</v>
      </c>
      <c r="C188" s="99">
        <v>1395807.0</v>
      </c>
      <c r="D188" s="24">
        <f t="array" ref="D188">if(A188=B188,0,XLOOKUP(A188&amp;B188, $A:$A&amp;$B:$B, $C:$C))/25</f>
        <v>55832.28</v>
      </c>
      <c r="E188" s="40"/>
    </row>
    <row r="189">
      <c r="A189" s="106" t="s">
        <v>35</v>
      </c>
      <c r="B189" s="106" t="s">
        <v>71</v>
      </c>
      <c r="C189" s="99">
        <v>878453.0</v>
      </c>
      <c r="D189" s="24">
        <f t="array" ref="D189">if(A189=B189,0,XLOOKUP(A189&amp;B189, $A:$A&amp;$B:$B, $C:$C))/25</f>
        <v>35138.12</v>
      </c>
      <c r="E189" s="40"/>
    </row>
    <row r="190">
      <c r="A190" s="106" t="s">
        <v>35</v>
      </c>
      <c r="B190" s="106" t="s">
        <v>72</v>
      </c>
      <c r="C190" s="99">
        <v>790319.0</v>
      </c>
      <c r="D190" s="24">
        <f t="array" ref="D190">if(A190=B190,0,XLOOKUP(A190&amp;B190, $A:$A&amp;$B:$B, $C:$C))/25</f>
        <v>31612.76</v>
      </c>
      <c r="E190" s="40"/>
    </row>
    <row r="191">
      <c r="A191" s="106" t="s">
        <v>35</v>
      </c>
      <c r="B191" s="106" t="s">
        <v>73</v>
      </c>
      <c r="C191" s="99">
        <v>397439.0</v>
      </c>
      <c r="D191" s="24">
        <f t="array" ref="D191">if(A191=B191,0,XLOOKUP(A191&amp;B191, $A:$A&amp;$B:$B, $C:$C))/25</f>
        <v>15897.56</v>
      </c>
      <c r="E191" s="40"/>
    </row>
    <row r="192">
      <c r="A192" s="106" t="s">
        <v>35</v>
      </c>
      <c r="B192" s="106" t="s">
        <v>74</v>
      </c>
      <c r="C192" s="99">
        <v>37016.0</v>
      </c>
      <c r="D192" s="24">
        <f t="array" ref="D192">if(A192=B192,0,XLOOKUP(A192&amp;B192, $A:$A&amp;$B:$B, $C:$C))/25</f>
        <v>1480.64</v>
      </c>
      <c r="E192" s="40"/>
    </row>
    <row r="193">
      <c r="A193" s="106" t="s">
        <v>35</v>
      </c>
      <c r="B193" s="106" t="s">
        <v>75</v>
      </c>
      <c r="C193" s="99">
        <v>238395.0</v>
      </c>
      <c r="D193" s="24">
        <f t="array" ref="D193">if(A193=B193,0,XLOOKUP(A193&amp;B193, $A:$A&amp;$B:$B, $C:$C))/25</f>
        <v>9535.8</v>
      </c>
      <c r="E193" s="40"/>
    </row>
    <row r="194">
      <c r="A194" s="100" t="s">
        <v>40</v>
      </c>
      <c r="B194" s="100" t="s">
        <v>31</v>
      </c>
      <c r="C194" s="99">
        <v>13392.0</v>
      </c>
      <c r="D194" s="24">
        <f t="array" ref="D194">if(A194=B194,0,XLOOKUP(A194&amp;B194, $A:$A&amp;$B:$B, $C:$C))/25</f>
        <v>535.68</v>
      </c>
      <c r="E194" s="40"/>
    </row>
    <row r="195">
      <c r="A195" s="100" t="s">
        <v>40</v>
      </c>
      <c r="B195" s="100" t="s">
        <v>34</v>
      </c>
      <c r="C195" s="99">
        <v>30953.0</v>
      </c>
      <c r="D195" s="24">
        <f t="array" ref="D195">if(A195=B195,0,XLOOKUP(A195&amp;B195, $A:$A&amp;$B:$B, $C:$C))/25</f>
        <v>1238.12</v>
      </c>
      <c r="E195" s="40"/>
    </row>
    <row r="196">
      <c r="A196" s="100" t="s">
        <v>40</v>
      </c>
      <c r="B196" s="100" t="s">
        <v>36</v>
      </c>
      <c r="C196" s="99">
        <v>13507.0</v>
      </c>
      <c r="D196" s="24">
        <f t="array" ref="D196">if(A196=B196,0,XLOOKUP(A196&amp;B196, $A:$A&amp;$B:$B, $C:$C))/25</f>
        <v>540.28</v>
      </c>
      <c r="E196" s="40"/>
    </row>
    <row r="197">
      <c r="A197" s="100" t="s">
        <v>40</v>
      </c>
      <c r="B197" s="100" t="s">
        <v>32</v>
      </c>
      <c r="C197" s="99">
        <v>39453.0</v>
      </c>
      <c r="D197" s="24">
        <f t="array" ref="D197">if(A197=B197,0,XLOOKUP(A197&amp;B197, $A:$A&amp;$B:$B, $C:$C))/25</f>
        <v>1578.12</v>
      </c>
      <c r="E197" s="40"/>
    </row>
    <row r="198">
      <c r="A198" s="100" t="s">
        <v>40</v>
      </c>
      <c r="B198" s="100" t="s">
        <v>38</v>
      </c>
      <c r="C198" s="99">
        <v>7773.0</v>
      </c>
      <c r="D198" s="24">
        <f t="array" ref="D198">if(A198=B198,0,XLOOKUP(A198&amp;B198, $A:$A&amp;$B:$B, $C:$C))/25</f>
        <v>310.92</v>
      </c>
      <c r="E198" s="40"/>
    </row>
    <row r="199">
      <c r="A199" s="100" t="s">
        <v>40</v>
      </c>
      <c r="B199" s="100" t="s">
        <v>33</v>
      </c>
      <c r="C199" s="99">
        <v>73714.0</v>
      </c>
      <c r="D199" s="24">
        <f t="array" ref="D199">if(A199=B199,0,XLOOKUP(A199&amp;B199, $A:$A&amp;$B:$B, $C:$C))/25</f>
        <v>2948.56</v>
      </c>
      <c r="E199" s="40"/>
    </row>
    <row r="200">
      <c r="A200" s="100" t="s">
        <v>40</v>
      </c>
      <c r="B200" s="100" t="s">
        <v>39</v>
      </c>
      <c r="C200" s="99">
        <v>16582.0</v>
      </c>
      <c r="D200" s="24">
        <f t="array" ref="D200">if(A200=B200,0,XLOOKUP(A200&amp;B200, $A:$A&amp;$B:$B, $C:$C))/25</f>
        <v>663.28</v>
      </c>
      <c r="E200" s="40"/>
    </row>
    <row r="201">
      <c r="A201" s="100" t="s">
        <v>40</v>
      </c>
      <c r="B201" s="100" t="s">
        <v>35</v>
      </c>
      <c r="C201" s="99">
        <v>107199.0</v>
      </c>
      <c r="D201" s="24">
        <f t="array" ref="D201">if(A201=B201,0,XLOOKUP(A201&amp;B201, $A:$A&amp;$B:$B, $C:$C))/25</f>
        <v>4287.96</v>
      </c>
      <c r="E201" s="40"/>
    </row>
    <row r="202">
      <c r="A202" s="100" t="s">
        <v>40</v>
      </c>
      <c r="B202" s="100" t="s">
        <v>40</v>
      </c>
      <c r="C202" s="99">
        <v>122047.0</v>
      </c>
      <c r="D202" s="24">
        <f t="array" ref="D202">if(A202=B202,0,XLOOKUP(A202&amp;B202, $A:$A&amp;$B:$B, $C:$C))/25</f>
        <v>0</v>
      </c>
      <c r="E202" s="40"/>
    </row>
    <row r="203">
      <c r="A203" s="100" t="s">
        <v>40</v>
      </c>
      <c r="B203" s="100" t="s">
        <v>37</v>
      </c>
      <c r="C203" s="99">
        <v>44635.0</v>
      </c>
      <c r="D203" s="24">
        <f t="array" ref="D203">if(A203=B203,0,XLOOKUP(A203&amp;B203, $A:$A&amp;$B:$B, $C:$C))/25</f>
        <v>1785.4</v>
      </c>
      <c r="E203" s="40"/>
    </row>
    <row r="204">
      <c r="A204" s="100" t="s">
        <v>40</v>
      </c>
      <c r="B204" s="100" t="s">
        <v>62</v>
      </c>
      <c r="C204" s="99">
        <v>59251.0</v>
      </c>
      <c r="D204" s="24">
        <f t="array" ref="D204">if(A204=B204,0,XLOOKUP(A204&amp;B204, $A:$A&amp;$B:$B, $C:$C))/25</f>
        <v>2370.04</v>
      </c>
      <c r="E204" s="40"/>
    </row>
    <row r="205">
      <c r="A205" s="100" t="s">
        <v>40</v>
      </c>
      <c r="B205" s="100" t="s">
        <v>64</v>
      </c>
      <c r="C205" s="99">
        <v>123288.0</v>
      </c>
      <c r="D205" s="24">
        <f t="array" ref="D205">if(A205=B205,0,XLOOKUP(A205&amp;B205, $A:$A&amp;$B:$B, $C:$C))/25</f>
        <v>4931.52</v>
      </c>
      <c r="E205" s="40"/>
    </row>
    <row r="206">
      <c r="A206" s="100" t="s">
        <v>40</v>
      </c>
      <c r="B206" s="100" t="s">
        <v>63</v>
      </c>
      <c r="C206" s="99">
        <v>212395.0</v>
      </c>
      <c r="D206" s="24">
        <f t="array" ref="D206">if(A206=B206,0,XLOOKUP(A206&amp;B206, $A:$A&amp;$B:$B, $C:$C))/25</f>
        <v>8495.8</v>
      </c>
      <c r="E206" s="40"/>
    </row>
    <row r="207">
      <c r="A207" s="100" t="s">
        <v>40</v>
      </c>
      <c r="B207" s="100" t="s">
        <v>65</v>
      </c>
      <c r="C207" s="99">
        <v>12644.0</v>
      </c>
      <c r="D207" s="24">
        <f t="array" ref="D207">if(A207=B207,0,XLOOKUP(A207&amp;B207, $A:$A&amp;$B:$B, $C:$C))/25</f>
        <v>505.76</v>
      </c>
      <c r="E207" s="40"/>
    </row>
    <row r="208">
      <c r="A208" s="100" t="s">
        <v>40</v>
      </c>
      <c r="B208" s="100" t="s">
        <v>66</v>
      </c>
      <c r="C208" s="99">
        <v>140537.0</v>
      </c>
      <c r="D208" s="24">
        <f t="array" ref="D208">if(A208=B208,0,XLOOKUP(A208&amp;B208, $A:$A&amp;$B:$B, $C:$C))/25</f>
        <v>5621.48</v>
      </c>
      <c r="E208" s="40"/>
    </row>
    <row r="209">
      <c r="A209" s="100" t="s">
        <v>40</v>
      </c>
      <c r="B209" s="100" t="s">
        <v>67</v>
      </c>
      <c r="C209" s="99">
        <v>10958.0</v>
      </c>
      <c r="D209" s="24">
        <f t="array" ref="D209">if(A209=B209,0,XLOOKUP(A209&amp;B209, $A:$A&amp;$B:$B, $C:$C))/25</f>
        <v>438.32</v>
      </c>
      <c r="E209" s="40"/>
    </row>
    <row r="210">
      <c r="A210" s="100" t="s">
        <v>40</v>
      </c>
      <c r="B210" s="100" t="s">
        <v>68</v>
      </c>
      <c r="C210" s="99">
        <v>42066.0</v>
      </c>
      <c r="D210" s="24">
        <f t="array" ref="D210">if(A210=B210,0,XLOOKUP(A210&amp;B210, $A:$A&amp;$B:$B, $C:$C))/25</f>
        <v>1682.64</v>
      </c>
      <c r="E210" s="40"/>
    </row>
    <row r="211">
      <c r="A211" s="100" t="s">
        <v>40</v>
      </c>
      <c r="B211" s="100" t="s">
        <v>69</v>
      </c>
      <c r="C211" s="99">
        <v>3988.0</v>
      </c>
      <c r="D211" s="24">
        <f t="array" ref="D211">if(A211=B211,0,XLOOKUP(A211&amp;B211, $A:$A&amp;$B:$B, $C:$C))/25</f>
        <v>159.52</v>
      </c>
      <c r="E211" s="40"/>
    </row>
    <row r="212">
      <c r="A212" s="100" t="s">
        <v>40</v>
      </c>
      <c r="B212" s="100" t="s">
        <v>70</v>
      </c>
      <c r="C212" s="99">
        <v>31287.0</v>
      </c>
      <c r="D212" s="24">
        <f t="array" ref="D212">if(A212=B212,0,XLOOKUP(A212&amp;B212, $A:$A&amp;$B:$B, $C:$C))/25</f>
        <v>1251.48</v>
      </c>
      <c r="E212" s="40"/>
    </row>
    <row r="213">
      <c r="A213" s="100" t="s">
        <v>40</v>
      </c>
      <c r="B213" s="100" t="s">
        <v>71</v>
      </c>
      <c r="C213" s="99">
        <v>26291.0</v>
      </c>
      <c r="D213" s="24">
        <f t="array" ref="D213">if(A213=B213,0,XLOOKUP(A213&amp;B213, $A:$A&amp;$B:$B, $C:$C))/25</f>
        <v>1051.64</v>
      </c>
      <c r="E213" s="40"/>
    </row>
    <row r="214">
      <c r="A214" s="100" t="s">
        <v>40</v>
      </c>
      <c r="B214" s="100" t="s">
        <v>72</v>
      </c>
      <c r="C214" s="99">
        <v>22671.0</v>
      </c>
      <c r="D214" s="24">
        <f t="array" ref="D214">if(A214=B214,0,XLOOKUP(A214&amp;B214, $A:$A&amp;$B:$B, $C:$C))/25</f>
        <v>906.84</v>
      </c>
      <c r="E214" s="40"/>
    </row>
    <row r="215">
      <c r="A215" s="100" t="s">
        <v>40</v>
      </c>
      <c r="B215" s="100" t="s">
        <v>73</v>
      </c>
      <c r="C215" s="99">
        <v>23167.0</v>
      </c>
      <c r="D215" s="24">
        <f t="array" ref="D215">if(A215=B215,0,XLOOKUP(A215&amp;B215, $A:$A&amp;$B:$B, $C:$C))/25</f>
        <v>926.68</v>
      </c>
      <c r="E215" s="40"/>
    </row>
    <row r="216">
      <c r="A216" s="100" t="s">
        <v>40</v>
      </c>
      <c r="B216" s="100" t="s">
        <v>74</v>
      </c>
      <c r="C216" s="99">
        <v>1530.0</v>
      </c>
      <c r="D216" s="24">
        <f t="array" ref="D216">if(A216=B216,0,XLOOKUP(A216&amp;B216, $A:$A&amp;$B:$B, $C:$C))/25</f>
        <v>61.2</v>
      </c>
      <c r="E216" s="40"/>
    </row>
    <row r="217">
      <c r="A217" s="100" t="s">
        <v>40</v>
      </c>
      <c r="B217" s="100" t="s">
        <v>75</v>
      </c>
      <c r="C217" s="99">
        <v>10970.0</v>
      </c>
      <c r="D217" s="24">
        <f t="array" ref="D217">if(A217=B217,0,XLOOKUP(A217&amp;B217, $A:$A&amp;$B:$B, $C:$C))/25</f>
        <v>438.8</v>
      </c>
      <c r="E217" s="40"/>
    </row>
    <row r="218">
      <c r="A218" s="101" t="s">
        <v>37</v>
      </c>
      <c r="B218" s="101" t="s">
        <v>31</v>
      </c>
      <c r="C218" s="99">
        <v>749539.0</v>
      </c>
      <c r="D218" s="24">
        <f t="array" ref="D218">if(A218=B218,0,XLOOKUP(A218&amp;B218, $A:$A&amp;$B:$B, $C:$C))/25</f>
        <v>29981.56</v>
      </c>
      <c r="E218" s="40"/>
    </row>
    <row r="219">
      <c r="A219" s="101" t="s">
        <v>37</v>
      </c>
      <c r="B219" s="101" t="s">
        <v>34</v>
      </c>
      <c r="C219" s="99">
        <v>55781.0</v>
      </c>
      <c r="D219" s="24">
        <f t="array" ref="D219">if(A219=B219,0,XLOOKUP(A219&amp;B219, $A:$A&amp;$B:$B, $C:$C))/25</f>
        <v>2231.24</v>
      </c>
      <c r="E219" s="40"/>
    </row>
    <row r="220">
      <c r="A220" s="101" t="s">
        <v>37</v>
      </c>
      <c r="B220" s="101" t="s">
        <v>36</v>
      </c>
      <c r="C220" s="99">
        <v>91224.0</v>
      </c>
      <c r="D220" s="24">
        <f t="array" ref="D220">if(A220=B220,0,XLOOKUP(A220&amp;B220, $A:$A&amp;$B:$B, $C:$C))/25</f>
        <v>3648.96</v>
      </c>
      <c r="E220" s="40"/>
    </row>
    <row r="221">
      <c r="A221" s="101" t="s">
        <v>37</v>
      </c>
      <c r="B221" s="101" t="s">
        <v>32</v>
      </c>
      <c r="C221" s="99">
        <v>876203.0</v>
      </c>
      <c r="D221" s="24">
        <f t="array" ref="D221">if(A221=B221,0,XLOOKUP(A221&amp;B221, $A:$A&amp;$B:$B, $C:$C))/25</f>
        <v>35048.12</v>
      </c>
      <c r="E221" s="40"/>
    </row>
    <row r="222">
      <c r="A222" s="101" t="s">
        <v>37</v>
      </c>
      <c r="B222" s="101" t="s">
        <v>38</v>
      </c>
      <c r="C222" s="99">
        <v>120054.0</v>
      </c>
      <c r="D222" s="24">
        <f t="array" ref="D222">if(A222=B222,0,XLOOKUP(A222&amp;B222, $A:$A&amp;$B:$B, $C:$C))/25</f>
        <v>4802.16</v>
      </c>
      <c r="E222" s="40"/>
    </row>
    <row r="223">
      <c r="A223" s="101" t="s">
        <v>37</v>
      </c>
      <c r="B223" s="101" t="s">
        <v>33</v>
      </c>
      <c r="C223" s="99">
        <v>492317.0</v>
      </c>
      <c r="D223" s="24">
        <f t="array" ref="D223">if(A223=B223,0,XLOOKUP(A223&amp;B223, $A:$A&amp;$B:$B, $C:$C))/25</f>
        <v>19692.68</v>
      </c>
      <c r="E223" s="40"/>
    </row>
    <row r="224">
      <c r="A224" s="101" t="s">
        <v>37</v>
      </c>
      <c r="B224" s="101" t="s">
        <v>39</v>
      </c>
      <c r="C224" s="99">
        <v>110138.0</v>
      </c>
      <c r="D224" s="24">
        <f t="array" ref="D224">if(A224=B224,0,XLOOKUP(A224&amp;B224, $A:$A&amp;$B:$B, $C:$C))/25</f>
        <v>4405.52</v>
      </c>
      <c r="E224" s="40"/>
    </row>
    <row r="225">
      <c r="A225" s="101" t="s">
        <v>37</v>
      </c>
      <c r="B225" s="101" t="s">
        <v>35</v>
      </c>
      <c r="C225" s="99">
        <v>1298091.0</v>
      </c>
      <c r="D225" s="24">
        <f t="array" ref="D225">if(A225=B225,0,XLOOKUP(A225&amp;B225, $A:$A&amp;$B:$B, $C:$C))/25</f>
        <v>51923.64</v>
      </c>
      <c r="E225" s="40"/>
    </row>
    <row r="226">
      <c r="A226" s="101" t="s">
        <v>37</v>
      </c>
      <c r="B226" s="101" t="s">
        <v>40</v>
      </c>
      <c r="C226" s="99">
        <v>115034.0</v>
      </c>
      <c r="D226" s="24">
        <f t="array" ref="D226">if(A226=B226,0,XLOOKUP(A226&amp;B226, $A:$A&amp;$B:$B, $C:$C))/25</f>
        <v>4601.36</v>
      </c>
      <c r="E226" s="40"/>
    </row>
    <row r="227">
      <c r="A227" s="101" t="s">
        <v>37</v>
      </c>
      <c r="B227" s="101" t="s">
        <v>37</v>
      </c>
      <c r="C227" s="99">
        <v>8145995.0</v>
      </c>
      <c r="D227" s="24">
        <f t="array" ref="D227">if(A227=B227,0,XLOOKUP(A227&amp;B227, $A:$A&amp;$B:$B, $C:$C))/25</f>
        <v>0</v>
      </c>
      <c r="E227" s="40"/>
    </row>
    <row r="228">
      <c r="A228" s="101" t="s">
        <v>37</v>
      </c>
      <c r="B228" s="101" t="s">
        <v>62</v>
      </c>
      <c r="C228" s="99">
        <v>373130.0</v>
      </c>
      <c r="D228" s="24">
        <f t="array" ref="D228">if(A228=B228,0,XLOOKUP(A228&amp;B228, $A:$A&amp;$B:$B, $C:$C))/25</f>
        <v>14925.2</v>
      </c>
      <c r="E228" s="40"/>
    </row>
    <row r="229">
      <c r="A229" s="101" t="s">
        <v>37</v>
      </c>
      <c r="B229" s="101" t="s">
        <v>64</v>
      </c>
      <c r="C229" s="99">
        <v>891834.0</v>
      </c>
      <c r="D229" s="24">
        <f t="array" ref="D229">if(A229=B229,0,XLOOKUP(A229&amp;B229, $A:$A&amp;$B:$B, $C:$C))/25</f>
        <v>35673.36</v>
      </c>
      <c r="E229" s="40"/>
    </row>
    <row r="230">
      <c r="A230" s="101" t="s">
        <v>37</v>
      </c>
      <c r="B230" s="101" t="s">
        <v>63</v>
      </c>
      <c r="C230" s="99">
        <v>1512227.0</v>
      </c>
      <c r="D230" s="24">
        <f t="array" ref="D230">if(A230=B230,0,XLOOKUP(A230&amp;B230, $A:$A&amp;$B:$B, $C:$C))/25</f>
        <v>60489.08</v>
      </c>
      <c r="E230" s="40"/>
    </row>
    <row r="231">
      <c r="A231" s="101" t="s">
        <v>37</v>
      </c>
      <c r="B231" s="101" t="s">
        <v>65</v>
      </c>
      <c r="C231" s="99">
        <v>92411.0</v>
      </c>
      <c r="D231" s="24">
        <f t="array" ref="D231">if(A231=B231,0,XLOOKUP(A231&amp;B231, $A:$A&amp;$B:$B, $C:$C))/25</f>
        <v>3696.44</v>
      </c>
      <c r="E231" s="40"/>
    </row>
    <row r="232">
      <c r="A232" s="101" t="s">
        <v>37</v>
      </c>
      <c r="B232" s="101" t="s">
        <v>66</v>
      </c>
      <c r="C232" s="99">
        <v>953345.0</v>
      </c>
      <c r="D232" s="24">
        <f t="array" ref="D232">if(A232=B232,0,XLOOKUP(A232&amp;B232, $A:$A&amp;$B:$B, $C:$C))/25</f>
        <v>38133.8</v>
      </c>
      <c r="E232" s="40"/>
    </row>
    <row r="233">
      <c r="A233" s="101" t="s">
        <v>37</v>
      </c>
      <c r="B233" s="101" t="s">
        <v>67</v>
      </c>
      <c r="C233" s="99">
        <v>52384.0</v>
      </c>
      <c r="D233" s="24">
        <f t="array" ref="D233">if(A233=B233,0,XLOOKUP(A233&amp;B233, $A:$A&amp;$B:$B, $C:$C))/25</f>
        <v>2095.36</v>
      </c>
      <c r="E233" s="40"/>
    </row>
    <row r="234">
      <c r="A234" s="101" t="s">
        <v>37</v>
      </c>
      <c r="B234" s="101" t="s">
        <v>68</v>
      </c>
      <c r="C234" s="99">
        <v>254575.0</v>
      </c>
      <c r="D234" s="24">
        <f t="array" ref="D234">if(A234=B234,0,XLOOKUP(A234&amp;B234, $A:$A&amp;$B:$B, $C:$C))/25</f>
        <v>10183</v>
      </c>
      <c r="E234" s="40"/>
    </row>
    <row r="235">
      <c r="A235" s="101" t="s">
        <v>37</v>
      </c>
      <c r="B235" s="101" t="s">
        <v>69</v>
      </c>
      <c r="C235" s="99">
        <v>19122.0</v>
      </c>
      <c r="D235" s="24">
        <f t="array" ref="D235">if(A235=B235,0,XLOOKUP(A235&amp;B235, $A:$A&amp;$B:$B, $C:$C))/25</f>
        <v>764.88</v>
      </c>
      <c r="E235" s="40"/>
    </row>
    <row r="236">
      <c r="A236" s="101" t="s">
        <v>37</v>
      </c>
      <c r="B236" s="101" t="s">
        <v>70</v>
      </c>
      <c r="C236" s="99">
        <v>380906.0</v>
      </c>
      <c r="D236" s="24">
        <f t="array" ref="D236">if(A236=B236,0,XLOOKUP(A236&amp;B236, $A:$A&amp;$B:$B, $C:$C))/25</f>
        <v>15236.24</v>
      </c>
      <c r="E236" s="40"/>
    </row>
    <row r="237">
      <c r="A237" s="101" t="s">
        <v>37</v>
      </c>
      <c r="B237" s="101" t="s">
        <v>71</v>
      </c>
      <c r="C237" s="99">
        <v>180631.0</v>
      </c>
      <c r="D237" s="24">
        <f t="array" ref="D237">if(A237=B237,0,XLOOKUP(A237&amp;B237, $A:$A&amp;$B:$B, $C:$C))/25</f>
        <v>7225.24</v>
      </c>
      <c r="E237" s="40"/>
    </row>
    <row r="238">
      <c r="A238" s="101" t="s">
        <v>37</v>
      </c>
      <c r="B238" s="101" t="s">
        <v>72</v>
      </c>
      <c r="C238" s="99">
        <v>198817.0</v>
      </c>
      <c r="D238" s="24">
        <f t="array" ref="D238">if(A238=B238,0,XLOOKUP(A238&amp;B238, $A:$A&amp;$B:$B, $C:$C))/25</f>
        <v>7952.68</v>
      </c>
      <c r="E238" s="40"/>
    </row>
    <row r="239">
      <c r="A239" s="101" t="s">
        <v>37</v>
      </c>
      <c r="B239" s="101" t="s">
        <v>73</v>
      </c>
      <c r="C239" s="99">
        <v>117685.0</v>
      </c>
      <c r="D239" s="24">
        <f t="array" ref="D239">if(A239=B239,0,XLOOKUP(A239&amp;B239, $A:$A&amp;$B:$B, $C:$C))/25</f>
        <v>4707.4</v>
      </c>
      <c r="E239" s="40"/>
    </row>
    <row r="240">
      <c r="A240" s="101" t="s">
        <v>37</v>
      </c>
      <c r="B240" s="101" t="s">
        <v>74</v>
      </c>
      <c r="C240" s="99">
        <v>13865.0</v>
      </c>
      <c r="D240" s="24">
        <f t="array" ref="D240">if(A240=B240,0,XLOOKUP(A240&amp;B240, $A:$A&amp;$B:$B, $C:$C))/25</f>
        <v>554.6</v>
      </c>
      <c r="E240" s="40"/>
    </row>
    <row r="241">
      <c r="A241" s="101" t="s">
        <v>37</v>
      </c>
      <c r="B241" s="101" t="s">
        <v>75</v>
      </c>
      <c r="C241" s="99">
        <v>97313.0</v>
      </c>
      <c r="D241" s="24">
        <f t="array" ref="D241">if(A241=B241,0,XLOOKUP(A241&amp;B241, $A:$A&amp;$B:$B, $C:$C))/25</f>
        <v>3892.52</v>
      </c>
      <c r="E241" s="40"/>
    </row>
    <row r="242">
      <c r="A242" s="102" t="s">
        <v>62</v>
      </c>
      <c r="B242" s="102" t="s">
        <v>31</v>
      </c>
      <c r="C242" s="99">
        <v>2221.0</v>
      </c>
      <c r="D242" s="24">
        <f t="array" ref="D242">if(A242=B242,0,XLOOKUP(A242&amp;B242, $A:$A&amp;$B:$B, $C:$C))/25</f>
        <v>88.84</v>
      </c>
      <c r="E242" s="40"/>
    </row>
    <row r="243">
      <c r="A243" s="102" t="s">
        <v>62</v>
      </c>
      <c r="B243" s="102" t="s">
        <v>34</v>
      </c>
      <c r="C243" s="107">
        <v>707.0</v>
      </c>
      <c r="D243" s="24">
        <f t="array" ref="D243">if(A243=B243,0,XLOOKUP(A243&amp;B243, $A:$A&amp;$B:$B, $C:$C))/25</f>
        <v>28.28</v>
      </c>
      <c r="E243" s="40"/>
    </row>
    <row r="244">
      <c r="A244" s="102" t="s">
        <v>62</v>
      </c>
      <c r="B244" s="102" t="s">
        <v>36</v>
      </c>
      <c r="C244" s="99">
        <v>2899.0</v>
      </c>
      <c r="D244" s="24">
        <f t="array" ref="D244">if(A244=B244,0,XLOOKUP(A244&amp;B244, $A:$A&amp;$B:$B, $C:$C))/25</f>
        <v>115.96</v>
      </c>
      <c r="E244" s="40"/>
    </row>
    <row r="245">
      <c r="A245" s="102" t="s">
        <v>62</v>
      </c>
      <c r="B245" s="102" t="s">
        <v>32</v>
      </c>
      <c r="C245" s="99">
        <v>7674.0</v>
      </c>
      <c r="D245" s="24">
        <f t="array" ref="D245">if(A245=B245,0,XLOOKUP(A245&amp;B245, $A:$A&amp;$B:$B, $C:$C))/25</f>
        <v>306.96</v>
      </c>
      <c r="E245" s="40"/>
    </row>
    <row r="246">
      <c r="A246" s="102" t="s">
        <v>62</v>
      </c>
      <c r="B246" s="102" t="s">
        <v>38</v>
      </c>
      <c r="C246" s="99">
        <v>2690.0</v>
      </c>
      <c r="D246" s="24">
        <f t="array" ref="D246">if(A246=B246,0,XLOOKUP(A246&amp;B246, $A:$A&amp;$B:$B, $C:$C))/25</f>
        <v>107.6</v>
      </c>
      <c r="E246" s="40"/>
    </row>
    <row r="247">
      <c r="A247" s="102" t="s">
        <v>62</v>
      </c>
      <c r="B247" s="102" t="s">
        <v>33</v>
      </c>
      <c r="C247" s="99">
        <v>338124.0</v>
      </c>
      <c r="D247" s="24">
        <f t="array" ref="D247">if(A247=B247,0,XLOOKUP(A247&amp;B247, $A:$A&amp;$B:$B, $C:$C))/25</f>
        <v>13524.96</v>
      </c>
      <c r="E247" s="40"/>
    </row>
    <row r="248">
      <c r="A248" s="102" t="s">
        <v>62</v>
      </c>
      <c r="B248" s="102" t="s">
        <v>39</v>
      </c>
      <c r="C248" s="99">
        <v>1789.0</v>
      </c>
      <c r="D248" s="24">
        <f t="array" ref="D248">if(A248=B248,0,XLOOKUP(A248&amp;B248, $A:$A&amp;$B:$B, $C:$C))/25</f>
        <v>71.56</v>
      </c>
      <c r="E248" s="40"/>
    </row>
    <row r="249">
      <c r="A249" s="102" t="s">
        <v>62</v>
      </c>
      <c r="B249" s="102" t="s">
        <v>35</v>
      </c>
      <c r="C249" s="99">
        <v>40376.0</v>
      </c>
      <c r="D249" s="24">
        <f t="array" ref="D249">if(A249=B249,0,XLOOKUP(A249&amp;B249, $A:$A&amp;$B:$B, $C:$C))/25</f>
        <v>1615.04</v>
      </c>
      <c r="E249" s="40"/>
    </row>
    <row r="250">
      <c r="A250" s="102" t="s">
        <v>62</v>
      </c>
      <c r="B250" s="102" t="s">
        <v>40</v>
      </c>
      <c r="C250" s="99">
        <v>2352.0</v>
      </c>
      <c r="D250" s="24">
        <f t="array" ref="D250">if(A250=B250,0,XLOOKUP(A250&amp;B250, $A:$A&amp;$B:$B, $C:$C))/25</f>
        <v>94.08</v>
      </c>
      <c r="E250" s="40"/>
    </row>
    <row r="251">
      <c r="A251" s="102" t="s">
        <v>62</v>
      </c>
      <c r="B251" s="102" t="s">
        <v>37</v>
      </c>
      <c r="C251" s="99">
        <v>9654.0</v>
      </c>
      <c r="D251" s="24">
        <f t="array" ref="D251">if(A251=B251,0,XLOOKUP(A251&amp;B251, $A:$A&amp;$B:$B, $C:$C))/25</f>
        <v>386.16</v>
      </c>
      <c r="E251" s="40"/>
    </row>
    <row r="252">
      <c r="A252" s="102" t="s">
        <v>62</v>
      </c>
      <c r="B252" s="102" t="s">
        <v>62</v>
      </c>
      <c r="C252" s="99">
        <v>1008910.0</v>
      </c>
      <c r="D252" s="24">
        <f t="array" ref="D252">if(A252=B252,0,XLOOKUP(A252&amp;B252, $A:$A&amp;$B:$B, $C:$C))/25</f>
        <v>0</v>
      </c>
      <c r="E252" s="40"/>
    </row>
    <row r="253">
      <c r="A253" s="102" t="s">
        <v>62</v>
      </c>
      <c r="B253" s="102" t="s">
        <v>64</v>
      </c>
      <c r="C253" s="99">
        <v>74919.0</v>
      </c>
      <c r="D253" s="24">
        <f t="array" ref="D253">if(A253=B253,0,XLOOKUP(A253&amp;B253, $A:$A&amp;$B:$B, $C:$C))/25</f>
        <v>2996.76</v>
      </c>
      <c r="E253" s="40"/>
    </row>
    <row r="254">
      <c r="A254" s="102" t="s">
        <v>62</v>
      </c>
      <c r="B254" s="102" t="s">
        <v>63</v>
      </c>
      <c r="C254" s="99">
        <v>712058.0</v>
      </c>
      <c r="D254" s="24">
        <f t="array" ref="D254">if(A254=B254,0,XLOOKUP(A254&amp;B254, $A:$A&amp;$B:$B, $C:$C))/25</f>
        <v>28482.32</v>
      </c>
      <c r="E254" s="40"/>
    </row>
    <row r="255">
      <c r="A255" s="102" t="s">
        <v>62</v>
      </c>
      <c r="B255" s="102" t="s">
        <v>65</v>
      </c>
      <c r="C255" s="99">
        <v>6708.0</v>
      </c>
      <c r="D255" s="24">
        <f t="array" ref="D255">if(A255=B255,0,XLOOKUP(A255&amp;B255, $A:$A&amp;$B:$B, $C:$C))/25</f>
        <v>268.32</v>
      </c>
      <c r="E255" s="40"/>
    </row>
    <row r="256">
      <c r="A256" s="102" t="s">
        <v>62</v>
      </c>
      <c r="B256" s="102" t="s">
        <v>66</v>
      </c>
      <c r="C256" s="99">
        <v>74548.0</v>
      </c>
      <c r="D256" s="24">
        <f t="array" ref="D256">if(A256=B256,0,XLOOKUP(A256&amp;B256, $A:$A&amp;$B:$B, $C:$C))/25</f>
        <v>2981.92</v>
      </c>
      <c r="E256" s="40"/>
    </row>
    <row r="257">
      <c r="A257" s="102" t="s">
        <v>62</v>
      </c>
      <c r="B257" s="102" t="s">
        <v>67</v>
      </c>
      <c r="C257" s="107">
        <v>821.0</v>
      </c>
      <c r="D257" s="24">
        <f t="array" ref="D257">if(A257=B257,0,XLOOKUP(A257&amp;B257, $A:$A&amp;$B:$B, $C:$C))/25</f>
        <v>32.84</v>
      </c>
      <c r="E257" s="40"/>
    </row>
    <row r="258">
      <c r="A258" s="102" t="s">
        <v>62</v>
      </c>
      <c r="B258" s="102" t="s">
        <v>68</v>
      </c>
      <c r="C258" s="99">
        <v>4683.0</v>
      </c>
      <c r="D258" s="24">
        <f t="array" ref="D258">if(A258=B258,0,XLOOKUP(A258&amp;B258, $A:$A&amp;$B:$B, $C:$C))/25</f>
        <v>187.32</v>
      </c>
      <c r="E258" s="40"/>
    </row>
    <row r="259">
      <c r="A259" s="102" t="s">
        <v>62</v>
      </c>
      <c r="B259" s="102" t="s">
        <v>69</v>
      </c>
      <c r="C259" s="107">
        <v>206.0</v>
      </c>
      <c r="D259" s="24">
        <f t="array" ref="D259">if(A259=B259,0,XLOOKUP(A259&amp;B259, $A:$A&amp;$B:$B, $C:$C))/25</f>
        <v>8.24</v>
      </c>
      <c r="E259" s="40"/>
    </row>
    <row r="260">
      <c r="A260" s="102" t="s">
        <v>62</v>
      </c>
      <c r="B260" s="102" t="s">
        <v>70</v>
      </c>
      <c r="C260" s="99">
        <v>10741.0</v>
      </c>
      <c r="D260" s="24">
        <f t="array" ref="D260">if(A260=B260,0,XLOOKUP(A260&amp;B260, $A:$A&amp;$B:$B, $C:$C))/25</f>
        <v>429.64</v>
      </c>
      <c r="E260" s="40"/>
    </row>
    <row r="261">
      <c r="A261" s="102" t="s">
        <v>62</v>
      </c>
      <c r="B261" s="102" t="s">
        <v>71</v>
      </c>
      <c r="C261" s="99">
        <v>4166.0</v>
      </c>
      <c r="D261" s="24">
        <f t="array" ref="D261">if(A261=B261,0,XLOOKUP(A261&amp;B261, $A:$A&amp;$B:$B, $C:$C))/25</f>
        <v>166.64</v>
      </c>
      <c r="E261" s="40"/>
    </row>
    <row r="262">
      <c r="A262" s="102" t="s">
        <v>62</v>
      </c>
      <c r="B262" s="102" t="s">
        <v>72</v>
      </c>
      <c r="C262" s="99">
        <v>3268.0</v>
      </c>
      <c r="D262" s="24">
        <f t="array" ref="D262">if(A262=B262,0,XLOOKUP(A262&amp;B262, $A:$A&amp;$B:$B, $C:$C))/25</f>
        <v>130.72</v>
      </c>
      <c r="E262" s="40"/>
    </row>
    <row r="263">
      <c r="A263" s="102" t="s">
        <v>62</v>
      </c>
      <c r="B263" s="102" t="s">
        <v>73</v>
      </c>
      <c r="C263" s="99">
        <v>1563.0</v>
      </c>
      <c r="D263" s="24">
        <f t="array" ref="D263">if(A263=B263,0,XLOOKUP(A263&amp;B263, $A:$A&amp;$B:$B, $C:$C))/25</f>
        <v>62.52</v>
      </c>
      <c r="E263" s="40"/>
    </row>
    <row r="264">
      <c r="A264" s="102" t="s">
        <v>62</v>
      </c>
      <c r="B264" s="102" t="s">
        <v>74</v>
      </c>
      <c r="C264" s="107">
        <v>283.0</v>
      </c>
      <c r="D264" s="24">
        <f t="array" ref="D264">if(A264=B264,0,XLOOKUP(A264&amp;B264, $A:$A&amp;$B:$B, $C:$C))/25</f>
        <v>11.32</v>
      </c>
      <c r="E264" s="40"/>
    </row>
    <row r="265">
      <c r="A265" s="102" t="s">
        <v>62</v>
      </c>
      <c r="B265" s="102" t="s">
        <v>75</v>
      </c>
      <c r="C265" s="99">
        <v>1424.0</v>
      </c>
      <c r="D265" s="24">
        <f t="array" ref="D265">if(A265=B265,0,XLOOKUP(A265&amp;B265, $A:$A&amp;$B:$B, $C:$C))/25</f>
        <v>56.96</v>
      </c>
      <c r="E265" s="40"/>
    </row>
    <row r="266">
      <c r="A266" s="103" t="s">
        <v>64</v>
      </c>
      <c r="B266" s="103" t="s">
        <v>31</v>
      </c>
      <c r="C266" s="99">
        <v>149866.0</v>
      </c>
      <c r="D266" s="24">
        <f t="array" ref="D266">if(A266=B266,0,XLOOKUP(A266&amp;B266, $A:$A&amp;$B:$B, $C:$C))/25</f>
        <v>5994.64</v>
      </c>
      <c r="E266" s="40"/>
    </row>
    <row r="267">
      <c r="A267" s="103" t="s">
        <v>64</v>
      </c>
      <c r="B267" s="103" t="s">
        <v>34</v>
      </c>
      <c r="C267" s="99">
        <v>84683.0</v>
      </c>
      <c r="D267" s="24">
        <f t="array" ref="D267">if(A267=B267,0,XLOOKUP(A267&amp;B267, $A:$A&amp;$B:$B, $C:$C))/25</f>
        <v>3387.32</v>
      </c>
      <c r="E267" s="40"/>
    </row>
    <row r="268">
      <c r="A268" s="103" t="s">
        <v>64</v>
      </c>
      <c r="B268" s="103" t="s">
        <v>36</v>
      </c>
      <c r="C268" s="99">
        <v>278081.0</v>
      </c>
      <c r="D268" s="24">
        <f t="array" ref="D268">if(A268=B268,0,XLOOKUP(A268&amp;B268, $A:$A&amp;$B:$B, $C:$C))/25</f>
        <v>11123.24</v>
      </c>
      <c r="E268" s="40"/>
    </row>
    <row r="269">
      <c r="A269" s="103" t="s">
        <v>64</v>
      </c>
      <c r="B269" s="103" t="s">
        <v>32</v>
      </c>
      <c r="C269" s="99">
        <v>360131.0</v>
      </c>
      <c r="D269" s="24">
        <f t="array" ref="D269">if(A269=B269,0,XLOOKUP(A269&amp;B269, $A:$A&amp;$B:$B, $C:$C))/25</f>
        <v>14405.24</v>
      </c>
      <c r="E269" s="40"/>
    </row>
    <row r="270">
      <c r="A270" s="103" t="s">
        <v>64</v>
      </c>
      <c r="B270" s="103" t="s">
        <v>38</v>
      </c>
      <c r="C270" s="99">
        <v>87626.0</v>
      </c>
      <c r="D270" s="24">
        <f t="array" ref="D270">if(A270=B270,0,XLOOKUP(A270&amp;B270, $A:$A&amp;$B:$B, $C:$C))/25</f>
        <v>3505.04</v>
      </c>
      <c r="E270" s="40"/>
    </row>
    <row r="271">
      <c r="A271" s="103" t="s">
        <v>64</v>
      </c>
      <c r="B271" s="103" t="s">
        <v>33</v>
      </c>
      <c r="C271" s="99">
        <v>1905021.0</v>
      </c>
      <c r="D271" s="24">
        <f t="array" ref="D271">if(A271=B271,0,XLOOKUP(A271&amp;B271, $A:$A&amp;$B:$B, $C:$C))/25</f>
        <v>76200.84</v>
      </c>
      <c r="E271" s="40"/>
    </row>
    <row r="272">
      <c r="A272" s="103" t="s">
        <v>64</v>
      </c>
      <c r="B272" s="103" t="s">
        <v>39</v>
      </c>
      <c r="C272" s="99">
        <v>273905.0</v>
      </c>
      <c r="D272" s="24">
        <f t="array" ref="D272">if(A272=B272,0,XLOOKUP(A272&amp;B272, $A:$A&amp;$B:$B, $C:$C))/25</f>
        <v>10956.2</v>
      </c>
      <c r="E272" s="40"/>
    </row>
    <row r="273">
      <c r="A273" s="103" t="s">
        <v>64</v>
      </c>
      <c r="B273" s="103" t="s">
        <v>35</v>
      </c>
      <c r="C273" s="99">
        <v>971418.0</v>
      </c>
      <c r="D273" s="24">
        <f t="array" ref="D273">if(A273=B273,0,XLOOKUP(A273&amp;B273, $A:$A&amp;$B:$B, $C:$C))/25</f>
        <v>38856.72</v>
      </c>
      <c r="E273" s="40"/>
    </row>
    <row r="274">
      <c r="A274" s="103" t="s">
        <v>64</v>
      </c>
      <c r="B274" s="103" t="s">
        <v>40</v>
      </c>
      <c r="C274" s="99">
        <v>148025.0</v>
      </c>
      <c r="D274" s="24">
        <f t="array" ref="D274">if(A274=B274,0,XLOOKUP(A274&amp;B274, $A:$A&amp;$B:$B, $C:$C))/25</f>
        <v>5921</v>
      </c>
      <c r="E274" s="40"/>
    </row>
    <row r="275">
      <c r="A275" s="103" t="s">
        <v>64</v>
      </c>
      <c r="B275" s="103" t="s">
        <v>37</v>
      </c>
      <c r="C275" s="99">
        <v>420213.0</v>
      </c>
      <c r="D275" s="24">
        <f t="array" ref="D275">if(A275=B275,0,XLOOKUP(A275&amp;B275, $A:$A&amp;$B:$B, $C:$C))/25</f>
        <v>16808.52</v>
      </c>
      <c r="E275" s="40"/>
    </row>
    <row r="276">
      <c r="A276" s="103" t="s">
        <v>64</v>
      </c>
      <c r="B276" s="103" t="s">
        <v>62</v>
      </c>
      <c r="C276" s="99">
        <v>1725434.0</v>
      </c>
      <c r="D276" s="24">
        <f t="array" ref="D276">if(A276=B276,0,XLOOKUP(A276&amp;B276, $A:$A&amp;$B:$B, $C:$C))/25</f>
        <v>69017.36</v>
      </c>
      <c r="E276" s="40"/>
    </row>
    <row r="277">
      <c r="A277" s="103" t="s">
        <v>64</v>
      </c>
      <c r="B277" s="103" t="s">
        <v>64</v>
      </c>
      <c r="C277" s="99">
        <v>2.3744998E7</v>
      </c>
      <c r="D277" s="24">
        <f t="array" ref="D277">if(A277=B277,0,XLOOKUP(A277&amp;B277, $A:$A&amp;$B:$B, $C:$C))/25</f>
        <v>0</v>
      </c>
      <c r="E277" s="40"/>
    </row>
    <row r="278">
      <c r="A278" s="103" t="s">
        <v>64</v>
      </c>
      <c r="B278" s="103" t="s">
        <v>63</v>
      </c>
      <c r="C278" s="99">
        <v>7326096.0</v>
      </c>
      <c r="D278" s="24">
        <f t="array" ref="D278">if(A278=B278,0,XLOOKUP(A278&amp;B278, $A:$A&amp;$B:$B, $C:$C))/25</f>
        <v>293043.84</v>
      </c>
      <c r="E278" s="40"/>
    </row>
    <row r="279">
      <c r="A279" s="103" t="s">
        <v>64</v>
      </c>
      <c r="B279" s="103" t="s">
        <v>65</v>
      </c>
      <c r="C279" s="99">
        <v>1345272.0</v>
      </c>
      <c r="D279" s="24">
        <f t="array" ref="D279">if(A279=B279,0,XLOOKUP(A279&amp;B279, $A:$A&amp;$B:$B, $C:$C))/25</f>
        <v>53810.88</v>
      </c>
      <c r="E279" s="40"/>
    </row>
    <row r="280">
      <c r="A280" s="103" t="s">
        <v>64</v>
      </c>
      <c r="B280" s="103" t="s">
        <v>66</v>
      </c>
      <c r="C280" s="99">
        <v>7765225.0</v>
      </c>
      <c r="D280" s="24">
        <f t="array" ref="D280">if(A280=B280,0,XLOOKUP(A280&amp;B280, $A:$A&amp;$B:$B, $C:$C))/25</f>
        <v>310609</v>
      </c>
      <c r="E280" s="40"/>
    </row>
    <row r="281">
      <c r="A281" s="103" t="s">
        <v>64</v>
      </c>
      <c r="B281" s="103" t="s">
        <v>67</v>
      </c>
      <c r="C281" s="99">
        <v>92560.0</v>
      </c>
      <c r="D281" s="24">
        <f t="array" ref="D281">if(A281=B281,0,XLOOKUP(A281&amp;B281, $A:$A&amp;$B:$B, $C:$C))/25</f>
        <v>3702.4</v>
      </c>
      <c r="E281" s="40"/>
    </row>
    <row r="282">
      <c r="A282" s="103" t="s">
        <v>64</v>
      </c>
      <c r="B282" s="103" t="s">
        <v>68</v>
      </c>
      <c r="C282" s="99">
        <v>408653.0</v>
      </c>
      <c r="D282" s="24">
        <f t="array" ref="D282">if(A282=B282,0,XLOOKUP(A282&amp;B282, $A:$A&amp;$B:$B, $C:$C))/25</f>
        <v>16346.12</v>
      </c>
      <c r="E282" s="40"/>
    </row>
    <row r="283">
      <c r="A283" s="103" t="s">
        <v>64</v>
      </c>
      <c r="B283" s="103" t="s">
        <v>69</v>
      </c>
      <c r="C283" s="99">
        <v>30170.0</v>
      </c>
      <c r="D283" s="24">
        <f t="array" ref="D283">if(A283=B283,0,XLOOKUP(A283&amp;B283, $A:$A&amp;$B:$B, $C:$C))/25</f>
        <v>1206.8</v>
      </c>
      <c r="E283" s="40"/>
    </row>
    <row r="284">
      <c r="A284" s="103" t="s">
        <v>64</v>
      </c>
      <c r="B284" s="103" t="s">
        <v>70</v>
      </c>
      <c r="C284" s="99">
        <v>363074.0</v>
      </c>
      <c r="D284" s="24">
        <f t="array" ref="D284">if(A284=B284,0,XLOOKUP(A284&amp;B284, $A:$A&amp;$B:$B, $C:$C))/25</f>
        <v>14522.96</v>
      </c>
      <c r="E284" s="40"/>
    </row>
    <row r="285">
      <c r="A285" s="103" t="s">
        <v>64</v>
      </c>
      <c r="B285" s="103" t="s">
        <v>71</v>
      </c>
      <c r="C285" s="99">
        <v>430122.0</v>
      </c>
      <c r="D285" s="24">
        <f t="array" ref="D285">if(A285=B285,0,XLOOKUP(A285&amp;B285, $A:$A&amp;$B:$B, $C:$C))/25</f>
        <v>17204.88</v>
      </c>
      <c r="E285" s="40"/>
    </row>
    <row r="286">
      <c r="A286" s="103" t="s">
        <v>64</v>
      </c>
      <c r="B286" s="103" t="s">
        <v>72</v>
      </c>
      <c r="C286" s="99">
        <v>286685.0</v>
      </c>
      <c r="D286" s="24">
        <f t="array" ref="D286">if(A286=B286,0,XLOOKUP(A286&amp;B286, $A:$A&amp;$B:$B, $C:$C))/25</f>
        <v>11467.4</v>
      </c>
      <c r="E286" s="40"/>
    </row>
    <row r="287">
      <c r="A287" s="103" t="s">
        <v>64</v>
      </c>
      <c r="B287" s="103" t="s">
        <v>73</v>
      </c>
      <c r="C287" s="99">
        <v>248132.0</v>
      </c>
      <c r="D287" s="24">
        <f t="array" ref="D287">if(A287=B287,0,XLOOKUP(A287&amp;B287, $A:$A&amp;$B:$B, $C:$C))/25</f>
        <v>9925.28</v>
      </c>
      <c r="E287" s="40"/>
    </row>
    <row r="288">
      <c r="A288" s="103" t="s">
        <v>64</v>
      </c>
      <c r="B288" s="103" t="s">
        <v>74</v>
      </c>
      <c r="C288" s="99">
        <v>20117.0</v>
      </c>
      <c r="D288" s="24">
        <f t="array" ref="D288">if(A288=B288,0,XLOOKUP(A288&amp;B288, $A:$A&amp;$B:$B, $C:$C))/25</f>
        <v>804.68</v>
      </c>
      <c r="E288" s="40"/>
    </row>
    <row r="289">
      <c r="A289" s="103" t="s">
        <v>64</v>
      </c>
      <c r="B289" s="103" t="s">
        <v>75</v>
      </c>
      <c r="C289" s="99">
        <v>176128.0</v>
      </c>
      <c r="D289" s="24">
        <f t="array" ref="D289">if(A289=B289,0,XLOOKUP(A289&amp;B289, $A:$A&amp;$B:$B, $C:$C))/25</f>
        <v>7045.12</v>
      </c>
      <c r="E289" s="40"/>
    </row>
    <row r="290">
      <c r="A290" s="104" t="s">
        <v>63</v>
      </c>
      <c r="B290" s="104" t="s">
        <v>31</v>
      </c>
      <c r="C290" s="99">
        <v>404294.0</v>
      </c>
      <c r="D290" s="24">
        <f t="array" ref="D290">if(A290=B290,0,XLOOKUP(A290&amp;B290, $A:$A&amp;$B:$B, $C:$C))/25</f>
        <v>16171.76</v>
      </c>
      <c r="E290" s="40"/>
    </row>
    <row r="291">
      <c r="A291" s="104" t="s">
        <v>63</v>
      </c>
      <c r="B291" s="104" t="s">
        <v>34</v>
      </c>
      <c r="C291" s="99">
        <v>183683.0</v>
      </c>
      <c r="D291" s="24">
        <f t="array" ref="D291">if(A291=B291,0,XLOOKUP(A291&amp;B291, $A:$A&amp;$B:$B, $C:$C))/25</f>
        <v>7347.32</v>
      </c>
      <c r="E291" s="40"/>
    </row>
    <row r="292">
      <c r="A292" s="104" t="s">
        <v>63</v>
      </c>
      <c r="B292" s="104" t="s">
        <v>36</v>
      </c>
      <c r="C292" s="99">
        <v>229486.0</v>
      </c>
      <c r="D292" s="24">
        <f t="array" ref="D292">if(A292=B292,0,XLOOKUP(A292&amp;B292, $A:$A&amp;$B:$B, $C:$C))/25</f>
        <v>9179.44</v>
      </c>
      <c r="E292" s="40"/>
    </row>
    <row r="293">
      <c r="A293" s="104" t="s">
        <v>63</v>
      </c>
      <c r="B293" s="104" t="s">
        <v>32</v>
      </c>
      <c r="C293" s="99">
        <v>487888.0</v>
      </c>
      <c r="D293" s="24">
        <f t="array" ref="D293">if(A293=B293,0,XLOOKUP(A293&amp;B293, $A:$A&amp;$B:$B, $C:$C))/25</f>
        <v>19515.52</v>
      </c>
      <c r="E293" s="40"/>
    </row>
    <row r="294">
      <c r="A294" s="104" t="s">
        <v>63</v>
      </c>
      <c r="B294" s="104" t="s">
        <v>38</v>
      </c>
      <c r="C294" s="99">
        <v>142117.0</v>
      </c>
      <c r="D294" s="24">
        <f t="array" ref="D294">if(A294=B294,0,XLOOKUP(A294&amp;B294, $A:$A&amp;$B:$B, $C:$C))/25</f>
        <v>5684.68</v>
      </c>
      <c r="E294" s="40"/>
    </row>
    <row r="295">
      <c r="A295" s="104" t="s">
        <v>63</v>
      </c>
      <c r="B295" s="104" t="s">
        <v>33</v>
      </c>
      <c r="C295" s="99">
        <v>4103375.0</v>
      </c>
      <c r="D295" s="24">
        <f t="array" ref="D295">if(A295=B295,0,XLOOKUP(A295&amp;B295, $A:$A&amp;$B:$B, $C:$C))/25</f>
        <v>164135</v>
      </c>
      <c r="E295" s="40"/>
    </row>
    <row r="296">
      <c r="A296" s="104" t="s">
        <v>63</v>
      </c>
      <c r="B296" s="104" t="s">
        <v>39</v>
      </c>
      <c r="C296" s="99">
        <v>251607.0</v>
      </c>
      <c r="D296" s="24">
        <f t="array" ref="D296">if(A296=B296,0,XLOOKUP(A296&amp;B296, $A:$A&amp;$B:$B, $C:$C))/25</f>
        <v>10064.28</v>
      </c>
      <c r="E296" s="40"/>
    </row>
    <row r="297">
      <c r="A297" s="104" t="s">
        <v>63</v>
      </c>
      <c r="B297" s="104" t="s">
        <v>35</v>
      </c>
      <c r="C297" s="99">
        <v>1972177.0</v>
      </c>
      <c r="D297" s="24">
        <f t="array" ref="D297">if(A297=B297,0,XLOOKUP(A297&amp;B297, $A:$A&amp;$B:$B, $C:$C))/25</f>
        <v>78887.08</v>
      </c>
      <c r="E297" s="40"/>
    </row>
    <row r="298">
      <c r="A298" s="104" t="s">
        <v>63</v>
      </c>
      <c r="B298" s="104" t="s">
        <v>40</v>
      </c>
      <c r="C298" s="99">
        <v>272194.0</v>
      </c>
      <c r="D298" s="24">
        <f t="array" ref="D298">if(A298=B298,0,XLOOKUP(A298&amp;B298, $A:$A&amp;$B:$B, $C:$C))/25</f>
        <v>10887.76</v>
      </c>
      <c r="E298" s="40"/>
    </row>
    <row r="299">
      <c r="A299" s="104" t="s">
        <v>63</v>
      </c>
      <c r="B299" s="104" t="s">
        <v>37</v>
      </c>
      <c r="C299" s="99">
        <v>622480.0</v>
      </c>
      <c r="D299" s="24">
        <f t="array" ref="D299">if(A299=B299,0,XLOOKUP(A299&amp;B299, $A:$A&amp;$B:$B, $C:$C))/25</f>
        <v>24899.2</v>
      </c>
      <c r="E299" s="40"/>
    </row>
    <row r="300">
      <c r="A300" s="104" t="s">
        <v>63</v>
      </c>
      <c r="B300" s="104" t="s">
        <v>62</v>
      </c>
      <c r="C300" s="99">
        <v>4651318.0</v>
      </c>
      <c r="D300" s="24">
        <f t="array" ref="D300">if(A300=B300,0,XLOOKUP(A300&amp;B300, $A:$A&amp;$B:$B, $C:$C))/25</f>
        <v>186052.72</v>
      </c>
      <c r="E300" s="40"/>
    </row>
    <row r="301">
      <c r="A301" s="104" t="s">
        <v>63</v>
      </c>
      <c r="B301" s="104" t="s">
        <v>64</v>
      </c>
      <c r="C301" s="99">
        <v>6009666.0</v>
      </c>
      <c r="D301" s="24">
        <f t="array" ref="D301">if(A301=B301,0,XLOOKUP(A301&amp;B301, $A:$A&amp;$B:$B, $C:$C))/25</f>
        <v>240386.64</v>
      </c>
      <c r="E301" s="40"/>
    </row>
    <row r="302">
      <c r="A302" s="104" t="s">
        <v>63</v>
      </c>
      <c r="B302" s="104" t="s">
        <v>63</v>
      </c>
      <c r="C302" s="99">
        <v>3.9550598E7</v>
      </c>
      <c r="D302" s="24">
        <f t="array" ref="D302">if(A302=B302,0,XLOOKUP(A302&amp;B302, $A:$A&amp;$B:$B, $C:$C))/25</f>
        <v>0</v>
      </c>
      <c r="E302" s="40"/>
    </row>
    <row r="303">
      <c r="A303" s="104" t="s">
        <v>63</v>
      </c>
      <c r="B303" s="104" t="s">
        <v>65</v>
      </c>
      <c r="C303" s="99">
        <v>499170.0</v>
      </c>
      <c r="D303" s="24">
        <f t="array" ref="D303">if(A303=B303,0,XLOOKUP(A303&amp;B303, $A:$A&amp;$B:$B, $C:$C))/25</f>
        <v>19966.8</v>
      </c>
      <c r="E303" s="40"/>
    </row>
    <row r="304">
      <c r="A304" s="104" t="s">
        <v>63</v>
      </c>
      <c r="B304" s="104" t="s">
        <v>66</v>
      </c>
      <c r="C304" s="99">
        <v>3378038.0</v>
      </c>
      <c r="D304" s="24">
        <f t="array" ref="D304">if(A304=B304,0,XLOOKUP(A304&amp;B304, $A:$A&amp;$B:$B, $C:$C))/25</f>
        <v>135121.52</v>
      </c>
      <c r="E304" s="40"/>
    </row>
    <row r="305">
      <c r="A305" s="104" t="s">
        <v>63</v>
      </c>
      <c r="B305" s="104" t="s">
        <v>67</v>
      </c>
      <c r="C305" s="99">
        <v>167932.0</v>
      </c>
      <c r="D305" s="24">
        <f t="array" ref="D305">if(A305=B305,0,XLOOKUP(A305&amp;B305, $A:$A&amp;$B:$B, $C:$C))/25</f>
        <v>6717.28</v>
      </c>
      <c r="E305" s="40"/>
    </row>
    <row r="306">
      <c r="A306" s="104" t="s">
        <v>63</v>
      </c>
      <c r="B306" s="104" t="s">
        <v>68</v>
      </c>
      <c r="C306" s="99">
        <v>645408.0</v>
      </c>
      <c r="D306" s="24">
        <f t="array" ref="D306">if(A306=B306,0,XLOOKUP(A306&amp;B306, $A:$A&amp;$B:$B, $C:$C))/25</f>
        <v>25816.32</v>
      </c>
      <c r="E306" s="40"/>
    </row>
    <row r="307">
      <c r="A307" s="104" t="s">
        <v>63</v>
      </c>
      <c r="B307" s="104" t="s">
        <v>69</v>
      </c>
      <c r="C307" s="99">
        <v>38307.0</v>
      </c>
      <c r="D307" s="24">
        <f t="array" ref="D307">if(A307=B307,0,XLOOKUP(A307&amp;B307, $A:$A&amp;$B:$B, $C:$C))/25</f>
        <v>1532.28</v>
      </c>
      <c r="E307" s="40"/>
    </row>
    <row r="308">
      <c r="A308" s="104" t="s">
        <v>63</v>
      </c>
      <c r="B308" s="104" t="s">
        <v>70</v>
      </c>
      <c r="C308" s="99">
        <v>441907.0</v>
      </c>
      <c r="D308" s="24">
        <f t="array" ref="D308">if(A308=B308,0,XLOOKUP(A308&amp;B308, $A:$A&amp;$B:$B, $C:$C))/25</f>
        <v>17676.28</v>
      </c>
      <c r="E308" s="40"/>
    </row>
    <row r="309">
      <c r="A309" s="104" t="s">
        <v>63</v>
      </c>
      <c r="B309" s="104" t="s">
        <v>71</v>
      </c>
      <c r="C309" s="99">
        <v>457185.0</v>
      </c>
      <c r="D309" s="24">
        <f t="array" ref="D309">if(A309=B309,0,XLOOKUP(A309&amp;B309, $A:$A&amp;$B:$B, $C:$C))/25</f>
        <v>18287.4</v>
      </c>
      <c r="E309" s="40"/>
    </row>
    <row r="310">
      <c r="A310" s="104" t="s">
        <v>63</v>
      </c>
      <c r="B310" s="104" t="s">
        <v>72</v>
      </c>
      <c r="C310" s="99">
        <v>365568.0</v>
      </c>
      <c r="D310" s="24">
        <f t="array" ref="D310">if(A310=B310,0,XLOOKUP(A310&amp;B310, $A:$A&amp;$B:$B, $C:$C))/25</f>
        <v>14622.72</v>
      </c>
      <c r="E310" s="40"/>
    </row>
    <row r="311">
      <c r="A311" s="104" t="s">
        <v>63</v>
      </c>
      <c r="B311" s="104" t="s">
        <v>73</v>
      </c>
      <c r="C311" s="99">
        <v>253443.0</v>
      </c>
      <c r="D311" s="24">
        <f t="array" ref="D311">if(A311=B311,0,XLOOKUP(A311&amp;B311, $A:$A&amp;$B:$B, $C:$C))/25</f>
        <v>10137.72</v>
      </c>
      <c r="E311" s="40"/>
    </row>
    <row r="312">
      <c r="A312" s="104" t="s">
        <v>63</v>
      </c>
      <c r="B312" s="104" t="s">
        <v>74</v>
      </c>
      <c r="C312" s="99">
        <v>20805.0</v>
      </c>
      <c r="D312" s="24">
        <f t="array" ref="D312">if(A312=B312,0,XLOOKUP(A312&amp;B312, $A:$A&amp;$B:$B, $C:$C))/25</f>
        <v>832.2</v>
      </c>
      <c r="E312" s="40"/>
    </row>
    <row r="313">
      <c r="A313" s="104" t="s">
        <v>63</v>
      </c>
      <c r="B313" s="104" t="s">
        <v>75</v>
      </c>
      <c r="C313" s="99">
        <v>147555.0</v>
      </c>
      <c r="D313" s="24">
        <f t="array" ref="D313">if(A313=B313,0,XLOOKUP(A313&amp;B313, $A:$A&amp;$B:$B, $C:$C))/25</f>
        <v>5902.2</v>
      </c>
      <c r="E313" s="40"/>
    </row>
    <row r="314">
      <c r="A314" s="105" t="s">
        <v>65</v>
      </c>
      <c r="B314" s="105" t="s">
        <v>31</v>
      </c>
      <c r="C314" s="99">
        <v>5134.0</v>
      </c>
      <c r="D314" s="24">
        <f t="array" ref="D314">if(A314=B314,0,XLOOKUP(A314&amp;B314, $A:$A&amp;$B:$B, $C:$C))/25</f>
        <v>205.36</v>
      </c>
      <c r="E314" s="40"/>
    </row>
    <row r="315">
      <c r="A315" s="105" t="s">
        <v>65</v>
      </c>
      <c r="B315" s="105" t="s">
        <v>34</v>
      </c>
      <c r="C315" s="99">
        <v>2606.0</v>
      </c>
      <c r="D315" s="24">
        <f t="array" ref="D315">if(A315=B315,0,XLOOKUP(A315&amp;B315, $A:$A&amp;$B:$B, $C:$C))/25</f>
        <v>104.24</v>
      </c>
      <c r="E315" s="40"/>
    </row>
    <row r="316">
      <c r="A316" s="105" t="s">
        <v>65</v>
      </c>
      <c r="B316" s="105" t="s">
        <v>36</v>
      </c>
      <c r="C316" s="99">
        <v>10449.0</v>
      </c>
      <c r="D316" s="24">
        <f t="array" ref="D316">if(A316=B316,0,XLOOKUP(A316&amp;B316, $A:$A&amp;$B:$B, $C:$C))/25</f>
        <v>417.96</v>
      </c>
      <c r="E316" s="40"/>
    </row>
    <row r="317">
      <c r="A317" s="105" t="s">
        <v>65</v>
      </c>
      <c r="B317" s="105" t="s">
        <v>32</v>
      </c>
      <c r="C317" s="99">
        <v>16412.0</v>
      </c>
      <c r="D317" s="24">
        <f t="array" ref="D317">if(A317=B317,0,XLOOKUP(A317&amp;B317, $A:$A&amp;$B:$B, $C:$C))/25</f>
        <v>656.48</v>
      </c>
      <c r="E317" s="40"/>
    </row>
    <row r="318">
      <c r="A318" s="105" t="s">
        <v>65</v>
      </c>
      <c r="B318" s="105" t="s">
        <v>38</v>
      </c>
      <c r="C318" s="99">
        <v>2688.0</v>
      </c>
      <c r="D318" s="24">
        <f t="array" ref="D318">if(A318=B318,0,XLOOKUP(A318&amp;B318, $A:$A&amp;$B:$B, $C:$C))/25</f>
        <v>107.52</v>
      </c>
      <c r="E318" s="40"/>
    </row>
    <row r="319">
      <c r="A319" s="105" t="s">
        <v>65</v>
      </c>
      <c r="B319" s="105" t="s">
        <v>33</v>
      </c>
      <c r="C319" s="99">
        <v>100260.0</v>
      </c>
      <c r="D319" s="24">
        <f t="array" ref="D319">if(A319=B319,0,XLOOKUP(A319&amp;B319, $A:$A&amp;$B:$B, $C:$C))/25</f>
        <v>4010.4</v>
      </c>
      <c r="E319" s="40"/>
    </row>
    <row r="320">
      <c r="A320" s="105" t="s">
        <v>65</v>
      </c>
      <c r="B320" s="105" t="s">
        <v>39</v>
      </c>
      <c r="C320" s="99">
        <v>10374.0</v>
      </c>
      <c r="D320" s="24">
        <f t="array" ref="D320">if(A320=B320,0,XLOOKUP(A320&amp;B320, $A:$A&amp;$B:$B, $C:$C))/25</f>
        <v>414.96</v>
      </c>
      <c r="E320" s="40"/>
    </row>
    <row r="321">
      <c r="A321" s="105" t="s">
        <v>65</v>
      </c>
      <c r="B321" s="105" t="s">
        <v>35</v>
      </c>
      <c r="C321" s="99">
        <v>31156.0</v>
      </c>
      <c r="D321" s="24">
        <f t="array" ref="D321">if(A321=B321,0,XLOOKUP(A321&amp;B321, $A:$A&amp;$B:$B, $C:$C))/25</f>
        <v>1246.24</v>
      </c>
      <c r="E321" s="40"/>
    </row>
    <row r="322">
      <c r="A322" s="105" t="s">
        <v>65</v>
      </c>
      <c r="B322" s="105" t="s">
        <v>40</v>
      </c>
      <c r="C322" s="99">
        <v>5144.0</v>
      </c>
      <c r="D322" s="24">
        <f t="array" ref="D322">if(A322=B322,0,XLOOKUP(A322&amp;B322, $A:$A&amp;$B:$B, $C:$C))/25</f>
        <v>205.76</v>
      </c>
      <c r="E322" s="40"/>
    </row>
    <row r="323">
      <c r="A323" s="105" t="s">
        <v>65</v>
      </c>
      <c r="B323" s="105" t="s">
        <v>37</v>
      </c>
      <c r="C323" s="99">
        <v>13108.0</v>
      </c>
      <c r="D323" s="24">
        <f t="array" ref="D323">if(A323=B323,0,XLOOKUP(A323&amp;B323, $A:$A&amp;$B:$B, $C:$C))/25</f>
        <v>524.32</v>
      </c>
      <c r="E323" s="40"/>
    </row>
    <row r="324">
      <c r="A324" s="105" t="s">
        <v>65</v>
      </c>
      <c r="B324" s="105" t="s">
        <v>62</v>
      </c>
      <c r="C324" s="99">
        <v>98941.0</v>
      </c>
      <c r="D324" s="24">
        <f t="array" ref="D324">if(A324=B324,0,XLOOKUP(A324&amp;B324, $A:$A&amp;$B:$B, $C:$C))/25</f>
        <v>3957.64</v>
      </c>
      <c r="E324" s="40"/>
    </row>
    <row r="325">
      <c r="A325" s="105" t="s">
        <v>65</v>
      </c>
      <c r="B325" s="105" t="s">
        <v>64</v>
      </c>
      <c r="C325" s="99">
        <v>482059.0</v>
      </c>
      <c r="D325" s="24">
        <f t="array" ref="D325">if(A325=B325,0,XLOOKUP(A325&amp;B325, $A:$A&amp;$B:$B, $C:$C))/25</f>
        <v>19282.36</v>
      </c>
      <c r="E325" s="40"/>
    </row>
    <row r="326">
      <c r="A326" s="105" t="s">
        <v>65</v>
      </c>
      <c r="B326" s="105" t="s">
        <v>63</v>
      </c>
      <c r="C326" s="99">
        <v>299755.0</v>
      </c>
      <c r="D326" s="24">
        <f t="array" ref="D326">if(A326=B326,0,XLOOKUP(A326&amp;B326, $A:$A&amp;$B:$B, $C:$C))/25</f>
        <v>11990.2</v>
      </c>
      <c r="E326" s="40"/>
    </row>
    <row r="327">
      <c r="A327" s="105" t="s">
        <v>65</v>
      </c>
      <c r="B327" s="105" t="s">
        <v>65</v>
      </c>
      <c r="C327" s="99">
        <v>331119.0</v>
      </c>
      <c r="D327" s="24">
        <f t="array" ref="D327">if(A327=B327,0,XLOOKUP(A327&amp;B327, $A:$A&amp;$B:$B, $C:$C))/25</f>
        <v>0</v>
      </c>
      <c r="E327" s="40"/>
    </row>
    <row r="328">
      <c r="A328" s="105" t="s">
        <v>65</v>
      </c>
      <c r="B328" s="105" t="s">
        <v>66</v>
      </c>
      <c r="C328" s="99">
        <v>411196.0</v>
      </c>
      <c r="D328" s="24">
        <f t="array" ref="D328">if(A328=B328,0,XLOOKUP(A328&amp;B328, $A:$A&amp;$B:$B, $C:$C))/25</f>
        <v>16447.84</v>
      </c>
      <c r="E328" s="40"/>
    </row>
    <row r="329">
      <c r="A329" s="105" t="s">
        <v>65</v>
      </c>
      <c r="B329" s="105" t="s">
        <v>67</v>
      </c>
      <c r="C329" s="99">
        <v>3069.0</v>
      </c>
      <c r="D329" s="24">
        <f t="array" ref="D329">if(A329=B329,0,XLOOKUP(A329&amp;B329, $A:$A&amp;$B:$B, $C:$C))/25</f>
        <v>122.76</v>
      </c>
      <c r="E329" s="40"/>
    </row>
    <row r="330">
      <c r="A330" s="105" t="s">
        <v>65</v>
      </c>
      <c r="B330" s="105" t="s">
        <v>68</v>
      </c>
      <c r="C330" s="99">
        <v>14503.0</v>
      </c>
      <c r="D330" s="24">
        <f t="array" ref="D330">if(A330=B330,0,XLOOKUP(A330&amp;B330, $A:$A&amp;$B:$B, $C:$C))/25</f>
        <v>580.12</v>
      </c>
      <c r="E330" s="40"/>
    </row>
    <row r="331">
      <c r="A331" s="105" t="s">
        <v>65</v>
      </c>
      <c r="B331" s="105" t="s">
        <v>69</v>
      </c>
      <c r="C331" s="107">
        <v>944.0</v>
      </c>
      <c r="D331" s="24">
        <f t="array" ref="D331">if(A331=B331,0,XLOOKUP(A331&amp;B331, $A:$A&amp;$B:$B, $C:$C))/25</f>
        <v>37.76</v>
      </c>
      <c r="E331" s="40"/>
    </row>
    <row r="332">
      <c r="A332" s="105" t="s">
        <v>65</v>
      </c>
      <c r="B332" s="105" t="s">
        <v>70</v>
      </c>
      <c r="C332" s="99">
        <v>21107.0</v>
      </c>
      <c r="D332" s="24">
        <f t="array" ref="D332">if(A332=B332,0,XLOOKUP(A332&amp;B332, $A:$A&amp;$B:$B, $C:$C))/25</f>
        <v>844.28</v>
      </c>
      <c r="E332" s="40"/>
    </row>
    <row r="333">
      <c r="A333" s="105" t="s">
        <v>65</v>
      </c>
      <c r="B333" s="105" t="s">
        <v>71</v>
      </c>
      <c r="C333" s="99">
        <v>13319.0</v>
      </c>
      <c r="D333" s="24">
        <f t="array" ref="D333">if(A333=B333,0,XLOOKUP(A333&amp;B333, $A:$A&amp;$B:$B, $C:$C))/25</f>
        <v>532.76</v>
      </c>
      <c r="E333" s="40"/>
    </row>
    <row r="334">
      <c r="A334" s="105" t="s">
        <v>65</v>
      </c>
      <c r="B334" s="105" t="s">
        <v>72</v>
      </c>
      <c r="C334" s="99">
        <v>8572.0</v>
      </c>
      <c r="D334" s="24">
        <f t="array" ref="D334">if(A334=B334,0,XLOOKUP(A334&amp;B334, $A:$A&amp;$B:$B, $C:$C))/25</f>
        <v>342.88</v>
      </c>
      <c r="E334" s="40"/>
    </row>
    <row r="335">
      <c r="A335" s="105" t="s">
        <v>65</v>
      </c>
      <c r="B335" s="105" t="s">
        <v>73</v>
      </c>
      <c r="C335" s="99">
        <v>8051.0</v>
      </c>
      <c r="D335" s="24">
        <f t="array" ref="D335">if(A335=B335,0,XLOOKUP(A335&amp;B335, $A:$A&amp;$B:$B, $C:$C))/25</f>
        <v>322.04</v>
      </c>
      <c r="E335" s="40"/>
    </row>
    <row r="336">
      <c r="A336" s="105" t="s">
        <v>65</v>
      </c>
      <c r="B336" s="105" t="s">
        <v>74</v>
      </c>
      <c r="C336" s="107">
        <v>587.0</v>
      </c>
      <c r="D336" s="24">
        <f t="array" ref="D336">if(A336=B336,0,XLOOKUP(A336&amp;B336, $A:$A&amp;$B:$B, $C:$C))/25</f>
        <v>23.48</v>
      </c>
      <c r="E336" s="40"/>
    </row>
    <row r="337">
      <c r="A337" s="105" t="s">
        <v>65</v>
      </c>
      <c r="B337" s="105" t="s">
        <v>75</v>
      </c>
      <c r="C337" s="99">
        <v>5242.0</v>
      </c>
      <c r="D337" s="24">
        <f t="array" ref="D337">if(A337=B337,0,XLOOKUP(A337&amp;B337, $A:$A&amp;$B:$B, $C:$C))/25</f>
        <v>209.68</v>
      </c>
      <c r="E337" s="40"/>
    </row>
    <row r="338">
      <c r="A338" s="106" t="s">
        <v>66</v>
      </c>
      <c r="B338" s="106" t="s">
        <v>31</v>
      </c>
      <c r="C338" s="99">
        <v>245009.0</v>
      </c>
      <c r="D338" s="24">
        <f t="array" ref="D338">if(A338=B338,0,XLOOKUP(A338&amp;B338, $A:$A&amp;$B:$B, $C:$C))/25</f>
        <v>9800.36</v>
      </c>
      <c r="E338" s="40"/>
    </row>
    <row r="339">
      <c r="A339" s="106" t="s">
        <v>66</v>
      </c>
      <c r="B339" s="106" t="s">
        <v>34</v>
      </c>
      <c r="C339" s="99">
        <v>171313.0</v>
      </c>
      <c r="D339" s="24">
        <f t="array" ref="D339">if(A339=B339,0,XLOOKUP(A339&amp;B339, $A:$A&amp;$B:$B, $C:$C))/25</f>
        <v>6852.52</v>
      </c>
      <c r="E339" s="40"/>
    </row>
    <row r="340">
      <c r="A340" s="106" t="s">
        <v>66</v>
      </c>
      <c r="B340" s="106" t="s">
        <v>36</v>
      </c>
      <c r="C340" s="99">
        <v>1223903.0</v>
      </c>
      <c r="D340" s="24">
        <f t="array" ref="D340">if(A340=B340,0,XLOOKUP(A340&amp;B340, $A:$A&amp;$B:$B, $C:$C))/25</f>
        <v>48956.12</v>
      </c>
      <c r="E340" s="40"/>
    </row>
    <row r="341">
      <c r="A341" s="106" t="s">
        <v>66</v>
      </c>
      <c r="B341" s="106" t="s">
        <v>32</v>
      </c>
      <c r="C341" s="99">
        <v>546211.0</v>
      </c>
      <c r="D341" s="24">
        <f t="array" ref="D341">if(A341=B341,0,XLOOKUP(A341&amp;B341, $A:$A&amp;$B:$B, $C:$C))/25</f>
        <v>21848.44</v>
      </c>
      <c r="E341" s="40"/>
    </row>
    <row r="342">
      <c r="A342" s="106" t="s">
        <v>66</v>
      </c>
      <c r="B342" s="106" t="s">
        <v>38</v>
      </c>
      <c r="C342" s="99">
        <v>132461.0</v>
      </c>
      <c r="D342" s="24">
        <f t="array" ref="D342">if(A342=B342,0,XLOOKUP(A342&amp;B342, $A:$A&amp;$B:$B, $C:$C))/25</f>
        <v>5298.44</v>
      </c>
      <c r="E342" s="40"/>
    </row>
    <row r="343">
      <c r="A343" s="106" t="s">
        <v>66</v>
      </c>
      <c r="B343" s="106" t="s">
        <v>33</v>
      </c>
      <c r="C343" s="99">
        <v>1647932.0</v>
      </c>
      <c r="D343" s="24">
        <f t="array" ref="D343">if(A343=B343,0,XLOOKUP(A343&amp;B343, $A:$A&amp;$B:$B, $C:$C))/25</f>
        <v>65917.28</v>
      </c>
      <c r="E343" s="40"/>
    </row>
    <row r="344">
      <c r="A344" s="106" t="s">
        <v>66</v>
      </c>
      <c r="B344" s="106" t="s">
        <v>39</v>
      </c>
      <c r="C344" s="99">
        <v>850972.0</v>
      </c>
      <c r="D344" s="24">
        <f t="array" ref="D344">if(A344=B344,0,XLOOKUP(A344&amp;B344, $A:$A&amp;$B:$B, $C:$C))/25</f>
        <v>34038.88</v>
      </c>
      <c r="E344" s="40"/>
    </row>
    <row r="345">
      <c r="A345" s="106" t="s">
        <v>66</v>
      </c>
      <c r="B345" s="106" t="s">
        <v>35</v>
      </c>
      <c r="C345" s="99">
        <v>1503938.0</v>
      </c>
      <c r="D345" s="24">
        <f t="array" ref="D345">if(A345=B345,0,XLOOKUP(A345&amp;B345, $A:$A&amp;$B:$B, $C:$C))/25</f>
        <v>60157.52</v>
      </c>
      <c r="E345" s="40"/>
    </row>
    <row r="346">
      <c r="A346" s="106" t="s">
        <v>66</v>
      </c>
      <c r="B346" s="106" t="s">
        <v>40</v>
      </c>
      <c r="C346" s="99">
        <v>223499.0</v>
      </c>
      <c r="D346" s="24">
        <f t="array" ref="D346">if(A346=B346,0,XLOOKUP(A346&amp;B346, $A:$A&amp;$B:$B, $C:$C))/25</f>
        <v>8939.96</v>
      </c>
      <c r="E346" s="40"/>
    </row>
    <row r="347">
      <c r="A347" s="106" t="s">
        <v>66</v>
      </c>
      <c r="B347" s="106" t="s">
        <v>37</v>
      </c>
      <c r="C347" s="99">
        <v>699772.0</v>
      </c>
      <c r="D347" s="24">
        <f t="array" ref="D347">if(A347=B347,0,XLOOKUP(A347&amp;B347, $A:$A&amp;$B:$B, $C:$C))/25</f>
        <v>27990.88</v>
      </c>
      <c r="E347" s="40"/>
    </row>
    <row r="348">
      <c r="A348" s="106" t="s">
        <v>66</v>
      </c>
      <c r="B348" s="106" t="s">
        <v>62</v>
      </c>
      <c r="C348" s="99">
        <v>1406006.0</v>
      </c>
      <c r="D348" s="24">
        <f t="array" ref="D348">if(A348=B348,0,XLOOKUP(A348&amp;B348, $A:$A&amp;$B:$B, $C:$C))/25</f>
        <v>56240.24</v>
      </c>
      <c r="E348" s="40"/>
    </row>
    <row r="349">
      <c r="A349" s="106" t="s">
        <v>66</v>
      </c>
      <c r="B349" s="106" t="s">
        <v>64</v>
      </c>
      <c r="C349" s="99">
        <v>8466407.0</v>
      </c>
      <c r="D349" s="24">
        <f t="array" ref="D349">if(A349=B349,0,XLOOKUP(A349&amp;B349, $A:$A&amp;$B:$B, $C:$C))/25</f>
        <v>338656.28</v>
      </c>
      <c r="E349" s="40"/>
    </row>
    <row r="350">
      <c r="A350" s="106" t="s">
        <v>66</v>
      </c>
      <c r="B350" s="106" t="s">
        <v>63</v>
      </c>
      <c r="C350" s="99">
        <v>5866834.0</v>
      </c>
      <c r="D350" s="24">
        <f t="array" ref="D350">if(A350=B350,0,XLOOKUP(A350&amp;B350, $A:$A&amp;$B:$B, $C:$C))/25</f>
        <v>234673.36</v>
      </c>
      <c r="E350" s="40"/>
    </row>
    <row r="351">
      <c r="A351" s="106" t="s">
        <v>66</v>
      </c>
      <c r="B351" s="106" t="s">
        <v>65</v>
      </c>
      <c r="C351" s="99">
        <v>950294.0</v>
      </c>
      <c r="D351" s="24">
        <f t="array" ref="D351">if(A351=B351,0,XLOOKUP(A351&amp;B351, $A:$A&amp;$B:$B, $C:$C))/25</f>
        <v>38011.76</v>
      </c>
      <c r="E351" s="40"/>
    </row>
    <row r="352">
      <c r="A352" s="106" t="s">
        <v>66</v>
      </c>
      <c r="B352" s="106" t="s">
        <v>66</v>
      </c>
      <c r="C352" s="99">
        <v>4.4613253E7</v>
      </c>
      <c r="D352" s="24">
        <f t="array" ref="D352">if(A352=B352,0,XLOOKUP(A352&amp;B352, $A:$A&amp;$B:$B, $C:$C))/25</f>
        <v>0</v>
      </c>
      <c r="E352" s="40"/>
    </row>
    <row r="353">
      <c r="A353" s="106" t="s">
        <v>66</v>
      </c>
      <c r="B353" s="106" t="s">
        <v>67</v>
      </c>
      <c r="C353" s="99">
        <v>213232.0</v>
      </c>
      <c r="D353" s="24">
        <f t="array" ref="D353">if(A353=B353,0,XLOOKUP(A353&amp;B353, $A:$A&amp;$B:$B, $C:$C))/25</f>
        <v>8529.28</v>
      </c>
      <c r="E353" s="40"/>
    </row>
    <row r="354">
      <c r="A354" s="106" t="s">
        <v>66</v>
      </c>
      <c r="B354" s="106" t="s">
        <v>68</v>
      </c>
      <c r="C354" s="99">
        <v>972283.0</v>
      </c>
      <c r="D354" s="24">
        <f t="array" ref="D354">if(A354=B354,0,XLOOKUP(A354&amp;B354, $A:$A&amp;$B:$B, $C:$C))/25</f>
        <v>38891.32</v>
      </c>
      <c r="E354" s="40"/>
    </row>
    <row r="355">
      <c r="A355" s="106" t="s">
        <v>66</v>
      </c>
      <c r="B355" s="106" t="s">
        <v>69</v>
      </c>
      <c r="C355" s="99">
        <v>65739.0</v>
      </c>
      <c r="D355" s="24">
        <f t="array" ref="D355">if(A355=B355,0,XLOOKUP(A355&amp;B355, $A:$A&amp;$B:$B, $C:$C))/25</f>
        <v>2629.56</v>
      </c>
      <c r="E355" s="40"/>
    </row>
    <row r="356">
      <c r="A356" s="106" t="s">
        <v>66</v>
      </c>
      <c r="B356" s="106" t="s">
        <v>70</v>
      </c>
      <c r="C356" s="99">
        <v>1568389.0</v>
      </c>
      <c r="D356" s="24">
        <f t="array" ref="D356">if(A356=B356,0,XLOOKUP(A356&amp;B356, $A:$A&amp;$B:$B, $C:$C))/25</f>
        <v>62735.56</v>
      </c>
      <c r="E356" s="40"/>
    </row>
    <row r="357">
      <c r="A357" s="106" t="s">
        <v>66</v>
      </c>
      <c r="B357" s="106" t="s">
        <v>71</v>
      </c>
      <c r="C357" s="99">
        <v>941801.0</v>
      </c>
      <c r="D357" s="24">
        <f t="array" ref="D357">if(A357=B357,0,XLOOKUP(A357&amp;B357, $A:$A&amp;$B:$B, $C:$C))/25</f>
        <v>37672.04</v>
      </c>
      <c r="E357" s="40"/>
    </row>
    <row r="358">
      <c r="A358" s="106" t="s">
        <v>66</v>
      </c>
      <c r="B358" s="106" t="s">
        <v>72</v>
      </c>
      <c r="C358" s="99">
        <v>499077.0</v>
      </c>
      <c r="D358" s="24">
        <f t="array" ref="D358">if(A358=B358,0,XLOOKUP(A358&amp;B358, $A:$A&amp;$B:$B, $C:$C))/25</f>
        <v>19963.08</v>
      </c>
      <c r="E358" s="40"/>
    </row>
    <row r="359">
      <c r="A359" s="106" t="s">
        <v>66</v>
      </c>
      <c r="B359" s="106" t="s">
        <v>73</v>
      </c>
      <c r="C359" s="99">
        <v>535728.0</v>
      </c>
      <c r="D359" s="24">
        <f t="array" ref="D359">if(A359=B359,0,XLOOKUP(A359&amp;B359, $A:$A&amp;$B:$B, $C:$C))/25</f>
        <v>21429.12</v>
      </c>
      <c r="E359" s="40"/>
    </row>
    <row r="360">
      <c r="A360" s="106" t="s">
        <v>66</v>
      </c>
      <c r="B360" s="106" t="s">
        <v>74</v>
      </c>
      <c r="C360" s="99">
        <v>36447.0</v>
      </c>
      <c r="D360" s="24">
        <f t="array" ref="D360">if(A360=B360,0,XLOOKUP(A360&amp;B360, $A:$A&amp;$B:$B, $C:$C))/25</f>
        <v>1457.88</v>
      </c>
      <c r="E360" s="40"/>
    </row>
    <row r="361">
      <c r="A361" s="106" t="s">
        <v>66</v>
      </c>
      <c r="B361" s="106" t="s">
        <v>75</v>
      </c>
      <c r="C361" s="99">
        <v>297258.0</v>
      </c>
      <c r="D361" s="24">
        <f t="array" ref="D361">if(A361=B361,0,XLOOKUP(A361&amp;B361, $A:$A&amp;$B:$B, $C:$C))/25</f>
        <v>11890.32</v>
      </c>
      <c r="E361" s="40"/>
    </row>
    <row r="362">
      <c r="A362" s="100" t="s">
        <v>67</v>
      </c>
      <c r="B362" s="100" t="s">
        <v>31</v>
      </c>
      <c r="C362" s="99">
        <v>34909.0</v>
      </c>
      <c r="D362" s="24">
        <f t="array" ref="D362">if(A362=B362,0,XLOOKUP(A362&amp;B362, $A:$A&amp;$B:$B, $C:$C))/25</f>
        <v>1396.36</v>
      </c>
      <c r="E362" s="40"/>
    </row>
    <row r="363">
      <c r="A363" s="100" t="s">
        <v>67</v>
      </c>
      <c r="B363" s="100" t="s">
        <v>34</v>
      </c>
      <c r="C363" s="99">
        <v>72951.0</v>
      </c>
      <c r="D363" s="24">
        <f t="array" ref="D363">if(A363=B363,0,XLOOKUP(A363&amp;B363, $A:$A&amp;$B:$B, $C:$C))/25</f>
        <v>2918.04</v>
      </c>
      <c r="E363" s="40"/>
    </row>
    <row r="364">
      <c r="A364" s="100" t="s">
        <v>67</v>
      </c>
      <c r="B364" s="100" t="s">
        <v>36</v>
      </c>
      <c r="C364" s="99">
        <v>69633.0</v>
      </c>
      <c r="D364" s="24">
        <f t="array" ref="D364">if(A364=B364,0,XLOOKUP(A364&amp;B364, $A:$A&amp;$B:$B, $C:$C))/25</f>
        <v>2785.32</v>
      </c>
      <c r="E364" s="40"/>
    </row>
    <row r="365">
      <c r="A365" s="100" t="s">
        <v>67</v>
      </c>
      <c r="B365" s="100" t="s">
        <v>32</v>
      </c>
      <c r="C365" s="99">
        <v>99277.0</v>
      </c>
      <c r="D365" s="24">
        <f t="array" ref="D365">if(A365=B365,0,XLOOKUP(A365&amp;B365, $A:$A&amp;$B:$B, $C:$C))/25</f>
        <v>3971.08</v>
      </c>
      <c r="E365" s="40"/>
    </row>
    <row r="366">
      <c r="A366" s="100" t="s">
        <v>67</v>
      </c>
      <c r="B366" s="100" t="s">
        <v>38</v>
      </c>
      <c r="C366" s="99">
        <v>14214.0</v>
      </c>
      <c r="D366" s="24">
        <f t="array" ref="D366">if(A366=B366,0,XLOOKUP(A366&amp;B366, $A:$A&amp;$B:$B, $C:$C))/25</f>
        <v>568.56</v>
      </c>
      <c r="E366" s="40"/>
    </row>
    <row r="367">
      <c r="A367" s="100" t="s">
        <v>67</v>
      </c>
      <c r="B367" s="100" t="s">
        <v>33</v>
      </c>
      <c r="C367" s="99">
        <v>133306.0</v>
      </c>
      <c r="D367" s="24">
        <f t="array" ref="D367">if(A367=B367,0,XLOOKUP(A367&amp;B367, $A:$A&amp;$B:$B, $C:$C))/25</f>
        <v>5332.24</v>
      </c>
      <c r="E367" s="40"/>
    </row>
    <row r="368">
      <c r="A368" s="100" t="s">
        <v>67</v>
      </c>
      <c r="B368" s="100" t="s">
        <v>39</v>
      </c>
      <c r="C368" s="99">
        <v>103050.0</v>
      </c>
      <c r="D368" s="24">
        <f t="array" ref="D368">if(A368=B368,0,XLOOKUP(A368&amp;B368, $A:$A&amp;$B:$B, $C:$C))/25</f>
        <v>4122</v>
      </c>
      <c r="E368" s="40"/>
    </row>
    <row r="369">
      <c r="A369" s="100" t="s">
        <v>67</v>
      </c>
      <c r="B369" s="100" t="s">
        <v>35</v>
      </c>
      <c r="C369" s="99">
        <v>162287.0</v>
      </c>
      <c r="D369" s="24">
        <f t="array" ref="D369">if(A369=B369,0,XLOOKUP(A369&amp;B369, $A:$A&amp;$B:$B, $C:$C))/25</f>
        <v>6491.48</v>
      </c>
      <c r="E369" s="40"/>
    </row>
    <row r="370">
      <c r="A370" s="100" t="s">
        <v>67</v>
      </c>
      <c r="B370" s="100" t="s">
        <v>40</v>
      </c>
      <c r="C370" s="99">
        <v>43909.0</v>
      </c>
      <c r="D370" s="24">
        <f t="array" ref="D370">if(A370=B370,0,XLOOKUP(A370&amp;B370, $A:$A&amp;$B:$B, $C:$C))/25</f>
        <v>1756.36</v>
      </c>
      <c r="E370" s="40"/>
    </row>
    <row r="371">
      <c r="A371" s="100" t="s">
        <v>67</v>
      </c>
      <c r="B371" s="100" t="s">
        <v>37</v>
      </c>
      <c r="C371" s="99">
        <v>102927.0</v>
      </c>
      <c r="D371" s="24">
        <f t="array" ref="D371">if(A371=B371,0,XLOOKUP(A371&amp;B371, $A:$A&amp;$B:$B, $C:$C))/25</f>
        <v>4117.08</v>
      </c>
      <c r="E371" s="40"/>
    </row>
    <row r="372">
      <c r="A372" s="100" t="s">
        <v>67</v>
      </c>
      <c r="B372" s="100" t="s">
        <v>62</v>
      </c>
      <c r="C372" s="99">
        <v>86921.0</v>
      </c>
      <c r="D372" s="24">
        <f t="array" ref="D372">if(A372=B372,0,XLOOKUP(A372&amp;B372, $A:$A&amp;$B:$B, $C:$C))/25</f>
        <v>3476.84</v>
      </c>
      <c r="E372" s="40"/>
    </row>
    <row r="373">
      <c r="A373" s="100" t="s">
        <v>67</v>
      </c>
      <c r="B373" s="100" t="s">
        <v>64</v>
      </c>
      <c r="C373" s="99">
        <v>358457.0</v>
      </c>
      <c r="D373" s="24">
        <f t="array" ref="D373">if(A373=B373,0,XLOOKUP(A373&amp;B373, $A:$A&amp;$B:$B, $C:$C))/25</f>
        <v>14338.28</v>
      </c>
      <c r="E373" s="40"/>
    </row>
    <row r="374">
      <c r="A374" s="100" t="s">
        <v>67</v>
      </c>
      <c r="B374" s="100" t="s">
        <v>63</v>
      </c>
      <c r="C374" s="99">
        <v>414873.0</v>
      </c>
      <c r="D374" s="24">
        <f t="array" ref="D374">if(A374=B374,0,XLOOKUP(A374&amp;B374, $A:$A&amp;$B:$B, $C:$C))/25</f>
        <v>16594.92</v>
      </c>
      <c r="E374" s="40"/>
    </row>
    <row r="375">
      <c r="A375" s="100" t="s">
        <v>67</v>
      </c>
      <c r="B375" s="100" t="s">
        <v>65</v>
      </c>
      <c r="C375" s="99">
        <v>39425.0</v>
      </c>
      <c r="D375" s="24">
        <f t="array" ref="D375">if(A375=B375,0,XLOOKUP(A375&amp;B375, $A:$A&amp;$B:$B, $C:$C))/25</f>
        <v>1577</v>
      </c>
      <c r="E375" s="40"/>
    </row>
    <row r="376">
      <c r="A376" s="100" t="s">
        <v>67</v>
      </c>
      <c r="B376" s="100" t="s">
        <v>66</v>
      </c>
      <c r="C376" s="99">
        <v>505502.0</v>
      </c>
      <c r="D376" s="24">
        <f t="array" ref="D376">if(A376=B376,0,XLOOKUP(A376&amp;B376, $A:$A&amp;$B:$B, $C:$C))/25</f>
        <v>20220.08</v>
      </c>
      <c r="E376" s="40"/>
    </row>
    <row r="377">
      <c r="A377" s="100" t="s">
        <v>67</v>
      </c>
      <c r="B377" s="100" t="s">
        <v>67</v>
      </c>
      <c r="C377" s="99">
        <v>754306.0</v>
      </c>
      <c r="D377" s="24">
        <f t="array" ref="D377">if(A377=B377,0,XLOOKUP(A377&amp;B377, $A:$A&amp;$B:$B, $C:$C))/25</f>
        <v>0</v>
      </c>
      <c r="E377" s="40"/>
    </row>
    <row r="378">
      <c r="A378" s="100" t="s">
        <v>67</v>
      </c>
      <c r="B378" s="100" t="s">
        <v>68</v>
      </c>
      <c r="C378" s="99">
        <v>571676.0</v>
      </c>
      <c r="D378" s="24">
        <f t="array" ref="D378">if(A378=B378,0,XLOOKUP(A378&amp;B378, $A:$A&amp;$B:$B, $C:$C))/25</f>
        <v>22867.04</v>
      </c>
      <c r="E378" s="40"/>
    </row>
    <row r="379">
      <c r="A379" s="100" t="s">
        <v>67</v>
      </c>
      <c r="B379" s="100" t="s">
        <v>69</v>
      </c>
      <c r="C379" s="99">
        <v>32451.0</v>
      </c>
      <c r="D379" s="24">
        <f t="array" ref="D379">if(A379=B379,0,XLOOKUP(A379&amp;B379, $A:$A&amp;$B:$B, $C:$C))/25</f>
        <v>1298.04</v>
      </c>
      <c r="E379" s="40"/>
    </row>
    <row r="380">
      <c r="A380" s="100" t="s">
        <v>67</v>
      </c>
      <c r="B380" s="100" t="s">
        <v>70</v>
      </c>
      <c r="C380" s="99">
        <v>82678.0</v>
      </c>
      <c r="D380" s="24">
        <f t="array" ref="D380">if(A380=B380,0,XLOOKUP(A380&amp;B380, $A:$A&amp;$B:$B, $C:$C))/25</f>
        <v>3307.12</v>
      </c>
      <c r="E380" s="40"/>
    </row>
    <row r="381">
      <c r="A381" s="100" t="s">
        <v>67</v>
      </c>
      <c r="B381" s="100" t="s">
        <v>71</v>
      </c>
      <c r="C381" s="99">
        <v>128049.0</v>
      </c>
      <c r="D381" s="24">
        <f t="array" ref="D381">if(A381=B381,0,XLOOKUP(A381&amp;B381, $A:$A&amp;$B:$B, $C:$C))/25</f>
        <v>5121.96</v>
      </c>
      <c r="E381" s="40"/>
    </row>
    <row r="382">
      <c r="A382" s="100" t="s">
        <v>67</v>
      </c>
      <c r="B382" s="100" t="s">
        <v>72</v>
      </c>
      <c r="C382" s="99">
        <v>62096.0</v>
      </c>
      <c r="D382" s="24">
        <f t="array" ref="D382">if(A382=B382,0,XLOOKUP(A382&amp;B382, $A:$A&amp;$B:$B, $C:$C))/25</f>
        <v>2483.84</v>
      </c>
      <c r="E382" s="40"/>
    </row>
    <row r="383">
      <c r="A383" s="100" t="s">
        <v>67</v>
      </c>
      <c r="B383" s="100" t="s">
        <v>73</v>
      </c>
      <c r="C383" s="99">
        <v>176815.0</v>
      </c>
      <c r="D383" s="24">
        <f t="array" ref="D383">if(A383=B383,0,XLOOKUP(A383&amp;B383, $A:$A&amp;$B:$B, $C:$C))/25</f>
        <v>7072.6</v>
      </c>
      <c r="E383" s="40"/>
    </row>
    <row r="384">
      <c r="A384" s="100" t="s">
        <v>67</v>
      </c>
      <c r="B384" s="100" t="s">
        <v>74</v>
      </c>
      <c r="C384" s="99">
        <v>8079.0</v>
      </c>
      <c r="D384" s="24">
        <f t="array" ref="D384">if(A384=B384,0,XLOOKUP(A384&amp;B384, $A:$A&amp;$B:$B, $C:$C))/25</f>
        <v>323.16</v>
      </c>
      <c r="E384" s="40"/>
    </row>
    <row r="385">
      <c r="A385" s="100" t="s">
        <v>67</v>
      </c>
      <c r="B385" s="100" t="s">
        <v>75</v>
      </c>
      <c r="C385" s="99">
        <v>68855.0</v>
      </c>
      <c r="D385" s="24">
        <f t="array" ref="D385">if(A385=B385,0,XLOOKUP(A385&amp;B385, $A:$A&amp;$B:$B, $C:$C))/25</f>
        <v>2754.2</v>
      </c>
      <c r="E385" s="40"/>
    </row>
    <row r="386">
      <c r="A386" s="101" t="s">
        <v>68</v>
      </c>
      <c r="B386" s="101" t="s">
        <v>31</v>
      </c>
      <c r="C386" s="99">
        <v>238948.0</v>
      </c>
      <c r="D386" s="24">
        <f t="array" ref="D386">if(A386=B386,0,XLOOKUP(A386&amp;B386, $A:$A&amp;$B:$B, $C:$C))/25</f>
        <v>9557.92</v>
      </c>
      <c r="E386" s="40"/>
    </row>
    <row r="387">
      <c r="A387" s="101" t="s">
        <v>68</v>
      </c>
      <c r="B387" s="101" t="s">
        <v>34</v>
      </c>
      <c r="C387" s="99">
        <v>479213.0</v>
      </c>
      <c r="D387" s="24">
        <f t="array" ref="D387">if(A387=B387,0,XLOOKUP(A387&amp;B387, $A:$A&amp;$B:$B, $C:$C))/25</f>
        <v>19168.52</v>
      </c>
      <c r="E387" s="40"/>
    </row>
    <row r="388">
      <c r="A388" s="101" t="s">
        <v>68</v>
      </c>
      <c r="B388" s="101" t="s">
        <v>36</v>
      </c>
      <c r="C388" s="99">
        <v>494496.0</v>
      </c>
      <c r="D388" s="24">
        <f t="array" ref="D388">if(A388=B388,0,XLOOKUP(A388&amp;B388, $A:$A&amp;$B:$B, $C:$C))/25</f>
        <v>19779.84</v>
      </c>
      <c r="E388" s="40"/>
    </row>
    <row r="389">
      <c r="A389" s="101" t="s">
        <v>68</v>
      </c>
      <c r="B389" s="101" t="s">
        <v>32</v>
      </c>
      <c r="C389" s="99">
        <v>578640.0</v>
      </c>
      <c r="D389" s="24">
        <f t="array" ref="D389">if(A389=B389,0,XLOOKUP(A389&amp;B389, $A:$A&amp;$B:$B, $C:$C))/25</f>
        <v>23145.6</v>
      </c>
      <c r="E389" s="40"/>
    </row>
    <row r="390">
      <c r="A390" s="101" t="s">
        <v>68</v>
      </c>
      <c r="B390" s="101" t="s">
        <v>38</v>
      </c>
      <c r="C390" s="99">
        <v>95364.0</v>
      </c>
      <c r="D390" s="24">
        <f t="array" ref="D390">if(A390=B390,0,XLOOKUP(A390&amp;B390, $A:$A&amp;$B:$B, $C:$C))/25</f>
        <v>3814.56</v>
      </c>
      <c r="E390" s="40"/>
    </row>
    <row r="391">
      <c r="A391" s="101" t="s">
        <v>68</v>
      </c>
      <c r="B391" s="101" t="s">
        <v>33</v>
      </c>
      <c r="C391" s="99">
        <v>863367.0</v>
      </c>
      <c r="D391" s="24">
        <f t="array" ref="D391">if(A391=B391,0,XLOOKUP(A391&amp;B391, $A:$A&amp;$B:$B, $C:$C))/25</f>
        <v>34534.68</v>
      </c>
      <c r="E391" s="40"/>
    </row>
    <row r="392">
      <c r="A392" s="101" t="s">
        <v>68</v>
      </c>
      <c r="B392" s="101" t="s">
        <v>39</v>
      </c>
      <c r="C392" s="99">
        <v>747618.0</v>
      </c>
      <c r="D392" s="24">
        <f t="array" ref="D392">if(A392=B392,0,XLOOKUP(A392&amp;B392, $A:$A&amp;$B:$B, $C:$C))/25</f>
        <v>29904.72</v>
      </c>
      <c r="E392" s="40"/>
    </row>
    <row r="393">
      <c r="A393" s="101" t="s">
        <v>68</v>
      </c>
      <c r="B393" s="101" t="s">
        <v>35</v>
      </c>
      <c r="C393" s="99">
        <v>1062270.0</v>
      </c>
      <c r="D393" s="24">
        <f t="array" ref="D393">if(A393=B393,0,XLOOKUP(A393&amp;B393, $A:$A&amp;$B:$B, $C:$C))/25</f>
        <v>42490.8</v>
      </c>
      <c r="E393" s="40"/>
    </row>
    <row r="394">
      <c r="A394" s="101" t="s">
        <v>68</v>
      </c>
      <c r="B394" s="101" t="s">
        <v>40</v>
      </c>
      <c r="C394" s="99">
        <v>276692.0</v>
      </c>
      <c r="D394" s="24">
        <f t="array" ref="D394">if(A394=B394,0,XLOOKUP(A394&amp;B394, $A:$A&amp;$B:$B, $C:$C))/25</f>
        <v>11067.68</v>
      </c>
      <c r="E394" s="40"/>
    </row>
    <row r="395">
      <c r="A395" s="101" t="s">
        <v>68</v>
      </c>
      <c r="B395" s="101" t="s">
        <v>37</v>
      </c>
      <c r="C395" s="99">
        <v>671805.0</v>
      </c>
      <c r="D395" s="24">
        <f t="array" ref="D395">if(A395=B395,0,XLOOKUP(A395&amp;B395, $A:$A&amp;$B:$B, $C:$C))/25</f>
        <v>26872.2</v>
      </c>
      <c r="E395" s="40"/>
    </row>
    <row r="396">
      <c r="A396" s="101" t="s">
        <v>68</v>
      </c>
      <c r="B396" s="101" t="s">
        <v>62</v>
      </c>
      <c r="C396" s="99">
        <v>586488.0</v>
      </c>
      <c r="D396" s="24">
        <f t="array" ref="D396">if(A396=B396,0,XLOOKUP(A396&amp;B396, $A:$A&amp;$B:$B, $C:$C))/25</f>
        <v>23459.52</v>
      </c>
      <c r="E396" s="40"/>
    </row>
    <row r="397">
      <c r="A397" s="101" t="s">
        <v>68</v>
      </c>
      <c r="B397" s="101" t="s">
        <v>64</v>
      </c>
      <c r="C397" s="99">
        <v>2374934.0</v>
      </c>
      <c r="D397" s="24">
        <f t="array" ref="D397">if(A397=B397,0,XLOOKUP(A397&amp;B397, $A:$A&amp;$B:$B, $C:$C))/25</f>
        <v>94997.36</v>
      </c>
      <c r="E397" s="40"/>
    </row>
    <row r="398">
      <c r="A398" s="101" t="s">
        <v>68</v>
      </c>
      <c r="B398" s="101" t="s">
        <v>63</v>
      </c>
      <c r="C398" s="99">
        <v>2736404.0</v>
      </c>
      <c r="D398" s="24">
        <f t="array" ref="D398">if(A398=B398,0,XLOOKUP(A398&amp;B398, $A:$A&amp;$B:$B, $C:$C))/25</f>
        <v>109456.16</v>
      </c>
      <c r="E398" s="40"/>
    </row>
    <row r="399">
      <c r="A399" s="101" t="s">
        <v>68</v>
      </c>
      <c r="B399" s="101" t="s">
        <v>65</v>
      </c>
      <c r="C399" s="99">
        <v>260610.0</v>
      </c>
      <c r="D399" s="24">
        <f t="array" ref="D399">if(A399=B399,0,XLOOKUP(A399&amp;B399, $A:$A&amp;$B:$B, $C:$C))/25</f>
        <v>10424.4</v>
      </c>
      <c r="E399" s="40"/>
    </row>
    <row r="400">
      <c r="A400" s="101" t="s">
        <v>68</v>
      </c>
      <c r="B400" s="101" t="s">
        <v>66</v>
      </c>
      <c r="C400" s="99">
        <v>3508127.0</v>
      </c>
      <c r="D400" s="24">
        <f t="array" ref="D400">if(A400=B400,0,XLOOKUP(A400&amp;B400, $A:$A&amp;$B:$B, $C:$C))/25</f>
        <v>140325.08</v>
      </c>
      <c r="E400" s="40"/>
    </row>
    <row r="401">
      <c r="A401" s="101" t="s">
        <v>68</v>
      </c>
      <c r="B401" s="101" t="s">
        <v>67</v>
      </c>
      <c r="C401" s="99">
        <v>959134.0</v>
      </c>
      <c r="D401" s="24">
        <f t="array" ref="D401">if(A401=B401,0,XLOOKUP(A401&amp;B401, $A:$A&amp;$B:$B, $C:$C))/25</f>
        <v>38365.36</v>
      </c>
      <c r="E401" s="40"/>
    </row>
    <row r="402">
      <c r="A402" s="101" t="s">
        <v>68</v>
      </c>
      <c r="B402" s="101" t="s">
        <v>68</v>
      </c>
      <c r="C402" s="99">
        <v>1.0298506E7</v>
      </c>
      <c r="D402" s="24">
        <f t="array" ref="D402">if(A402=B402,0,XLOOKUP(A402&amp;B402, $A:$A&amp;$B:$B, $C:$C))/25</f>
        <v>0</v>
      </c>
      <c r="E402" s="40"/>
    </row>
    <row r="403">
      <c r="A403" s="101" t="s">
        <v>68</v>
      </c>
      <c r="B403" s="101" t="s">
        <v>69</v>
      </c>
      <c r="C403" s="99">
        <v>266874.0</v>
      </c>
      <c r="D403" s="24">
        <f t="array" ref="D403">if(A403=B403,0,XLOOKUP(A403&amp;B403, $A:$A&amp;$B:$B, $C:$C))/25</f>
        <v>10674.96</v>
      </c>
      <c r="E403" s="40"/>
    </row>
    <row r="404">
      <c r="A404" s="101" t="s">
        <v>68</v>
      </c>
      <c r="B404" s="101" t="s">
        <v>70</v>
      </c>
      <c r="C404" s="99">
        <v>858587.0</v>
      </c>
      <c r="D404" s="24">
        <f t="array" ref="D404">if(A404=B404,0,XLOOKUP(A404&amp;B404, $A:$A&amp;$B:$B, $C:$C))/25</f>
        <v>34343.48</v>
      </c>
      <c r="E404" s="40"/>
    </row>
    <row r="405">
      <c r="A405" s="101" t="s">
        <v>68</v>
      </c>
      <c r="B405" s="101" t="s">
        <v>71</v>
      </c>
      <c r="C405" s="99">
        <v>1054949.0</v>
      </c>
      <c r="D405" s="24">
        <f t="array" ref="D405">if(A405=B405,0,XLOOKUP(A405&amp;B405, $A:$A&amp;$B:$B, $C:$C))/25</f>
        <v>42197.96</v>
      </c>
      <c r="E405" s="40"/>
    </row>
    <row r="406">
      <c r="A406" s="101" t="s">
        <v>68</v>
      </c>
      <c r="B406" s="101" t="s">
        <v>72</v>
      </c>
      <c r="C406" s="99">
        <v>465395.0</v>
      </c>
      <c r="D406" s="24">
        <f t="array" ref="D406">if(A406=B406,0,XLOOKUP(A406&amp;B406, $A:$A&amp;$B:$B, $C:$C))/25</f>
        <v>18615.8</v>
      </c>
      <c r="E406" s="40"/>
    </row>
    <row r="407">
      <c r="A407" s="101" t="s">
        <v>68</v>
      </c>
      <c r="B407" s="101" t="s">
        <v>73</v>
      </c>
      <c r="C407" s="99">
        <v>994365.0</v>
      </c>
      <c r="D407" s="24">
        <f t="array" ref="D407">if(A407=B407,0,XLOOKUP(A407&amp;B407, $A:$A&amp;$B:$B, $C:$C))/25</f>
        <v>39774.6</v>
      </c>
      <c r="E407" s="40"/>
    </row>
    <row r="408">
      <c r="A408" s="101" t="s">
        <v>68</v>
      </c>
      <c r="B408" s="101" t="s">
        <v>74</v>
      </c>
      <c r="C408" s="99">
        <v>66274.0</v>
      </c>
      <c r="D408" s="24">
        <f t="array" ref="D408">if(A408=B408,0,XLOOKUP(A408&amp;B408, $A:$A&amp;$B:$B, $C:$C))/25</f>
        <v>2650.96</v>
      </c>
      <c r="E408" s="40"/>
    </row>
    <row r="409">
      <c r="A409" s="101" t="s">
        <v>68</v>
      </c>
      <c r="B409" s="101" t="s">
        <v>75</v>
      </c>
      <c r="C409" s="99">
        <v>602562.0</v>
      </c>
      <c r="D409" s="24">
        <f t="array" ref="D409">if(A409=B409,0,XLOOKUP(A409&amp;B409, $A:$A&amp;$B:$B, $C:$C))/25</f>
        <v>24102.48</v>
      </c>
      <c r="E409" s="40"/>
    </row>
    <row r="410">
      <c r="A410" s="102" t="s">
        <v>69</v>
      </c>
      <c r="B410" s="102" t="s">
        <v>31</v>
      </c>
      <c r="C410" s="99">
        <v>13314.0</v>
      </c>
      <c r="D410" s="24">
        <f t="array" ref="D410">if(A410=B410,0,XLOOKUP(A410&amp;B410, $A:$A&amp;$B:$B, $C:$C))/25</f>
        <v>532.56</v>
      </c>
      <c r="E410" s="40"/>
    </row>
    <row r="411">
      <c r="A411" s="102" t="s">
        <v>69</v>
      </c>
      <c r="B411" s="102" t="s">
        <v>34</v>
      </c>
      <c r="C411" s="99">
        <v>78469.0</v>
      </c>
      <c r="D411" s="24">
        <f t="array" ref="D411">if(A411=B411,0,XLOOKUP(A411&amp;B411, $A:$A&amp;$B:$B, $C:$C))/25</f>
        <v>3138.76</v>
      </c>
      <c r="E411" s="40"/>
    </row>
    <row r="412">
      <c r="A412" s="102" t="s">
        <v>69</v>
      </c>
      <c r="B412" s="102" t="s">
        <v>36</v>
      </c>
      <c r="C412" s="99">
        <v>16864.0</v>
      </c>
      <c r="D412" s="24">
        <f t="array" ref="D412">if(A412=B412,0,XLOOKUP(A412&amp;B412, $A:$A&amp;$B:$B, $C:$C))/25</f>
        <v>674.56</v>
      </c>
      <c r="E412" s="40"/>
    </row>
    <row r="413">
      <c r="A413" s="102" t="s">
        <v>69</v>
      </c>
      <c r="B413" s="102" t="s">
        <v>32</v>
      </c>
      <c r="C413" s="99">
        <v>35332.0</v>
      </c>
      <c r="D413" s="24">
        <f t="array" ref="D413">if(A413=B413,0,XLOOKUP(A413&amp;B413, $A:$A&amp;$B:$B, $C:$C))/25</f>
        <v>1413.28</v>
      </c>
      <c r="E413" s="40"/>
    </row>
    <row r="414">
      <c r="A414" s="102" t="s">
        <v>69</v>
      </c>
      <c r="B414" s="102" t="s">
        <v>38</v>
      </c>
      <c r="C414" s="99">
        <v>4632.0</v>
      </c>
      <c r="D414" s="24">
        <f t="array" ref="D414">if(A414=B414,0,XLOOKUP(A414&amp;B414, $A:$A&amp;$B:$B, $C:$C))/25</f>
        <v>185.28</v>
      </c>
      <c r="E414" s="40"/>
    </row>
    <row r="415">
      <c r="A415" s="102" t="s">
        <v>69</v>
      </c>
      <c r="B415" s="102" t="s">
        <v>33</v>
      </c>
      <c r="C415" s="99">
        <v>49241.0</v>
      </c>
      <c r="D415" s="24">
        <f t="array" ref="D415">if(A415=B415,0,XLOOKUP(A415&amp;B415, $A:$A&amp;$B:$B, $C:$C))/25</f>
        <v>1969.64</v>
      </c>
      <c r="E415" s="40"/>
    </row>
    <row r="416">
      <c r="A416" s="102" t="s">
        <v>69</v>
      </c>
      <c r="B416" s="102" t="s">
        <v>39</v>
      </c>
      <c r="C416" s="99">
        <v>23379.0</v>
      </c>
      <c r="D416" s="24">
        <f t="array" ref="D416">if(A416=B416,0,XLOOKUP(A416&amp;B416, $A:$A&amp;$B:$B, $C:$C))/25</f>
        <v>935.16</v>
      </c>
      <c r="E416" s="40"/>
    </row>
    <row r="417">
      <c r="A417" s="102" t="s">
        <v>69</v>
      </c>
      <c r="B417" s="102" t="s">
        <v>35</v>
      </c>
      <c r="C417" s="99">
        <v>50424.0</v>
      </c>
      <c r="D417" s="24">
        <f t="array" ref="D417">if(A417=B417,0,XLOOKUP(A417&amp;B417, $A:$A&amp;$B:$B, $C:$C))/25</f>
        <v>2016.96</v>
      </c>
      <c r="E417" s="40"/>
    </row>
    <row r="418">
      <c r="A418" s="102" t="s">
        <v>69</v>
      </c>
      <c r="B418" s="102" t="s">
        <v>40</v>
      </c>
      <c r="C418" s="99">
        <v>44288.0</v>
      </c>
      <c r="D418" s="24">
        <f t="array" ref="D418">if(A418=B418,0,XLOOKUP(A418&amp;B418, $A:$A&amp;$B:$B, $C:$C))/25</f>
        <v>1771.52</v>
      </c>
      <c r="E418" s="40"/>
    </row>
    <row r="419">
      <c r="A419" s="102" t="s">
        <v>69</v>
      </c>
      <c r="B419" s="102" t="s">
        <v>37</v>
      </c>
      <c r="C419" s="99">
        <v>35040.0</v>
      </c>
      <c r="D419" s="24">
        <f t="array" ref="D419">if(A419=B419,0,XLOOKUP(A419&amp;B419, $A:$A&amp;$B:$B, $C:$C))/25</f>
        <v>1401.6</v>
      </c>
      <c r="E419" s="40"/>
    </row>
    <row r="420">
      <c r="A420" s="102" t="s">
        <v>69</v>
      </c>
      <c r="B420" s="102" t="s">
        <v>62</v>
      </c>
      <c r="C420" s="99">
        <v>27790.0</v>
      </c>
      <c r="D420" s="24">
        <f t="array" ref="D420">if(A420=B420,0,XLOOKUP(A420&amp;B420, $A:$A&amp;$B:$B, $C:$C))/25</f>
        <v>1111.6</v>
      </c>
      <c r="E420" s="40"/>
    </row>
    <row r="421">
      <c r="A421" s="102" t="s">
        <v>69</v>
      </c>
      <c r="B421" s="102" t="s">
        <v>64</v>
      </c>
      <c r="C421" s="99">
        <v>100021.0</v>
      </c>
      <c r="D421" s="24">
        <f t="array" ref="D421">if(A421=B421,0,XLOOKUP(A421&amp;B421, $A:$A&amp;$B:$B, $C:$C))/25</f>
        <v>4000.84</v>
      </c>
      <c r="E421" s="40"/>
    </row>
    <row r="422">
      <c r="A422" s="102" t="s">
        <v>69</v>
      </c>
      <c r="B422" s="102" t="s">
        <v>63</v>
      </c>
      <c r="C422" s="99">
        <v>124915.0</v>
      </c>
      <c r="D422" s="24">
        <f t="array" ref="D422">if(A422=B422,0,XLOOKUP(A422&amp;B422, $A:$A&amp;$B:$B, $C:$C))/25</f>
        <v>4996.6</v>
      </c>
      <c r="E422" s="40"/>
    </row>
    <row r="423">
      <c r="A423" s="102" t="s">
        <v>69</v>
      </c>
      <c r="B423" s="102" t="s">
        <v>65</v>
      </c>
      <c r="C423" s="99">
        <v>10850.0</v>
      </c>
      <c r="D423" s="24">
        <f t="array" ref="D423">if(A423=B423,0,XLOOKUP(A423&amp;B423, $A:$A&amp;$B:$B, $C:$C))/25</f>
        <v>434</v>
      </c>
      <c r="E423" s="40"/>
    </row>
    <row r="424">
      <c r="A424" s="102" t="s">
        <v>69</v>
      </c>
      <c r="B424" s="102" t="s">
        <v>66</v>
      </c>
      <c r="C424" s="99">
        <v>137101.0</v>
      </c>
      <c r="D424" s="24">
        <f t="array" ref="D424">if(A424=B424,0,XLOOKUP(A424&amp;B424, $A:$A&amp;$B:$B, $C:$C))/25</f>
        <v>5484.04</v>
      </c>
      <c r="E424" s="40"/>
    </row>
    <row r="425">
      <c r="A425" s="102" t="s">
        <v>69</v>
      </c>
      <c r="B425" s="102" t="s">
        <v>67</v>
      </c>
      <c r="C425" s="99">
        <v>30164.0</v>
      </c>
      <c r="D425" s="24">
        <f t="array" ref="D425">if(A425=B425,0,XLOOKUP(A425&amp;B425, $A:$A&amp;$B:$B, $C:$C))/25</f>
        <v>1206.56</v>
      </c>
      <c r="E425" s="40"/>
    </row>
    <row r="426">
      <c r="A426" s="102" t="s">
        <v>69</v>
      </c>
      <c r="B426" s="102" t="s">
        <v>68</v>
      </c>
      <c r="C426" s="99">
        <v>150562.0</v>
      </c>
      <c r="D426" s="24">
        <f t="array" ref="D426">if(A426=B426,0,XLOOKUP(A426&amp;B426, $A:$A&amp;$B:$B, $C:$C))/25</f>
        <v>6022.48</v>
      </c>
      <c r="E426" s="40"/>
    </row>
    <row r="427">
      <c r="A427" s="102" t="s">
        <v>69</v>
      </c>
      <c r="B427" s="102" t="s">
        <v>69</v>
      </c>
      <c r="C427" s="99">
        <v>260587.0</v>
      </c>
      <c r="D427" s="24">
        <f t="array" ref="D427">if(A427=B427,0,XLOOKUP(A427&amp;B427, $A:$A&amp;$B:$B, $C:$C))/25</f>
        <v>0</v>
      </c>
      <c r="E427" s="40"/>
    </row>
    <row r="428">
      <c r="A428" s="102" t="s">
        <v>69</v>
      </c>
      <c r="B428" s="102" t="s">
        <v>70</v>
      </c>
      <c r="C428" s="99">
        <v>25087.0</v>
      </c>
      <c r="D428" s="24">
        <f t="array" ref="D428">if(A428=B428,0,XLOOKUP(A428&amp;B428, $A:$A&amp;$B:$B, $C:$C))/25</f>
        <v>1003.48</v>
      </c>
      <c r="E428" s="40"/>
    </row>
    <row r="429">
      <c r="A429" s="102" t="s">
        <v>69</v>
      </c>
      <c r="B429" s="102" t="s">
        <v>71</v>
      </c>
      <c r="C429" s="99">
        <v>41310.0</v>
      </c>
      <c r="D429" s="24">
        <f t="array" ref="D429">if(A429=B429,0,XLOOKUP(A429&amp;B429, $A:$A&amp;$B:$B, $C:$C))/25</f>
        <v>1652.4</v>
      </c>
      <c r="E429" s="40"/>
    </row>
    <row r="430">
      <c r="A430" s="102" t="s">
        <v>69</v>
      </c>
      <c r="B430" s="102" t="s">
        <v>72</v>
      </c>
      <c r="C430" s="99">
        <v>22818.0</v>
      </c>
      <c r="D430" s="24">
        <f t="array" ref="D430">if(A430=B430,0,XLOOKUP(A430&amp;B430, $A:$A&amp;$B:$B, $C:$C))/25</f>
        <v>912.72</v>
      </c>
      <c r="E430" s="40"/>
    </row>
    <row r="431">
      <c r="A431" s="102" t="s">
        <v>69</v>
      </c>
      <c r="B431" s="102" t="s">
        <v>73</v>
      </c>
      <c r="C431" s="99">
        <v>35595.0</v>
      </c>
      <c r="D431" s="24">
        <f t="array" ref="D431">if(A431=B431,0,XLOOKUP(A431&amp;B431, $A:$A&amp;$B:$B, $C:$C))/25</f>
        <v>1423.8</v>
      </c>
      <c r="E431" s="40"/>
    </row>
    <row r="432">
      <c r="A432" s="102" t="s">
        <v>69</v>
      </c>
      <c r="B432" s="102" t="s">
        <v>74</v>
      </c>
      <c r="C432" s="99">
        <v>4494.0</v>
      </c>
      <c r="D432" s="24">
        <f t="array" ref="D432">if(A432=B432,0,XLOOKUP(A432&amp;B432, $A:$A&amp;$B:$B, $C:$C))/25</f>
        <v>179.76</v>
      </c>
      <c r="E432" s="40"/>
    </row>
    <row r="433">
      <c r="A433" s="102" t="s">
        <v>69</v>
      </c>
      <c r="B433" s="102" t="s">
        <v>75</v>
      </c>
      <c r="C433" s="99">
        <v>30600.0</v>
      </c>
      <c r="D433" s="24">
        <f t="array" ref="D433">if(A433=B433,0,XLOOKUP(A433&amp;B433, $A:$A&amp;$B:$B, $C:$C))/25</f>
        <v>1224</v>
      </c>
      <c r="E433" s="40"/>
    </row>
    <row r="434">
      <c r="A434" s="103" t="s">
        <v>70</v>
      </c>
      <c r="B434" s="103" t="s">
        <v>31</v>
      </c>
      <c r="C434" s="99">
        <v>68596.0</v>
      </c>
      <c r="D434" s="24">
        <f t="array" ref="D434">if(A434=B434,0,XLOOKUP(A434&amp;B434, $A:$A&amp;$B:$B, $C:$C))/25</f>
        <v>2743.84</v>
      </c>
      <c r="E434" s="40"/>
    </row>
    <row r="435">
      <c r="A435" s="103" t="s">
        <v>70</v>
      </c>
      <c r="B435" s="103" t="s">
        <v>34</v>
      </c>
      <c r="C435" s="99">
        <v>38050.0</v>
      </c>
      <c r="D435" s="24">
        <f t="array" ref="D435">if(A435=B435,0,XLOOKUP(A435&amp;B435, $A:$A&amp;$B:$B, $C:$C))/25</f>
        <v>1522</v>
      </c>
      <c r="E435" s="40"/>
    </row>
    <row r="436">
      <c r="A436" s="103" t="s">
        <v>70</v>
      </c>
      <c r="B436" s="103" t="s">
        <v>36</v>
      </c>
      <c r="C436" s="99">
        <v>47810.0</v>
      </c>
      <c r="D436" s="24">
        <f t="array" ref="D436">if(A436=B436,0,XLOOKUP(A436&amp;B436, $A:$A&amp;$B:$B, $C:$C))/25</f>
        <v>1912.4</v>
      </c>
      <c r="E436" s="40"/>
    </row>
    <row r="437">
      <c r="A437" s="103" t="s">
        <v>70</v>
      </c>
      <c r="B437" s="103" t="s">
        <v>32</v>
      </c>
      <c r="C437" s="99">
        <v>209258.0</v>
      </c>
      <c r="D437" s="24">
        <f t="array" ref="D437">if(A437=B437,0,XLOOKUP(A437&amp;B437, $A:$A&amp;$B:$B, $C:$C))/25</f>
        <v>8370.32</v>
      </c>
      <c r="E437" s="40"/>
    </row>
    <row r="438">
      <c r="A438" s="103" t="s">
        <v>70</v>
      </c>
      <c r="B438" s="103" t="s">
        <v>38</v>
      </c>
      <c r="C438" s="99">
        <v>72542.0</v>
      </c>
      <c r="D438" s="24">
        <f t="array" ref="D438">if(A438=B438,0,XLOOKUP(A438&amp;B438, $A:$A&amp;$B:$B, $C:$C))/25</f>
        <v>2901.68</v>
      </c>
      <c r="E438" s="40"/>
    </row>
    <row r="439">
      <c r="A439" s="103" t="s">
        <v>70</v>
      </c>
      <c r="B439" s="103" t="s">
        <v>33</v>
      </c>
      <c r="C439" s="99">
        <v>166464.0</v>
      </c>
      <c r="D439" s="24">
        <f t="array" ref="D439">if(A439=B439,0,XLOOKUP(A439&amp;B439, $A:$A&amp;$B:$B, $C:$C))/25</f>
        <v>6658.56</v>
      </c>
      <c r="E439" s="40"/>
    </row>
    <row r="440">
      <c r="A440" s="103" t="s">
        <v>70</v>
      </c>
      <c r="B440" s="103" t="s">
        <v>39</v>
      </c>
      <c r="C440" s="99">
        <v>62981.0</v>
      </c>
      <c r="D440" s="24">
        <f t="array" ref="D440">if(A440=B440,0,XLOOKUP(A440&amp;B440, $A:$A&amp;$B:$B, $C:$C))/25</f>
        <v>2519.24</v>
      </c>
      <c r="E440" s="40"/>
    </row>
    <row r="441">
      <c r="A441" s="103" t="s">
        <v>70</v>
      </c>
      <c r="B441" s="103" t="s">
        <v>35</v>
      </c>
      <c r="C441" s="99">
        <v>539810.0</v>
      </c>
      <c r="D441" s="24">
        <f t="array" ref="D441">if(A441=B441,0,XLOOKUP(A441&amp;B441, $A:$A&amp;$B:$B, $C:$C))/25</f>
        <v>21592.4</v>
      </c>
      <c r="E441" s="40"/>
    </row>
    <row r="442">
      <c r="A442" s="103" t="s">
        <v>70</v>
      </c>
      <c r="B442" s="103" t="s">
        <v>40</v>
      </c>
      <c r="C442" s="99">
        <v>54831.0</v>
      </c>
      <c r="D442" s="24">
        <f t="array" ref="D442">if(A442=B442,0,XLOOKUP(A442&amp;B442, $A:$A&amp;$B:$B, $C:$C))/25</f>
        <v>2193.24</v>
      </c>
      <c r="E442" s="40"/>
    </row>
    <row r="443">
      <c r="A443" s="103" t="s">
        <v>70</v>
      </c>
      <c r="B443" s="103" t="s">
        <v>37</v>
      </c>
      <c r="C443" s="99">
        <v>235936.0</v>
      </c>
      <c r="D443" s="24">
        <f t="array" ref="D443">if(A443=B443,0,XLOOKUP(A443&amp;B443, $A:$A&amp;$B:$B, $C:$C))/25</f>
        <v>9437.44</v>
      </c>
      <c r="E443" s="40"/>
    </row>
    <row r="444">
      <c r="A444" s="103" t="s">
        <v>70</v>
      </c>
      <c r="B444" s="103" t="s">
        <v>62</v>
      </c>
      <c r="C444" s="99">
        <v>120149.0</v>
      </c>
      <c r="D444" s="24">
        <f t="array" ref="D444">if(A444=B444,0,XLOOKUP(A444&amp;B444, $A:$A&amp;$B:$B, $C:$C))/25</f>
        <v>4805.96</v>
      </c>
      <c r="E444" s="40"/>
    </row>
    <row r="445">
      <c r="A445" s="103" t="s">
        <v>70</v>
      </c>
      <c r="B445" s="103" t="s">
        <v>64</v>
      </c>
      <c r="C445" s="99">
        <v>365645.0</v>
      </c>
      <c r="D445" s="24">
        <f t="array" ref="D445">if(A445=B445,0,XLOOKUP(A445&amp;B445, $A:$A&amp;$B:$B, $C:$C))/25</f>
        <v>14625.8</v>
      </c>
      <c r="E445" s="40"/>
    </row>
    <row r="446">
      <c r="A446" s="103" t="s">
        <v>70</v>
      </c>
      <c r="B446" s="103" t="s">
        <v>63</v>
      </c>
      <c r="C446" s="99">
        <v>555304.0</v>
      </c>
      <c r="D446" s="24">
        <f t="array" ref="D446">if(A446=B446,0,XLOOKUP(A446&amp;B446, $A:$A&amp;$B:$B, $C:$C))/25</f>
        <v>22212.16</v>
      </c>
      <c r="E446" s="40"/>
    </row>
    <row r="447">
      <c r="A447" s="103" t="s">
        <v>70</v>
      </c>
      <c r="B447" s="103" t="s">
        <v>65</v>
      </c>
      <c r="C447" s="99">
        <v>38540.0</v>
      </c>
      <c r="D447" s="24">
        <f t="array" ref="D447">if(A447=B447,0,XLOOKUP(A447&amp;B447, $A:$A&amp;$B:$B, $C:$C))/25</f>
        <v>1541.6</v>
      </c>
      <c r="E447" s="40"/>
    </row>
    <row r="448">
      <c r="A448" s="103" t="s">
        <v>70</v>
      </c>
      <c r="B448" s="103" t="s">
        <v>66</v>
      </c>
      <c r="C448" s="99">
        <v>400594.0</v>
      </c>
      <c r="D448" s="24">
        <f t="array" ref="D448">if(A448=B448,0,XLOOKUP(A448&amp;B448, $A:$A&amp;$B:$B, $C:$C))/25</f>
        <v>16023.76</v>
      </c>
      <c r="E448" s="40"/>
    </row>
    <row r="449">
      <c r="A449" s="103" t="s">
        <v>70</v>
      </c>
      <c r="B449" s="103" t="s">
        <v>67</v>
      </c>
      <c r="C449" s="99">
        <v>54582.0</v>
      </c>
      <c r="D449" s="24">
        <f t="array" ref="D449">if(A449=B449,0,XLOOKUP(A449&amp;B449, $A:$A&amp;$B:$B, $C:$C))/25</f>
        <v>2183.28</v>
      </c>
      <c r="E449" s="40"/>
    </row>
    <row r="450">
      <c r="A450" s="103" t="s">
        <v>70</v>
      </c>
      <c r="B450" s="103" t="s">
        <v>68</v>
      </c>
      <c r="C450" s="99">
        <v>359351.0</v>
      </c>
      <c r="D450" s="24">
        <f t="array" ref="D450">if(A450=B450,0,XLOOKUP(A450&amp;B450, $A:$A&amp;$B:$B, $C:$C))/25</f>
        <v>14374.04</v>
      </c>
      <c r="E450" s="40"/>
    </row>
    <row r="451">
      <c r="A451" s="103" t="s">
        <v>70</v>
      </c>
      <c r="B451" s="103" t="s">
        <v>69</v>
      </c>
      <c r="C451" s="99">
        <v>18303.0</v>
      </c>
      <c r="D451" s="24">
        <f t="array" ref="D451">if(A451=B451,0,XLOOKUP(A451&amp;B451, $A:$A&amp;$B:$B, $C:$C))/25</f>
        <v>732.12</v>
      </c>
      <c r="E451" s="40"/>
    </row>
    <row r="452">
      <c r="A452" s="103" t="s">
        <v>70</v>
      </c>
      <c r="B452" s="103" t="s">
        <v>70</v>
      </c>
      <c r="C452" s="99">
        <v>797047.0</v>
      </c>
      <c r="D452" s="24">
        <f t="array" ref="D452">if(A452=B452,0,XLOOKUP(A452&amp;B452, $A:$A&amp;$B:$B, $C:$C))/25</f>
        <v>0</v>
      </c>
      <c r="E452" s="40"/>
    </row>
    <row r="453">
      <c r="A453" s="103" t="s">
        <v>70</v>
      </c>
      <c r="B453" s="103" t="s">
        <v>71</v>
      </c>
      <c r="C453" s="99">
        <v>114241.0</v>
      </c>
      <c r="D453" s="24">
        <f t="array" ref="D453">if(A453=B453,0,XLOOKUP(A453&amp;B453, $A:$A&amp;$B:$B, $C:$C))/25</f>
        <v>4569.64</v>
      </c>
      <c r="E453" s="40"/>
    </row>
    <row r="454">
      <c r="A454" s="103" t="s">
        <v>70</v>
      </c>
      <c r="B454" s="103" t="s">
        <v>72</v>
      </c>
      <c r="C454" s="99">
        <v>76682.0</v>
      </c>
      <c r="D454" s="24">
        <f t="array" ref="D454">if(A454=B454,0,XLOOKUP(A454&amp;B454, $A:$A&amp;$B:$B, $C:$C))/25</f>
        <v>3067.28</v>
      </c>
      <c r="E454" s="40"/>
    </row>
    <row r="455">
      <c r="A455" s="103" t="s">
        <v>70</v>
      </c>
      <c r="B455" s="103" t="s">
        <v>73</v>
      </c>
      <c r="C455" s="99">
        <v>76628.0</v>
      </c>
      <c r="D455" s="24">
        <f t="array" ref="D455">if(A455=B455,0,XLOOKUP(A455&amp;B455, $A:$A&amp;$B:$B, $C:$C))/25</f>
        <v>3065.12</v>
      </c>
      <c r="E455" s="40"/>
    </row>
    <row r="456">
      <c r="A456" s="103" t="s">
        <v>70</v>
      </c>
      <c r="B456" s="103" t="s">
        <v>74</v>
      </c>
      <c r="C456" s="99">
        <v>7355.0</v>
      </c>
      <c r="D456" s="24">
        <f t="array" ref="D456">if(A456=B456,0,XLOOKUP(A456&amp;B456, $A:$A&amp;$B:$B, $C:$C))/25</f>
        <v>294.2</v>
      </c>
      <c r="E456" s="40"/>
    </row>
    <row r="457">
      <c r="A457" s="103" t="s">
        <v>70</v>
      </c>
      <c r="B457" s="103" t="s">
        <v>75</v>
      </c>
      <c r="C457" s="99">
        <v>62232.0</v>
      </c>
      <c r="D457" s="24">
        <f t="array" ref="D457">if(A457=B457,0,XLOOKUP(A457&amp;B457, $A:$A&amp;$B:$B, $C:$C))/25</f>
        <v>2489.28</v>
      </c>
      <c r="E457" s="40"/>
    </row>
    <row r="458">
      <c r="A458" s="104" t="s">
        <v>71</v>
      </c>
      <c r="B458" s="104" t="s">
        <v>31</v>
      </c>
      <c r="C458" s="99">
        <v>97885.0</v>
      </c>
      <c r="D458" s="24">
        <f t="array" ref="D458">if(A458=B458,0,XLOOKUP(A458&amp;B458, $A:$A&amp;$B:$B, $C:$C))/25</f>
        <v>3915.4</v>
      </c>
      <c r="E458" s="40"/>
    </row>
    <row r="459">
      <c r="A459" s="104" t="s">
        <v>71</v>
      </c>
      <c r="B459" s="104" t="s">
        <v>34</v>
      </c>
      <c r="C459" s="99">
        <v>89122.0</v>
      </c>
      <c r="D459" s="24">
        <f t="array" ref="D459">if(A459=B459,0,XLOOKUP(A459&amp;B459, $A:$A&amp;$B:$B, $C:$C))/25</f>
        <v>3564.88</v>
      </c>
      <c r="E459" s="40"/>
    </row>
    <row r="460">
      <c r="A460" s="104" t="s">
        <v>71</v>
      </c>
      <c r="B460" s="104" t="s">
        <v>36</v>
      </c>
      <c r="C460" s="99">
        <v>206000.0</v>
      </c>
      <c r="D460" s="24">
        <f t="array" ref="D460">if(A460=B460,0,XLOOKUP(A460&amp;B460, $A:$A&amp;$B:$B, $C:$C))/25</f>
        <v>8240</v>
      </c>
      <c r="E460" s="40"/>
    </row>
    <row r="461">
      <c r="A461" s="104" t="s">
        <v>71</v>
      </c>
      <c r="B461" s="104" t="s">
        <v>32</v>
      </c>
      <c r="C461" s="99">
        <v>190639.0</v>
      </c>
      <c r="D461" s="24">
        <f t="array" ref="D461">if(A461=B461,0,XLOOKUP(A461&amp;B461, $A:$A&amp;$B:$B, $C:$C))/25</f>
        <v>7625.56</v>
      </c>
      <c r="E461" s="40"/>
    </row>
    <row r="462">
      <c r="A462" s="104" t="s">
        <v>71</v>
      </c>
      <c r="B462" s="104" t="s">
        <v>38</v>
      </c>
      <c r="C462" s="99">
        <v>44650.0</v>
      </c>
      <c r="D462" s="24">
        <f t="array" ref="D462">if(A462=B462,0,XLOOKUP(A462&amp;B462, $A:$A&amp;$B:$B, $C:$C))/25</f>
        <v>1786</v>
      </c>
      <c r="E462" s="40"/>
    </row>
    <row r="463">
      <c r="A463" s="104" t="s">
        <v>71</v>
      </c>
      <c r="B463" s="104" t="s">
        <v>33</v>
      </c>
      <c r="C463" s="99">
        <v>346111.0</v>
      </c>
      <c r="D463" s="24">
        <f t="array" ref="D463">if(A463=B463,0,XLOOKUP(A463&amp;B463, $A:$A&amp;$B:$B, $C:$C))/25</f>
        <v>13844.44</v>
      </c>
      <c r="E463" s="40"/>
    </row>
    <row r="464">
      <c r="A464" s="104" t="s">
        <v>71</v>
      </c>
      <c r="B464" s="104" t="s">
        <v>39</v>
      </c>
      <c r="C464" s="99">
        <v>247642.0</v>
      </c>
      <c r="D464" s="24">
        <f t="array" ref="D464">if(A464=B464,0,XLOOKUP(A464&amp;B464, $A:$A&amp;$B:$B, $C:$C))/25</f>
        <v>9905.68</v>
      </c>
      <c r="E464" s="40"/>
    </row>
    <row r="465">
      <c r="A465" s="104" t="s">
        <v>71</v>
      </c>
      <c r="B465" s="104" t="s">
        <v>35</v>
      </c>
      <c r="C465" s="99">
        <v>485726.0</v>
      </c>
      <c r="D465" s="24">
        <f t="array" ref="D465">if(A465=B465,0,XLOOKUP(A465&amp;B465, $A:$A&amp;$B:$B, $C:$C))/25</f>
        <v>19429.04</v>
      </c>
      <c r="E465" s="40"/>
    </row>
    <row r="466">
      <c r="A466" s="104" t="s">
        <v>71</v>
      </c>
      <c r="B466" s="104" t="s">
        <v>40</v>
      </c>
      <c r="C466" s="99">
        <v>109338.0</v>
      </c>
      <c r="D466" s="24">
        <f t="array" ref="D466">if(A466=B466,0,XLOOKUP(A466&amp;B466, $A:$A&amp;$B:$B, $C:$C))/25</f>
        <v>4373.52</v>
      </c>
      <c r="E466" s="40"/>
    </row>
    <row r="467">
      <c r="A467" s="104" t="s">
        <v>71</v>
      </c>
      <c r="B467" s="104" t="s">
        <v>37</v>
      </c>
      <c r="C467" s="99">
        <v>268462.0</v>
      </c>
      <c r="D467" s="24">
        <f t="array" ref="D467">if(A467=B467,0,XLOOKUP(A467&amp;B467, $A:$A&amp;$B:$B, $C:$C))/25</f>
        <v>10738.48</v>
      </c>
      <c r="E467" s="40"/>
    </row>
    <row r="468">
      <c r="A468" s="104" t="s">
        <v>71</v>
      </c>
      <c r="B468" s="104" t="s">
        <v>62</v>
      </c>
      <c r="C468" s="99">
        <v>251197.0</v>
      </c>
      <c r="D468" s="24">
        <f t="array" ref="D468">if(A468=B468,0,XLOOKUP(A468&amp;B468, $A:$A&amp;$B:$B, $C:$C))/25</f>
        <v>10047.88</v>
      </c>
      <c r="E468" s="40"/>
    </row>
    <row r="469">
      <c r="A469" s="104" t="s">
        <v>71</v>
      </c>
      <c r="B469" s="104" t="s">
        <v>64</v>
      </c>
      <c r="C469" s="99">
        <v>1314622.0</v>
      </c>
      <c r="D469" s="24">
        <f t="array" ref="D469">if(A469=B469,0,XLOOKUP(A469&amp;B469, $A:$A&amp;$B:$B, $C:$C))/25</f>
        <v>52584.88</v>
      </c>
      <c r="E469" s="40"/>
    </row>
    <row r="470">
      <c r="A470" s="104" t="s">
        <v>71</v>
      </c>
      <c r="B470" s="104" t="s">
        <v>63</v>
      </c>
      <c r="C470" s="99">
        <v>1359217.0</v>
      </c>
      <c r="D470" s="24">
        <f t="array" ref="D470">if(A470=B470,0,XLOOKUP(A470&amp;B470, $A:$A&amp;$B:$B, $C:$C))/25</f>
        <v>54368.68</v>
      </c>
      <c r="E470" s="40"/>
    </row>
    <row r="471">
      <c r="A471" s="104" t="s">
        <v>71</v>
      </c>
      <c r="B471" s="104" t="s">
        <v>65</v>
      </c>
      <c r="C471" s="99">
        <v>137536.0</v>
      </c>
      <c r="D471" s="24">
        <f t="array" ref="D471">if(A471=B471,0,XLOOKUP(A471&amp;B471, $A:$A&amp;$B:$B, $C:$C))/25</f>
        <v>5501.44</v>
      </c>
      <c r="E471" s="40"/>
    </row>
    <row r="472">
      <c r="A472" s="104" t="s">
        <v>71</v>
      </c>
      <c r="B472" s="104" t="s">
        <v>66</v>
      </c>
      <c r="C472" s="99">
        <v>1748898.0</v>
      </c>
      <c r="D472" s="24">
        <f t="array" ref="D472">if(A472=B472,0,XLOOKUP(A472&amp;B472, $A:$A&amp;$B:$B, $C:$C))/25</f>
        <v>69955.92</v>
      </c>
      <c r="E472" s="40"/>
    </row>
    <row r="473">
      <c r="A473" s="104" t="s">
        <v>71</v>
      </c>
      <c r="B473" s="104" t="s">
        <v>67</v>
      </c>
      <c r="C473" s="99">
        <v>121404.0</v>
      </c>
      <c r="D473" s="24">
        <f t="array" ref="D473">if(A473=B473,0,XLOOKUP(A473&amp;B473, $A:$A&amp;$B:$B, $C:$C))/25</f>
        <v>4856.16</v>
      </c>
      <c r="E473" s="40"/>
    </row>
    <row r="474">
      <c r="A474" s="104" t="s">
        <v>71</v>
      </c>
      <c r="B474" s="104" t="s">
        <v>68</v>
      </c>
      <c r="C474" s="99">
        <v>649128.0</v>
      </c>
      <c r="D474" s="24">
        <f t="array" ref="D474">if(A474=B474,0,XLOOKUP(A474&amp;B474, $A:$A&amp;$B:$B, $C:$C))/25</f>
        <v>25965.12</v>
      </c>
      <c r="E474" s="40"/>
    </row>
    <row r="475">
      <c r="A475" s="104" t="s">
        <v>71</v>
      </c>
      <c r="B475" s="104" t="s">
        <v>69</v>
      </c>
      <c r="C475" s="99">
        <v>39562.0</v>
      </c>
      <c r="D475" s="24">
        <f t="array" ref="D475">if(A475=B475,0,XLOOKUP(A475&amp;B475, $A:$A&amp;$B:$B, $C:$C))/25</f>
        <v>1582.48</v>
      </c>
      <c r="E475" s="40"/>
    </row>
    <row r="476">
      <c r="A476" s="104" t="s">
        <v>71</v>
      </c>
      <c r="B476" s="104" t="s">
        <v>70</v>
      </c>
      <c r="C476" s="99">
        <v>171040.0</v>
      </c>
      <c r="D476" s="24">
        <f t="array" ref="D476">if(A476=B476,0,XLOOKUP(A476&amp;B476, $A:$A&amp;$B:$B, $C:$C))/25</f>
        <v>6841.6</v>
      </c>
      <c r="E476" s="40"/>
    </row>
    <row r="477">
      <c r="A477" s="104" t="s">
        <v>71</v>
      </c>
      <c r="B477" s="104" t="s">
        <v>71</v>
      </c>
      <c r="C477" s="99">
        <v>3481326.0</v>
      </c>
      <c r="D477" s="24">
        <f t="array" ref="D477">if(A477=B477,0,XLOOKUP(A477&amp;B477, $A:$A&amp;$B:$B, $C:$C))/25</f>
        <v>0</v>
      </c>
      <c r="E477" s="40"/>
    </row>
    <row r="478">
      <c r="A478" s="104" t="s">
        <v>71</v>
      </c>
      <c r="B478" s="104" t="s">
        <v>72</v>
      </c>
      <c r="C478" s="99">
        <v>329365.0</v>
      </c>
      <c r="D478" s="24">
        <f t="array" ref="D478">if(A478=B478,0,XLOOKUP(A478&amp;B478, $A:$A&amp;$B:$B, $C:$C))/25</f>
        <v>13174.6</v>
      </c>
      <c r="E478" s="40"/>
    </row>
    <row r="479">
      <c r="A479" s="104" t="s">
        <v>71</v>
      </c>
      <c r="B479" s="104" t="s">
        <v>73</v>
      </c>
      <c r="C479" s="99">
        <v>230283.0</v>
      </c>
      <c r="D479" s="24">
        <f t="array" ref="D479">if(A479=B479,0,XLOOKUP(A479&amp;B479, $A:$A&amp;$B:$B, $C:$C))/25</f>
        <v>9211.32</v>
      </c>
      <c r="E479" s="40"/>
    </row>
    <row r="480">
      <c r="A480" s="104" t="s">
        <v>71</v>
      </c>
      <c r="B480" s="104" t="s">
        <v>74</v>
      </c>
      <c r="C480" s="99">
        <v>29193.0</v>
      </c>
      <c r="D480" s="24">
        <f t="array" ref="D480">if(A480=B480,0,XLOOKUP(A480&amp;B480, $A:$A&amp;$B:$B, $C:$C))/25</f>
        <v>1167.72</v>
      </c>
      <c r="E480" s="40"/>
    </row>
    <row r="481">
      <c r="A481" s="104" t="s">
        <v>71</v>
      </c>
      <c r="B481" s="104" t="s">
        <v>75</v>
      </c>
      <c r="C481" s="99">
        <v>342221.0</v>
      </c>
      <c r="D481" s="24">
        <f t="array" ref="D481">if(A481=B481,0,XLOOKUP(A481&amp;B481, $A:$A&amp;$B:$B, $C:$C))/25</f>
        <v>13688.84</v>
      </c>
      <c r="E481" s="40"/>
    </row>
    <row r="482">
      <c r="A482" s="105" t="s">
        <v>72</v>
      </c>
      <c r="B482" s="105" t="s">
        <v>31</v>
      </c>
      <c r="C482" s="99">
        <v>82473.0</v>
      </c>
      <c r="D482" s="24">
        <f t="array" ref="D482">if(A482=B482,0,XLOOKUP(A482&amp;B482, $A:$A&amp;$B:$B, $C:$C))/25</f>
        <v>3298.92</v>
      </c>
      <c r="E482" s="40"/>
    </row>
    <row r="483">
      <c r="A483" s="105" t="s">
        <v>72</v>
      </c>
      <c r="B483" s="105" t="s">
        <v>34</v>
      </c>
      <c r="C483" s="99">
        <v>41991.0</v>
      </c>
      <c r="D483" s="24">
        <f t="array" ref="D483">if(A483=B483,0,XLOOKUP(A483&amp;B483, $A:$A&amp;$B:$B, $C:$C))/25</f>
        <v>1679.64</v>
      </c>
      <c r="E483" s="40"/>
    </row>
    <row r="484">
      <c r="A484" s="105" t="s">
        <v>72</v>
      </c>
      <c r="B484" s="105" t="s">
        <v>36</v>
      </c>
      <c r="C484" s="99">
        <v>71449.0</v>
      </c>
      <c r="D484" s="24">
        <f t="array" ref="D484">if(A484=B484,0,XLOOKUP(A484&amp;B484, $A:$A&amp;$B:$B, $C:$C))/25</f>
        <v>2857.96</v>
      </c>
      <c r="E484" s="40"/>
    </row>
    <row r="485">
      <c r="A485" s="105" t="s">
        <v>72</v>
      </c>
      <c r="B485" s="105" t="s">
        <v>32</v>
      </c>
      <c r="C485" s="99">
        <v>141921.0</v>
      </c>
      <c r="D485" s="24">
        <f t="array" ref="D485">if(A485=B485,0,XLOOKUP(A485&amp;B485, $A:$A&amp;$B:$B, $C:$C))/25</f>
        <v>5676.84</v>
      </c>
      <c r="E485" s="40"/>
    </row>
    <row r="486">
      <c r="A486" s="105" t="s">
        <v>72</v>
      </c>
      <c r="B486" s="105" t="s">
        <v>38</v>
      </c>
      <c r="C486" s="99">
        <v>32560.0</v>
      </c>
      <c r="D486" s="24">
        <f t="array" ref="D486">if(A486=B486,0,XLOOKUP(A486&amp;B486, $A:$A&amp;$B:$B, $C:$C))/25</f>
        <v>1302.4</v>
      </c>
      <c r="E486" s="40"/>
    </row>
    <row r="487">
      <c r="A487" s="105" t="s">
        <v>72</v>
      </c>
      <c r="B487" s="105" t="s">
        <v>33</v>
      </c>
      <c r="C487" s="99">
        <v>237756.0</v>
      </c>
      <c r="D487" s="24">
        <f t="array" ref="D487">if(A487=B487,0,XLOOKUP(A487&amp;B487, $A:$A&amp;$B:$B, $C:$C))/25</f>
        <v>9510.24</v>
      </c>
      <c r="E487" s="40"/>
    </row>
    <row r="488">
      <c r="A488" s="105" t="s">
        <v>72</v>
      </c>
      <c r="B488" s="105" t="s">
        <v>39</v>
      </c>
      <c r="C488" s="99">
        <v>85388.0</v>
      </c>
      <c r="D488" s="24">
        <f t="array" ref="D488">if(A488=B488,0,XLOOKUP(A488&amp;B488, $A:$A&amp;$B:$B, $C:$C))/25</f>
        <v>3415.52</v>
      </c>
      <c r="E488" s="40"/>
    </row>
    <row r="489">
      <c r="A489" s="105" t="s">
        <v>72</v>
      </c>
      <c r="B489" s="105" t="s">
        <v>35</v>
      </c>
      <c r="C489" s="99">
        <v>393456.0</v>
      </c>
      <c r="D489" s="24">
        <f t="array" ref="D489">if(A489=B489,0,XLOOKUP(A489&amp;B489, $A:$A&amp;$B:$B, $C:$C))/25</f>
        <v>15738.24</v>
      </c>
      <c r="E489" s="40"/>
    </row>
    <row r="490">
      <c r="A490" s="105" t="s">
        <v>72</v>
      </c>
      <c r="B490" s="105" t="s">
        <v>40</v>
      </c>
      <c r="C490" s="99">
        <v>90929.0</v>
      </c>
      <c r="D490" s="24">
        <f t="array" ref="D490">if(A490=B490,0,XLOOKUP(A490&amp;B490, $A:$A&amp;$B:$B, $C:$C))/25</f>
        <v>3637.16</v>
      </c>
      <c r="E490" s="40"/>
    </row>
    <row r="491">
      <c r="A491" s="105" t="s">
        <v>72</v>
      </c>
      <c r="B491" s="105" t="s">
        <v>37</v>
      </c>
      <c r="C491" s="99">
        <v>243474.0</v>
      </c>
      <c r="D491" s="24">
        <f t="array" ref="D491">if(A491=B491,0,XLOOKUP(A491&amp;B491, $A:$A&amp;$B:$B, $C:$C))/25</f>
        <v>9738.96</v>
      </c>
      <c r="E491" s="40"/>
    </row>
    <row r="492">
      <c r="A492" s="105" t="s">
        <v>72</v>
      </c>
      <c r="B492" s="105" t="s">
        <v>62</v>
      </c>
      <c r="C492" s="99">
        <v>178447.0</v>
      </c>
      <c r="D492" s="24">
        <f t="array" ref="D492">if(A492=B492,0,XLOOKUP(A492&amp;B492, $A:$A&amp;$B:$B, $C:$C))/25</f>
        <v>7137.88</v>
      </c>
      <c r="E492" s="40"/>
    </row>
    <row r="493">
      <c r="A493" s="105" t="s">
        <v>72</v>
      </c>
      <c r="B493" s="105" t="s">
        <v>64</v>
      </c>
      <c r="C493" s="99">
        <v>673987.0</v>
      </c>
      <c r="D493" s="24">
        <f t="array" ref="D493">if(A493=B493,0,XLOOKUP(A493&amp;B493, $A:$A&amp;$B:$B, $C:$C))/25</f>
        <v>26959.48</v>
      </c>
      <c r="E493" s="40"/>
    </row>
    <row r="494">
      <c r="A494" s="105" t="s">
        <v>72</v>
      </c>
      <c r="B494" s="105" t="s">
        <v>63</v>
      </c>
      <c r="C494" s="99">
        <v>877038.0</v>
      </c>
      <c r="D494" s="24">
        <f t="array" ref="D494">if(A494=B494,0,XLOOKUP(A494&amp;B494, $A:$A&amp;$B:$B, $C:$C))/25</f>
        <v>35081.52</v>
      </c>
      <c r="E494" s="40"/>
    </row>
    <row r="495">
      <c r="A495" s="105" t="s">
        <v>72</v>
      </c>
      <c r="B495" s="105" t="s">
        <v>65</v>
      </c>
      <c r="C495" s="99">
        <v>68875.0</v>
      </c>
      <c r="D495" s="24">
        <f t="array" ref="D495">if(A495=B495,0,XLOOKUP(A495&amp;B495, $A:$A&amp;$B:$B, $C:$C))/25</f>
        <v>2755</v>
      </c>
      <c r="E495" s="40"/>
    </row>
    <row r="496">
      <c r="A496" s="105" t="s">
        <v>72</v>
      </c>
      <c r="B496" s="105" t="s">
        <v>66</v>
      </c>
      <c r="C496" s="99">
        <v>702424.0</v>
      </c>
      <c r="D496" s="24">
        <f t="array" ref="D496">if(A496=B496,0,XLOOKUP(A496&amp;B496, $A:$A&amp;$B:$B, $C:$C))/25</f>
        <v>28096.96</v>
      </c>
      <c r="E496" s="40"/>
    </row>
    <row r="497">
      <c r="A497" s="105" t="s">
        <v>72</v>
      </c>
      <c r="B497" s="105" t="s">
        <v>67</v>
      </c>
      <c r="C497" s="99">
        <v>44100.0</v>
      </c>
      <c r="D497" s="24">
        <f t="array" ref="D497">if(A497=B497,0,XLOOKUP(A497&amp;B497, $A:$A&amp;$B:$B, $C:$C))/25</f>
        <v>1764</v>
      </c>
      <c r="E497" s="40"/>
    </row>
    <row r="498">
      <c r="A498" s="105" t="s">
        <v>72</v>
      </c>
      <c r="B498" s="105" t="s">
        <v>68</v>
      </c>
      <c r="C498" s="99">
        <v>208485.0</v>
      </c>
      <c r="D498" s="24">
        <f t="array" ref="D498">if(A498=B498,0,XLOOKUP(A498&amp;B498, $A:$A&amp;$B:$B, $C:$C))/25</f>
        <v>8339.4</v>
      </c>
      <c r="E498" s="40"/>
    </row>
    <row r="499">
      <c r="A499" s="105" t="s">
        <v>72</v>
      </c>
      <c r="B499" s="105" t="s">
        <v>69</v>
      </c>
      <c r="C499" s="99">
        <v>16609.0</v>
      </c>
      <c r="D499" s="24">
        <f t="array" ref="D499">if(A499=B499,0,XLOOKUP(A499&amp;B499, $A:$A&amp;$B:$B, $C:$C))/25</f>
        <v>664.36</v>
      </c>
      <c r="E499" s="40"/>
    </row>
    <row r="500">
      <c r="A500" s="105" t="s">
        <v>72</v>
      </c>
      <c r="B500" s="105" t="s">
        <v>70</v>
      </c>
      <c r="C500" s="99">
        <v>100152.0</v>
      </c>
      <c r="D500" s="24">
        <f t="array" ref="D500">if(A500=B500,0,XLOOKUP(A500&amp;B500, $A:$A&amp;$B:$B, $C:$C))/25</f>
        <v>4006.08</v>
      </c>
      <c r="E500" s="40"/>
    </row>
    <row r="501">
      <c r="A501" s="105" t="s">
        <v>72</v>
      </c>
      <c r="B501" s="105" t="s">
        <v>71</v>
      </c>
      <c r="C501" s="99">
        <v>265198.0</v>
      </c>
      <c r="D501" s="24">
        <f t="array" ref="D501">if(A501=B501,0,XLOOKUP(A501&amp;B501, $A:$A&amp;$B:$B, $C:$C))/25</f>
        <v>10607.92</v>
      </c>
      <c r="E501" s="40"/>
    </row>
    <row r="502">
      <c r="A502" s="105" t="s">
        <v>72</v>
      </c>
      <c r="B502" s="105" t="s">
        <v>72</v>
      </c>
      <c r="C502" s="99">
        <v>1067898.0</v>
      </c>
      <c r="D502" s="24">
        <f t="array" ref="D502">if(A502=B502,0,XLOOKUP(A502&amp;B502, $A:$A&amp;$B:$B, $C:$C))/25</f>
        <v>0</v>
      </c>
      <c r="E502" s="40"/>
    </row>
    <row r="503">
      <c r="A503" s="105" t="s">
        <v>72</v>
      </c>
      <c r="B503" s="105" t="s">
        <v>73</v>
      </c>
      <c r="C503" s="99">
        <v>90782.0</v>
      </c>
      <c r="D503" s="24">
        <f t="array" ref="D503">if(A503=B503,0,XLOOKUP(A503&amp;B503, $A:$A&amp;$B:$B, $C:$C))/25</f>
        <v>3631.28</v>
      </c>
      <c r="E503" s="40"/>
    </row>
    <row r="504">
      <c r="A504" s="105" t="s">
        <v>72</v>
      </c>
      <c r="B504" s="105" t="s">
        <v>74</v>
      </c>
      <c r="C504" s="99">
        <v>15124.0</v>
      </c>
      <c r="D504" s="24">
        <f t="array" ref="D504">if(A504=B504,0,XLOOKUP(A504&amp;B504, $A:$A&amp;$B:$B, $C:$C))/25</f>
        <v>604.96</v>
      </c>
      <c r="E504" s="40"/>
    </row>
    <row r="505">
      <c r="A505" s="105" t="s">
        <v>72</v>
      </c>
      <c r="B505" s="105" t="s">
        <v>75</v>
      </c>
      <c r="C505" s="99">
        <v>100811.0</v>
      </c>
      <c r="D505" s="24">
        <f t="array" ref="D505">if(A505=B505,0,XLOOKUP(A505&amp;B505, $A:$A&amp;$B:$B, $C:$C))/25</f>
        <v>4032.44</v>
      </c>
      <c r="E505" s="40"/>
    </row>
    <row r="506">
      <c r="A506" s="106" t="s">
        <v>73</v>
      </c>
      <c r="B506" s="106" t="s">
        <v>31</v>
      </c>
      <c r="C506" s="99">
        <v>57109.0</v>
      </c>
      <c r="D506" s="24">
        <f t="array" ref="D506">if(A506=B506,0,XLOOKUP(A506&amp;B506, $A:$A&amp;$B:$B, $C:$C))/25</f>
        <v>2284.36</v>
      </c>
      <c r="E506" s="40"/>
    </row>
    <row r="507">
      <c r="A507" s="106" t="s">
        <v>73</v>
      </c>
      <c r="B507" s="106" t="s">
        <v>34</v>
      </c>
      <c r="C507" s="99">
        <v>82186.0</v>
      </c>
      <c r="D507" s="24">
        <f t="array" ref="D507">if(A507=B507,0,XLOOKUP(A507&amp;B507, $A:$A&amp;$B:$B, $C:$C))/25</f>
        <v>3287.44</v>
      </c>
      <c r="E507" s="40"/>
    </row>
    <row r="508">
      <c r="A508" s="106" t="s">
        <v>73</v>
      </c>
      <c r="B508" s="106" t="s">
        <v>36</v>
      </c>
      <c r="C508" s="99">
        <v>155757.0</v>
      </c>
      <c r="D508" s="24">
        <f t="array" ref="D508">if(A508=B508,0,XLOOKUP(A508&amp;B508, $A:$A&amp;$B:$B, $C:$C))/25</f>
        <v>6230.28</v>
      </c>
      <c r="E508" s="40"/>
    </row>
    <row r="509">
      <c r="A509" s="106" t="s">
        <v>73</v>
      </c>
      <c r="B509" s="106" t="s">
        <v>32</v>
      </c>
      <c r="C509" s="99">
        <v>161098.0</v>
      </c>
      <c r="D509" s="24">
        <f t="array" ref="D509">if(A509=B509,0,XLOOKUP(A509&amp;B509, $A:$A&amp;$B:$B, $C:$C))/25</f>
        <v>6443.92</v>
      </c>
      <c r="E509" s="40"/>
    </row>
    <row r="510">
      <c r="A510" s="106" t="s">
        <v>73</v>
      </c>
      <c r="B510" s="106" t="s">
        <v>38</v>
      </c>
      <c r="C510" s="99">
        <v>27689.0</v>
      </c>
      <c r="D510" s="24">
        <f t="array" ref="D510">if(A510=B510,0,XLOOKUP(A510&amp;B510, $A:$A&amp;$B:$B, $C:$C))/25</f>
        <v>1107.56</v>
      </c>
      <c r="E510" s="40"/>
    </row>
    <row r="511">
      <c r="A511" s="106" t="s">
        <v>73</v>
      </c>
      <c r="B511" s="106" t="s">
        <v>33</v>
      </c>
      <c r="C511" s="99">
        <v>237144.0</v>
      </c>
      <c r="D511" s="24">
        <f t="array" ref="D511">if(A511=B511,0,XLOOKUP(A511&amp;B511, $A:$A&amp;$B:$B, $C:$C))/25</f>
        <v>9485.76</v>
      </c>
      <c r="E511" s="40"/>
    </row>
    <row r="512">
      <c r="A512" s="106" t="s">
        <v>73</v>
      </c>
      <c r="B512" s="106" t="s">
        <v>39</v>
      </c>
      <c r="C512" s="99">
        <v>261251.0</v>
      </c>
      <c r="D512" s="24">
        <f t="array" ref="D512">if(A512=B512,0,XLOOKUP(A512&amp;B512, $A:$A&amp;$B:$B, $C:$C))/25</f>
        <v>10450.04</v>
      </c>
      <c r="E512" s="40"/>
    </row>
    <row r="513">
      <c r="A513" s="106" t="s">
        <v>73</v>
      </c>
      <c r="B513" s="106" t="s">
        <v>35</v>
      </c>
      <c r="C513" s="99">
        <v>311683.0</v>
      </c>
      <c r="D513" s="24">
        <f t="array" ref="D513">if(A513=B513,0,XLOOKUP(A513&amp;B513, $A:$A&amp;$B:$B, $C:$C))/25</f>
        <v>12467.32</v>
      </c>
      <c r="E513" s="40"/>
    </row>
    <row r="514">
      <c r="A514" s="106" t="s">
        <v>73</v>
      </c>
      <c r="B514" s="106" t="s">
        <v>40</v>
      </c>
      <c r="C514" s="99">
        <v>68649.0</v>
      </c>
      <c r="D514" s="24">
        <f t="array" ref="D514">if(A514=B514,0,XLOOKUP(A514&amp;B514, $A:$A&amp;$B:$B, $C:$C))/25</f>
        <v>2745.96</v>
      </c>
      <c r="E514" s="40"/>
    </row>
    <row r="515">
      <c r="A515" s="106" t="s">
        <v>73</v>
      </c>
      <c r="B515" s="106" t="s">
        <v>37</v>
      </c>
      <c r="C515" s="99">
        <v>182975.0</v>
      </c>
      <c r="D515" s="24">
        <f t="array" ref="D515">if(A515=B515,0,XLOOKUP(A515&amp;B515, $A:$A&amp;$B:$B, $C:$C))/25</f>
        <v>7319</v>
      </c>
      <c r="E515" s="40"/>
    </row>
    <row r="516">
      <c r="A516" s="106" t="s">
        <v>73</v>
      </c>
      <c r="B516" s="106" t="s">
        <v>62</v>
      </c>
      <c r="C516" s="99">
        <v>171701.0</v>
      </c>
      <c r="D516" s="24">
        <f t="array" ref="D516">if(A516=B516,0,XLOOKUP(A516&amp;B516, $A:$A&amp;$B:$B, $C:$C))/25</f>
        <v>6868.04</v>
      </c>
      <c r="E516" s="40"/>
    </row>
    <row r="517">
      <c r="A517" s="106" t="s">
        <v>73</v>
      </c>
      <c r="B517" s="106" t="s">
        <v>64</v>
      </c>
      <c r="C517" s="99">
        <v>717590.0</v>
      </c>
      <c r="D517" s="24">
        <f t="array" ref="D517">if(A517=B517,0,XLOOKUP(A517&amp;B517, $A:$A&amp;$B:$B, $C:$C))/25</f>
        <v>28703.6</v>
      </c>
      <c r="E517" s="40"/>
    </row>
    <row r="518">
      <c r="A518" s="106" t="s">
        <v>73</v>
      </c>
      <c r="B518" s="106" t="s">
        <v>63</v>
      </c>
      <c r="C518" s="99">
        <v>825438.0</v>
      </c>
      <c r="D518" s="24">
        <f t="array" ref="D518">if(A518=B518,0,XLOOKUP(A518&amp;B518, $A:$A&amp;$B:$B, $C:$C))/25</f>
        <v>33017.52</v>
      </c>
      <c r="E518" s="40"/>
    </row>
    <row r="519">
      <c r="A519" s="106" t="s">
        <v>73</v>
      </c>
      <c r="B519" s="106" t="s">
        <v>65</v>
      </c>
      <c r="C519" s="99">
        <v>80472.0</v>
      </c>
      <c r="D519" s="24">
        <f t="array" ref="D519">if(A519=B519,0,XLOOKUP(A519&amp;B519, $A:$A&amp;$B:$B, $C:$C))/25</f>
        <v>3218.88</v>
      </c>
      <c r="E519" s="40"/>
    </row>
    <row r="520">
      <c r="A520" s="106" t="s">
        <v>73</v>
      </c>
      <c r="B520" s="106" t="s">
        <v>66</v>
      </c>
      <c r="C520" s="99">
        <v>1016932.0</v>
      </c>
      <c r="D520" s="24">
        <f t="array" ref="D520">if(A520=B520,0,XLOOKUP(A520&amp;B520, $A:$A&amp;$B:$B, $C:$C))/25</f>
        <v>40677.28</v>
      </c>
      <c r="E520" s="40"/>
    </row>
    <row r="521">
      <c r="A521" s="106" t="s">
        <v>73</v>
      </c>
      <c r="B521" s="106" t="s">
        <v>67</v>
      </c>
      <c r="C521" s="99">
        <v>152848.0</v>
      </c>
      <c r="D521" s="24">
        <f t="array" ref="D521">if(A521=B521,0,XLOOKUP(A521&amp;B521, $A:$A&amp;$B:$B, $C:$C))/25</f>
        <v>6113.92</v>
      </c>
      <c r="E521" s="40"/>
    </row>
    <row r="522">
      <c r="A522" s="106" t="s">
        <v>73</v>
      </c>
      <c r="B522" s="106" t="s">
        <v>68</v>
      </c>
      <c r="C522" s="99">
        <v>512040.0</v>
      </c>
      <c r="D522" s="24">
        <f t="array" ref="D522">if(A522=B522,0,XLOOKUP(A522&amp;B522, $A:$A&amp;$B:$B, $C:$C))/25</f>
        <v>20481.6</v>
      </c>
      <c r="E522" s="40"/>
    </row>
    <row r="523">
      <c r="A523" s="106" t="s">
        <v>73</v>
      </c>
      <c r="B523" s="106" t="s">
        <v>69</v>
      </c>
      <c r="C523" s="99">
        <v>31053.0</v>
      </c>
      <c r="D523" s="24">
        <f t="array" ref="D523">if(A523=B523,0,XLOOKUP(A523&amp;B523, $A:$A&amp;$B:$B, $C:$C))/25</f>
        <v>1242.12</v>
      </c>
      <c r="E523" s="40"/>
    </row>
    <row r="524">
      <c r="A524" s="106" t="s">
        <v>73</v>
      </c>
      <c r="B524" s="106" t="s">
        <v>70</v>
      </c>
      <c r="C524" s="99">
        <v>99415.0</v>
      </c>
      <c r="D524" s="24">
        <f t="array" ref="D524">if(A524=B524,0,XLOOKUP(A524&amp;B524, $A:$A&amp;$B:$B, $C:$C))/25</f>
        <v>3976.6</v>
      </c>
      <c r="E524" s="40"/>
    </row>
    <row r="525">
      <c r="A525" s="106" t="s">
        <v>73</v>
      </c>
      <c r="B525" s="106" t="s">
        <v>71</v>
      </c>
      <c r="C525" s="99">
        <v>182331.0</v>
      </c>
      <c r="D525" s="24">
        <f t="array" ref="D525">if(A525=B525,0,XLOOKUP(A525&amp;B525, $A:$A&amp;$B:$B, $C:$C))/25</f>
        <v>7293.24</v>
      </c>
      <c r="E525" s="40"/>
    </row>
    <row r="526">
      <c r="A526" s="106" t="s">
        <v>73</v>
      </c>
      <c r="B526" s="106" t="s">
        <v>72</v>
      </c>
      <c r="C526" s="99">
        <v>97607.0</v>
      </c>
      <c r="D526" s="24">
        <f t="array" ref="D526">if(A526=B526,0,XLOOKUP(A526&amp;B526, $A:$A&amp;$B:$B, $C:$C))/25</f>
        <v>3904.28</v>
      </c>
      <c r="E526" s="40"/>
    </row>
    <row r="527">
      <c r="A527" s="106" t="s">
        <v>73</v>
      </c>
      <c r="B527" s="106" t="s">
        <v>73</v>
      </c>
      <c r="C527" s="99">
        <v>2257563.0</v>
      </c>
      <c r="D527" s="24">
        <f t="array" ref="D527">if(A527=B527,0,XLOOKUP(A527&amp;B527, $A:$A&amp;$B:$B, $C:$C))/25</f>
        <v>0</v>
      </c>
      <c r="E527" s="40"/>
    </row>
    <row r="528">
      <c r="A528" s="106" t="s">
        <v>73</v>
      </c>
      <c r="B528" s="106" t="s">
        <v>74</v>
      </c>
      <c r="C528" s="99">
        <v>10247.0</v>
      </c>
      <c r="D528" s="24">
        <f t="array" ref="D528">if(A528=B528,0,XLOOKUP(A528&amp;B528, $A:$A&amp;$B:$B, $C:$C))/25</f>
        <v>409.88</v>
      </c>
      <c r="E528" s="40"/>
    </row>
    <row r="529">
      <c r="A529" s="106" t="s">
        <v>73</v>
      </c>
      <c r="B529" s="106" t="s">
        <v>75</v>
      </c>
      <c r="C529" s="99">
        <v>83926.0</v>
      </c>
      <c r="D529" s="24">
        <f t="array" ref="D529">if(A529=B529,0,XLOOKUP(A529&amp;B529, $A:$A&amp;$B:$B, $C:$C))/25</f>
        <v>3357.04</v>
      </c>
      <c r="E529" s="40"/>
    </row>
    <row r="530">
      <c r="A530" s="100" t="s">
        <v>74</v>
      </c>
      <c r="B530" s="100" t="s">
        <v>31</v>
      </c>
      <c r="C530" s="99">
        <v>13872.0</v>
      </c>
      <c r="D530" s="24">
        <f t="array" ref="D530">if(A530=B530,0,XLOOKUP(A530&amp;B530, $A:$A&amp;$B:$B, $C:$C))/25</f>
        <v>554.88</v>
      </c>
      <c r="E530" s="40"/>
    </row>
    <row r="531">
      <c r="A531" s="100" t="s">
        <v>74</v>
      </c>
      <c r="B531" s="100" t="s">
        <v>34</v>
      </c>
      <c r="C531" s="99">
        <v>16563.0</v>
      </c>
      <c r="D531" s="24">
        <f t="array" ref="D531">if(A531=B531,0,XLOOKUP(A531&amp;B531, $A:$A&amp;$B:$B, $C:$C))/25</f>
        <v>662.52</v>
      </c>
      <c r="E531" s="40"/>
    </row>
    <row r="532">
      <c r="A532" s="100" t="s">
        <v>74</v>
      </c>
      <c r="B532" s="100" t="s">
        <v>36</v>
      </c>
      <c r="C532" s="99">
        <v>15598.0</v>
      </c>
      <c r="D532" s="24">
        <f t="array" ref="D532">if(A532=B532,0,XLOOKUP(A532&amp;B532, $A:$A&amp;$B:$B, $C:$C))/25</f>
        <v>623.92</v>
      </c>
      <c r="E532" s="40"/>
    </row>
    <row r="533">
      <c r="A533" s="100" t="s">
        <v>74</v>
      </c>
      <c r="B533" s="100" t="s">
        <v>32</v>
      </c>
      <c r="C533" s="99">
        <v>26122.0</v>
      </c>
      <c r="D533" s="24">
        <f t="array" ref="D533">if(A533=B533,0,XLOOKUP(A533&amp;B533, $A:$A&amp;$B:$B, $C:$C))/25</f>
        <v>1044.88</v>
      </c>
      <c r="E533" s="40"/>
    </row>
    <row r="534">
      <c r="A534" s="100" t="s">
        <v>74</v>
      </c>
      <c r="B534" s="100" t="s">
        <v>38</v>
      </c>
      <c r="C534" s="99">
        <v>5376.0</v>
      </c>
      <c r="D534" s="24">
        <f t="array" ref="D534">if(A534=B534,0,XLOOKUP(A534&amp;B534, $A:$A&amp;$B:$B, $C:$C))/25</f>
        <v>215.04</v>
      </c>
      <c r="E534" s="40"/>
    </row>
    <row r="535">
      <c r="A535" s="100" t="s">
        <v>74</v>
      </c>
      <c r="B535" s="100" t="s">
        <v>33</v>
      </c>
      <c r="C535" s="99">
        <v>41223.0</v>
      </c>
      <c r="D535" s="24">
        <f t="array" ref="D535">if(A535=B535,0,XLOOKUP(A535&amp;B535, $A:$A&amp;$B:$B, $C:$C))/25</f>
        <v>1648.92</v>
      </c>
      <c r="E535" s="40"/>
    </row>
    <row r="536">
      <c r="A536" s="100" t="s">
        <v>74</v>
      </c>
      <c r="B536" s="100" t="s">
        <v>39</v>
      </c>
      <c r="C536" s="99">
        <v>19088.0</v>
      </c>
      <c r="D536" s="24">
        <f t="array" ref="D536">if(A536=B536,0,XLOOKUP(A536&amp;B536, $A:$A&amp;$B:$B, $C:$C))/25</f>
        <v>763.52</v>
      </c>
      <c r="E536" s="40"/>
    </row>
    <row r="537">
      <c r="A537" s="100" t="s">
        <v>74</v>
      </c>
      <c r="B537" s="100" t="s">
        <v>35</v>
      </c>
      <c r="C537" s="99">
        <v>62750.0</v>
      </c>
      <c r="D537" s="24">
        <f t="array" ref="D537">if(A537=B537,0,XLOOKUP(A537&amp;B537, $A:$A&amp;$B:$B, $C:$C))/25</f>
        <v>2510</v>
      </c>
      <c r="E537" s="40"/>
    </row>
    <row r="538">
      <c r="A538" s="100" t="s">
        <v>74</v>
      </c>
      <c r="B538" s="100" t="s">
        <v>40</v>
      </c>
      <c r="C538" s="99">
        <v>11403.0</v>
      </c>
      <c r="D538" s="24">
        <f t="array" ref="D538">if(A538=B538,0,XLOOKUP(A538&amp;B538, $A:$A&amp;$B:$B, $C:$C))/25</f>
        <v>456.12</v>
      </c>
      <c r="E538" s="40"/>
    </row>
    <row r="539">
      <c r="A539" s="100" t="s">
        <v>74</v>
      </c>
      <c r="B539" s="100" t="s">
        <v>37</v>
      </c>
      <c r="C539" s="99">
        <v>43363.0</v>
      </c>
      <c r="D539" s="24">
        <f t="array" ref="D539">if(A539=B539,0,XLOOKUP(A539&amp;B539, $A:$A&amp;$B:$B, $C:$C))/25</f>
        <v>1734.52</v>
      </c>
      <c r="E539" s="40"/>
    </row>
    <row r="540">
      <c r="A540" s="100" t="s">
        <v>74</v>
      </c>
      <c r="B540" s="100" t="s">
        <v>62</v>
      </c>
      <c r="C540" s="99">
        <v>30375.0</v>
      </c>
      <c r="D540" s="24">
        <f t="array" ref="D540">if(A540=B540,0,XLOOKUP(A540&amp;B540, $A:$A&amp;$B:$B, $C:$C))/25</f>
        <v>1215</v>
      </c>
      <c r="E540" s="40"/>
    </row>
    <row r="541">
      <c r="A541" s="100" t="s">
        <v>74</v>
      </c>
      <c r="B541" s="100" t="s">
        <v>64</v>
      </c>
      <c r="C541" s="99">
        <v>115546.0</v>
      </c>
      <c r="D541" s="24">
        <f t="array" ref="D541">if(A541=B541,0,XLOOKUP(A541&amp;B541, $A:$A&amp;$B:$B, $C:$C))/25</f>
        <v>4621.84</v>
      </c>
      <c r="E541" s="40"/>
    </row>
    <row r="542">
      <c r="A542" s="100" t="s">
        <v>74</v>
      </c>
      <c r="B542" s="100" t="s">
        <v>63</v>
      </c>
      <c r="C542" s="99">
        <v>143354.0</v>
      </c>
      <c r="D542" s="24">
        <f t="array" ref="D542">if(A542=B542,0,XLOOKUP(A542&amp;B542, $A:$A&amp;$B:$B, $C:$C))/25</f>
        <v>5734.16</v>
      </c>
      <c r="E542" s="40"/>
    </row>
    <row r="543">
      <c r="A543" s="100" t="s">
        <v>74</v>
      </c>
      <c r="B543" s="100" t="s">
        <v>65</v>
      </c>
      <c r="C543" s="99">
        <v>12247.0</v>
      </c>
      <c r="D543" s="24">
        <f t="array" ref="D543">if(A543=B543,0,XLOOKUP(A543&amp;B543, $A:$A&amp;$B:$B, $C:$C))/25</f>
        <v>489.88</v>
      </c>
      <c r="E543" s="40"/>
    </row>
    <row r="544">
      <c r="A544" s="100" t="s">
        <v>74</v>
      </c>
      <c r="B544" s="100" t="s">
        <v>66</v>
      </c>
      <c r="C544" s="99">
        <v>140672.0</v>
      </c>
      <c r="D544" s="24">
        <f t="array" ref="D544">if(A544=B544,0,XLOOKUP(A544&amp;B544, $A:$A&amp;$B:$B, $C:$C))/25</f>
        <v>5626.88</v>
      </c>
      <c r="E544" s="40"/>
    </row>
    <row r="545">
      <c r="A545" s="100" t="s">
        <v>74</v>
      </c>
      <c r="B545" s="100" t="s">
        <v>67</v>
      </c>
      <c r="C545" s="99">
        <v>13561.0</v>
      </c>
      <c r="D545" s="24">
        <f t="array" ref="D545">if(A545=B545,0,XLOOKUP(A545&amp;B545, $A:$A&amp;$B:$B, $C:$C))/25</f>
        <v>542.44</v>
      </c>
      <c r="E545" s="40"/>
    </row>
    <row r="546">
      <c r="A546" s="100" t="s">
        <v>74</v>
      </c>
      <c r="B546" s="100" t="s">
        <v>68</v>
      </c>
      <c r="C546" s="99">
        <v>72036.0</v>
      </c>
      <c r="D546" s="24">
        <f t="array" ref="D546">if(A546=B546,0,XLOOKUP(A546&amp;B546, $A:$A&amp;$B:$B, $C:$C))/25</f>
        <v>2881.44</v>
      </c>
      <c r="E546" s="40"/>
    </row>
    <row r="547">
      <c r="A547" s="100" t="s">
        <v>74</v>
      </c>
      <c r="B547" s="100" t="s">
        <v>69</v>
      </c>
      <c r="C547" s="99">
        <v>7664.0</v>
      </c>
      <c r="D547" s="24">
        <f t="array" ref="D547">if(A547=B547,0,XLOOKUP(A547&amp;B547, $A:$A&amp;$B:$B, $C:$C))/25</f>
        <v>306.56</v>
      </c>
      <c r="E547" s="40"/>
    </row>
    <row r="548">
      <c r="A548" s="100" t="s">
        <v>74</v>
      </c>
      <c r="B548" s="100" t="s">
        <v>70</v>
      </c>
      <c r="C548" s="99">
        <v>19506.0</v>
      </c>
      <c r="D548" s="24">
        <f t="array" ref="D548">if(A548=B548,0,XLOOKUP(A548&amp;B548, $A:$A&amp;$B:$B, $C:$C))/25</f>
        <v>780.24</v>
      </c>
      <c r="E548" s="40"/>
    </row>
    <row r="549">
      <c r="A549" s="100" t="s">
        <v>74</v>
      </c>
      <c r="B549" s="100" t="s">
        <v>71</v>
      </c>
      <c r="C549" s="99">
        <v>48512.0</v>
      </c>
      <c r="D549" s="24">
        <f t="array" ref="D549">if(A549=B549,0,XLOOKUP(A549&amp;B549, $A:$A&amp;$B:$B, $C:$C))/25</f>
        <v>1940.48</v>
      </c>
      <c r="E549" s="40"/>
    </row>
    <row r="550">
      <c r="A550" s="100" t="s">
        <v>74</v>
      </c>
      <c r="B550" s="100" t="s">
        <v>72</v>
      </c>
      <c r="C550" s="99">
        <v>33167.0</v>
      </c>
      <c r="D550" s="24">
        <f t="array" ref="D550">if(A550=B550,0,XLOOKUP(A550&amp;B550, $A:$A&amp;$B:$B, $C:$C))/25</f>
        <v>1326.68</v>
      </c>
      <c r="E550" s="40"/>
    </row>
    <row r="551">
      <c r="A551" s="100" t="s">
        <v>74</v>
      </c>
      <c r="B551" s="100" t="s">
        <v>73</v>
      </c>
      <c r="C551" s="99">
        <v>20764.0</v>
      </c>
      <c r="D551" s="24">
        <f t="array" ref="D551">if(A551=B551,0,XLOOKUP(A551&amp;B551, $A:$A&amp;$B:$B, $C:$C))/25</f>
        <v>830.56</v>
      </c>
      <c r="E551" s="40"/>
    </row>
    <row r="552">
      <c r="A552" s="100" t="s">
        <v>74</v>
      </c>
      <c r="B552" s="100" t="s">
        <v>74</v>
      </c>
      <c r="C552" s="99">
        <v>23311.0</v>
      </c>
      <c r="D552" s="24">
        <f t="array" ref="D552">if(A552=B552,0,XLOOKUP(A552&amp;B552, $A:$A&amp;$B:$B, $C:$C))/25</f>
        <v>0</v>
      </c>
      <c r="E552" s="40"/>
    </row>
    <row r="553">
      <c r="A553" s="100" t="s">
        <v>74</v>
      </c>
      <c r="B553" s="100" t="s">
        <v>75</v>
      </c>
      <c r="C553" s="99">
        <v>48784.0</v>
      </c>
      <c r="D553" s="24">
        <f t="array" ref="D553">if(A553=B553,0,XLOOKUP(A553&amp;B553, $A:$A&amp;$B:$B, $C:$C))/25</f>
        <v>1951.36</v>
      </c>
      <c r="E553" s="40"/>
    </row>
    <row r="554">
      <c r="A554" s="100" t="s">
        <v>75</v>
      </c>
      <c r="B554" s="100" t="s">
        <v>31</v>
      </c>
      <c r="C554" s="99">
        <v>56342.0</v>
      </c>
      <c r="D554" s="24">
        <f t="array" ref="D554">if(A554=B554,0,XLOOKUP(A554&amp;B554, $A:$A&amp;$B:$B, $C:$C))/25</f>
        <v>2253.68</v>
      </c>
      <c r="E554" s="40"/>
    </row>
    <row r="555">
      <c r="A555" s="100" t="s">
        <v>75</v>
      </c>
      <c r="B555" s="100" t="s">
        <v>34</v>
      </c>
      <c r="C555" s="99">
        <v>59964.0</v>
      </c>
      <c r="D555" s="24">
        <f t="array" ref="D555">if(A555=B555,0,XLOOKUP(A555&amp;B555, $A:$A&amp;$B:$B, $C:$C))/25</f>
        <v>2398.56</v>
      </c>
      <c r="E555" s="40"/>
    </row>
    <row r="556">
      <c r="A556" s="100" t="s">
        <v>75</v>
      </c>
      <c r="B556" s="100" t="s">
        <v>36</v>
      </c>
      <c r="C556" s="99">
        <v>48324.0</v>
      </c>
      <c r="D556" s="24">
        <f t="array" ref="D556">if(A556=B556,0,XLOOKUP(A556&amp;B556, $A:$A&amp;$B:$B, $C:$C))/25</f>
        <v>1932.96</v>
      </c>
      <c r="E556" s="40"/>
    </row>
    <row r="557">
      <c r="A557" s="100" t="s">
        <v>75</v>
      </c>
      <c r="B557" s="100" t="s">
        <v>32</v>
      </c>
      <c r="C557" s="99">
        <v>120884.0</v>
      </c>
      <c r="D557" s="24">
        <f t="array" ref="D557">if(A557=B557,0,XLOOKUP(A557&amp;B557, $A:$A&amp;$B:$B, $C:$C))/25</f>
        <v>4835.36</v>
      </c>
      <c r="E557" s="40"/>
    </row>
    <row r="558">
      <c r="A558" s="100" t="s">
        <v>75</v>
      </c>
      <c r="B558" s="100" t="s">
        <v>38</v>
      </c>
      <c r="C558" s="99">
        <v>22673.0</v>
      </c>
      <c r="D558" s="24">
        <f t="array" ref="D558">if(A558=B558,0,XLOOKUP(A558&amp;B558, $A:$A&amp;$B:$B, $C:$C))/25</f>
        <v>906.92</v>
      </c>
      <c r="E558" s="40"/>
    </row>
    <row r="559">
      <c r="A559" s="100" t="s">
        <v>75</v>
      </c>
      <c r="B559" s="100" t="s">
        <v>33</v>
      </c>
      <c r="C559" s="99">
        <v>111820.0</v>
      </c>
      <c r="D559" s="24">
        <f t="array" ref="D559">if(A559=B559,0,XLOOKUP(A559&amp;B559, $A:$A&amp;$B:$B, $C:$C))/25</f>
        <v>4472.8</v>
      </c>
      <c r="E559" s="40"/>
    </row>
    <row r="560">
      <c r="A560" s="100" t="s">
        <v>75</v>
      </c>
      <c r="B560" s="100" t="s">
        <v>39</v>
      </c>
      <c r="C560" s="99">
        <v>100252.0</v>
      </c>
      <c r="D560" s="24">
        <f t="array" ref="D560">if(A560=B560,0,XLOOKUP(A560&amp;B560, $A:$A&amp;$B:$B, $C:$C))/25</f>
        <v>4010.08</v>
      </c>
      <c r="E560" s="40"/>
    </row>
    <row r="561">
      <c r="A561" s="100" t="s">
        <v>75</v>
      </c>
      <c r="B561" s="100" t="s">
        <v>35</v>
      </c>
      <c r="C561" s="99">
        <v>309060.0</v>
      </c>
      <c r="D561" s="24">
        <f t="array" ref="D561">if(A561=B561,0,XLOOKUP(A561&amp;B561, $A:$A&amp;$B:$B, $C:$C))/25</f>
        <v>12362.4</v>
      </c>
      <c r="E561" s="40"/>
    </row>
    <row r="562">
      <c r="A562" s="100" t="s">
        <v>75</v>
      </c>
      <c r="B562" s="100" t="s">
        <v>40</v>
      </c>
      <c r="C562" s="99">
        <v>26710.0</v>
      </c>
      <c r="D562" s="24">
        <f t="array" ref="D562">if(A562=B562,0,XLOOKUP(A562&amp;B562, $A:$A&amp;$B:$B, $C:$C))/25</f>
        <v>1068.4</v>
      </c>
      <c r="E562" s="40"/>
    </row>
    <row r="563">
      <c r="A563" s="100" t="s">
        <v>75</v>
      </c>
      <c r="B563" s="100" t="s">
        <v>37</v>
      </c>
      <c r="C563" s="99">
        <v>115492.0</v>
      </c>
      <c r="D563" s="24">
        <f t="array" ref="D563">if(A563=B563,0,XLOOKUP(A563&amp;B563, $A:$A&amp;$B:$B, $C:$C))/25</f>
        <v>4619.68</v>
      </c>
      <c r="E563" s="40"/>
    </row>
    <row r="564">
      <c r="A564" s="100" t="s">
        <v>75</v>
      </c>
      <c r="B564" s="100" t="s">
        <v>62</v>
      </c>
      <c r="C564" s="99">
        <v>36506.0</v>
      </c>
      <c r="D564" s="24">
        <f t="array" ref="D564">if(A564=B564,0,XLOOKUP(A564&amp;B564, $A:$A&amp;$B:$B, $C:$C))/25</f>
        <v>1460.24</v>
      </c>
      <c r="E564" s="40"/>
    </row>
    <row r="565">
      <c r="A565" s="100" t="s">
        <v>75</v>
      </c>
      <c r="B565" s="100" t="s">
        <v>64</v>
      </c>
      <c r="C565" s="99">
        <v>405597.0</v>
      </c>
      <c r="D565" s="24">
        <f t="array" ref="D565">if(A565=B565,0,XLOOKUP(A565&amp;B565, $A:$A&amp;$B:$B, $C:$C))/25</f>
        <v>16223.88</v>
      </c>
      <c r="E565" s="40"/>
    </row>
    <row r="566">
      <c r="A566" s="100" t="s">
        <v>75</v>
      </c>
      <c r="B566" s="100" t="s">
        <v>63</v>
      </c>
      <c r="C566" s="99">
        <v>369296.0</v>
      </c>
      <c r="D566" s="24">
        <f t="array" ref="D566">if(A566=B566,0,XLOOKUP(A566&amp;B566, $A:$A&amp;$B:$B, $C:$C))/25</f>
        <v>14771.84</v>
      </c>
      <c r="E566" s="40"/>
    </row>
    <row r="567">
      <c r="A567" s="100" t="s">
        <v>75</v>
      </c>
      <c r="B567" s="100" t="s">
        <v>65</v>
      </c>
      <c r="C567" s="99">
        <v>24987.0</v>
      </c>
      <c r="D567" s="24">
        <f t="array" ref="D567">if(A567=B567,0,XLOOKUP(A567&amp;B567, $A:$A&amp;$B:$B, $C:$C))/25</f>
        <v>999.48</v>
      </c>
      <c r="E567" s="40"/>
    </row>
    <row r="568">
      <c r="A568" s="100" t="s">
        <v>75</v>
      </c>
      <c r="B568" s="100" t="s">
        <v>66</v>
      </c>
      <c r="C568" s="99">
        <v>548103.0</v>
      </c>
      <c r="D568" s="24">
        <f t="array" ref="D568">if(A568=B568,0,XLOOKUP(A568&amp;B568, $A:$A&amp;$B:$B, $C:$C))/25</f>
        <v>21924.12</v>
      </c>
      <c r="E568" s="40"/>
    </row>
    <row r="569">
      <c r="A569" s="100" t="s">
        <v>75</v>
      </c>
      <c r="B569" s="100" t="s">
        <v>67</v>
      </c>
      <c r="C569" s="99">
        <v>68337.0</v>
      </c>
      <c r="D569" s="24">
        <f t="array" ref="D569">if(A569=B569,0,XLOOKUP(A569&amp;B569, $A:$A&amp;$B:$B, $C:$C))/25</f>
        <v>2733.48</v>
      </c>
      <c r="E569" s="40"/>
    </row>
    <row r="570">
      <c r="A570" s="100" t="s">
        <v>75</v>
      </c>
      <c r="B570" s="100" t="s">
        <v>68</v>
      </c>
      <c r="C570" s="99">
        <v>564828.0</v>
      </c>
      <c r="D570" s="24">
        <f t="array" ref="D570">if(A570=B570,0,XLOOKUP(A570&amp;B570, $A:$A&amp;$B:$B, $C:$C))/25</f>
        <v>22593.12</v>
      </c>
      <c r="E570" s="40"/>
    </row>
    <row r="571">
      <c r="A571" s="100" t="s">
        <v>75</v>
      </c>
      <c r="B571" s="100" t="s">
        <v>69</v>
      </c>
      <c r="C571" s="99">
        <v>34249.0</v>
      </c>
      <c r="D571" s="24">
        <f t="array" ref="D571">if(A571=B571,0,XLOOKUP(A571&amp;B571, $A:$A&amp;$B:$B, $C:$C))/25</f>
        <v>1369.96</v>
      </c>
      <c r="E571" s="40"/>
    </row>
    <row r="572">
      <c r="A572" s="100" t="s">
        <v>75</v>
      </c>
      <c r="B572" s="100" t="s">
        <v>70</v>
      </c>
      <c r="C572" s="99">
        <v>103144.0</v>
      </c>
      <c r="D572" s="24">
        <f t="array" ref="D572">if(A572=B572,0,XLOOKUP(A572&amp;B572, $A:$A&amp;$B:$B, $C:$C))/25</f>
        <v>4125.76</v>
      </c>
      <c r="E572" s="40"/>
    </row>
    <row r="573">
      <c r="A573" s="100" t="s">
        <v>75</v>
      </c>
      <c r="B573" s="100" t="s">
        <v>71</v>
      </c>
      <c r="C573" s="99">
        <v>431852.0</v>
      </c>
      <c r="D573" s="24">
        <f t="array" ref="D573">if(A573=B573,0,XLOOKUP(A573&amp;B573, $A:$A&amp;$B:$B, $C:$C))/25</f>
        <v>17274.08</v>
      </c>
      <c r="E573" s="40"/>
    </row>
    <row r="574">
      <c r="A574" s="100" t="s">
        <v>75</v>
      </c>
      <c r="B574" s="100" t="s">
        <v>72</v>
      </c>
      <c r="C574" s="99">
        <v>128309.0</v>
      </c>
      <c r="D574" s="24">
        <f t="array" ref="D574">if(A574=B574,0,XLOOKUP(A574&amp;B574, $A:$A&amp;$B:$B, $C:$C))/25</f>
        <v>5132.36</v>
      </c>
      <c r="E574" s="40"/>
    </row>
    <row r="575">
      <c r="A575" s="100" t="s">
        <v>75</v>
      </c>
      <c r="B575" s="100" t="s">
        <v>73</v>
      </c>
      <c r="C575" s="99">
        <v>81934.0</v>
      </c>
      <c r="D575" s="24">
        <f t="array" ref="D575">if(A575=B575,0,XLOOKUP(A575&amp;B575, $A:$A&amp;$B:$B, $C:$C))/25</f>
        <v>3277.36</v>
      </c>
      <c r="E575" s="40"/>
    </row>
    <row r="576">
      <c r="A576" s="100" t="s">
        <v>75</v>
      </c>
      <c r="B576" s="100" t="s">
        <v>74</v>
      </c>
      <c r="C576" s="99">
        <v>17065.0</v>
      </c>
      <c r="D576" s="24">
        <f t="array" ref="D576">if(A576=B576,0,XLOOKUP(A576&amp;B576, $A:$A&amp;$B:$B, $C:$C))/25</f>
        <v>682.6</v>
      </c>
      <c r="E576" s="40"/>
    </row>
    <row r="577">
      <c r="A577" s="100" t="s">
        <v>75</v>
      </c>
      <c r="B577" s="100" t="s">
        <v>75</v>
      </c>
      <c r="C577" s="99">
        <v>1041097.0</v>
      </c>
      <c r="D577" s="24">
        <f t="array" ref="D577">if(A577=B577,0,XLOOKUP(A577&amp;B577, $A:$A&amp;$B:$B, $C:$C))/25</f>
        <v>0</v>
      </c>
      <c r="E577" s="40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8"/>
      <c r="B1" s="109" t="s">
        <v>31</v>
      </c>
      <c r="C1" s="109" t="s">
        <v>34</v>
      </c>
      <c r="D1" s="109" t="s">
        <v>36</v>
      </c>
      <c r="E1" s="109" t="s">
        <v>32</v>
      </c>
      <c r="F1" s="109" t="s">
        <v>38</v>
      </c>
      <c r="G1" s="109" t="s">
        <v>33</v>
      </c>
      <c r="H1" s="109" t="s">
        <v>39</v>
      </c>
      <c r="I1" s="109" t="s">
        <v>35</v>
      </c>
      <c r="J1" s="109" t="s">
        <v>40</v>
      </c>
      <c r="K1" s="109" t="s">
        <v>37</v>
      </c>
      <c r="L1" s="109" t="s">
        <v>62</v>
      </c>
      <c r="M1" s="109" t="s">
        <v>64</v>
      </c>
      <c r="N1" s="109" t="s">
        <v>63</v>
      </c>
      <c r="O1" s="109" t="s">
        <v>65</v>
      </c>
      <c r="P1" s="109" t="s">
        <v>66</v>
      </c>
      <c r="Q1" s="109" t="s">
        <v>67</v>
      </c>
      <c r="R1" s="109" t="s">
        <v>68</v>
      </c>
      <c r="S1" s="109" t="s">
        <v>69</v>
      </c>
      <c r="T1" s="109" t="s">
        <v>70</v>
      </c>
      <c r="U1" s="109" t="s">
        <v>71</v>
      </c>
      <c r="V1" s="109" t="s">
        <v>72</v>
      </c>
      <c r="W1" s="109" t="s">
        <v>73</v>
      </c>
      <c r="X1" s="109" t="s">
        <v>74</v>
      </c>
      <c r="Y1" s="109" t="s">
        <v>75</v>
      </c>
    </row>
    <row r="2">
      <c r="A2" s="109" t="s">
        <v>31</v>
      </c>
      <c r="B2" s="110">
        <v>0.0</v>
      </c>
      <c r="C2" s="110">
        <v>404.8972</v>
      </c>
      <c r="D2" s="110">
        <v>1061.869</v>
      </c>
      <c r="E2" s="110">
        <v>909.2041</v>
      </c>
      <c r="F2" s="110">
        <v>1187.826</v>
      </c>
      <c r="G2" s="110">
        <v>1362.65</v>
      </c>
      <c r="H2" s="110">
        <v>1641.94</v>
      </c>
      <c r="I2" s="110">
        <v>1810.495</v>
      </c>
      <c r="J2" s="110">
        <v>2163.425</v>
      </c>
      <c r="K2" s="110">
        <v>2382.411</v>
      </c>
      <c r="L2" s="97">
        <v>1589.631</v>
      </c>
      <c r="M2" s="97">
        <v>2137.684</v>
      </c>
      <c r="N2" s="97">
        <v>2335.1</v>
      </c>
      <c r="O2" s="97">
        <v>2477.408</v>
      </c>
      <c r="P2" s="97">
        <v>2503.107</v>
      </c>
      <c r="Q2" s="97">
        <v>2790.988</v>
      </c>
      <c r="R2" s="97">
        <v>2907.289</v>
      </c>
      <c r="S2" s="97">
        <v>3187.674</v>
      </c>
      <c r="T2" s="97">
        <v>3323.749</v>
      </c>
      <c r="U2" s="97">
        <v>3563.979</v>
      </c>
      <c r="V2" s="97">
        <v>3576.523</v>
      </c>
      <c r="W2" s="97">
        <v>3770.497</v>
      </c>
      <c r="X2" s="97">
        <v>4031.18</v>
      </c>
      <c r="Y2" s="97">
        <v>5099.27</v>
      </c>
    </row>
    <row r="3">
      <c r="A3" s="109" t="s">
        <v>34</v>
      </c>
      <c r="B3" s="110">
        <v>404.8972</v>
      </c>
      <c r="C3" s="110">
        <v>0.0</v>
      </c>
      <c r="D3" s="110">
        <v>657.5094</v>
      </c>
      <c r="E3" s="110">
        <v>563.3406</v>
      </c>
      <c r="F3" s="110">
        <v>790.5225</v>
      </c>
      <c r="G3" s="110">
        <v>966.6815</v>
      </c>
      <c r="H3" s="110">
        <v>1264.945</v>
      </c>
      <c r="I3" s="110">
        <v>1425.636</v>
      </c>
      <c r="J3" s="110">
        <v>1766.499</v>
      </c>
      <c r="K3" s="110">
        <v>1980.994</v>
      </c>
      <c r="L3" s="97">
        <v>1191.765</v>
      </c>
      <c r="M3" s="97">
        <v>1734.726</v>
      </c>
      <c r="N3" s="97">
        <v>1932.024</v>
      </c>
      <c r="O3" s="97">
        <v>2084.138</v>
      </c>
      <c r="P3" s="97">
        <v>2113.285</v>
      </c>
      <c r="Q3" s="97">
        <v>2403.906</v>
      </c>
      <c r="R3" s="97">
        <v>2504.846</v>
      </c>
      <c r="S3" s="97">
        <v>2790.809</v>
      </c>
      <c r="T3" s="97">
        <v>2954.246</v>
      </c>
      <c r="U3" s="97">
        <v>3159.085</v>
      </c>
      <c r="V3" s="97">
        <v>3204.89</v>
      </c>
      <c r="W3" s="97">
        <v>3379.821</v>
      </c>
      <c r="X3" s="97">
        <v>3654.252</v>
      </c>
      <c r="Y3" s="97">
        <v>4721.99</v>
      </c>
    </row>
    <row r="4">
      <c r="A4" s="109" t="s">
        <v>36</v>
      </c>
      <c r="B4" s="110">
        <v>1061.869</v>
      </c>
      <c r="C4" s="110">
        <v>657.5094</v>
      </c>
      <c r="D4" s="110">
        <v>0.0</v>
      </c>
      <c r="E4" s="110">
        <v>469.9265</v>
      </c>
      <c r="F4" s="110">
        <v>254.9509</v>
      </c>
      <c r="G4" s="110">
        <v>397.4792</v>
      </c>
      <c r="H4" s="110">
        <v>751.9781</v>
      </c>
      <c r="I4" s="110">
        <v>867.9308</v>
      </c>
      <c r="J4" s="110">
        <v>1150.091</v>
      </c>
      <c r="K4" s="110">
        <v>1344.494</v>
      </c>
      <c r="L4" s="97">
        <v>550.3809</v>
      </c>
      <c r="M4" s="97">
        <v>1078.184</v>
      </c>
      <c r="N4" s="97">
        <v>1275.248</v>
      </c>
      <c r="O4" s="97">
        <v>1444.699</v>
      </c>
      <c r="P4" s="97">
        <v>1480.854</v>
      </c>
      <c r="Q4" s="97">
        <v>1775.013</v>
      </c>
      <c r="R4" s="97">
        <v>1848.561</v>
      </c>
      <c r="S4" s="97">
        <v>2142.414</v>
      </c>
      <c r="T4" s="97">
        <v>2355.636</v>
      </c>
      <c r="U4" s="97">
        <v>2503.106</v>
      </c>
      <c r="V4" s="97">
        <v>2600.362</v>
      </c>
      <c r="W4" s="97">
        <v>2740.549</v>
      </c>
      <c r="X4" s="97">
        <v>3037.814</v>
      </c>
      <c r="Y4" s="97">
        <v>4101.689</v>
      </c>
    </row>
    <row r="5">
      <c r="A5" s="109" t="s">
        <v>32</v>
      </c>
      <c r="B5" s="110">
        <v>909.2041</v>
      </c>
      <c r="C5" s="110">
        <v>563.3406</v>
      </c>
      <c r="D5" s="110">
        <v>469.9265</v>
      </c>
      <c r="E5" s="110">
        <v>0.0</v>
      </c>
      <c r="F5" s="110">
        <v>386.2807</v>
      </c>
      <c r="G5" s="110">
        <v>525.4495</v>
      </c>
      <c r="H5" s="110">
        <v>741.0224</v>
      </c>
      <c r="I5" s="110">
        <v>918.1315</v>
      </c>
      <c r="J5" s="110">
        <v>1296.792</v>
      </c>
      <c r="K5" s="110">
        <v>1535.299</v>
      </c>
      <c r="L5" s="97">
        <v>963.9422</v>
      </c>
      <c r="M5" s="97">
        <v>1410.238</v>
      </c>
      <c r="N5" s="97">
        <v>1597.683</v>
      </c>
      <c r="O5" s="97">
        <v>1825.19</v>
      </c>
      <c r="P5" s="97">
        <v>1872.531</v>
      </c>
      <c r="Q5" s="97">
        <v>2166.671</v>
      </c>
      <c r="R5" s="97">
        <v>2162.696</v>
      </c>
      <c r="S5" s="97">
        <v>2489.5</v>
      </c>
      <c r="T5" s="97">
        <v>2772.965</v>
      </c>
      <c r="U5" s="97">
        <v>2756.748</v>
      </c>
      <c r="V5" s="97">
        <v>3010.634</v>
      </c>
      <c r="W5" s="97">
        <v>3103.712</v>
      </c>
      <c r="X5" s="97">
        <v>3432.9</v>
      </c>
      <c r="Y5" s="97">
        <v>4486.717</v>
      </c>
    </row>
    <row r="6">
      <c r="A6" s="109" t="s">
        <v>38</v>
      </c>
      <c r="B6" s="110">
        <v>1187.826</v>
      </c>
      <c r="C6" s="110">
        <v>790.5225</v>
      </c>
      <c r="D6" s="110">
        <v>254.9509</v>
      </c>
      <c r="E6" s="110">
        <v>386.2807</v>
      </c>
      <c r="F6" s="110">
        <v>0.0</v>
      </c>
      <c r="G6" s="110">
        <v>176.4669</v>
      </c>
      <c r="H6" s="110">
        <v>510.3344</v>
      </c>
      <c r="I6" s="110">
        <v>647.3369</v>
      </c>
      <c r="J6" s="110">
        <v>976.2167</v>
      </c>
      <c r="K6" s="110">
        <v>1196.258</v>
      </c>
      <c r="L6" s="97">
        <v>591.6576</v>
      </c>
      <c r="M6" s="97">
        <v>1026.01</v>
      </c>
      <c r="N6" s="97">
        <v>1215.663</v>
      </c>
      <c r="O6" s="97">
        <v>1439.055</v>
      </c>
      <c r="P6" s="97">
        <v>1487.114</v>
      </c>
      <c r="Q6" s="97">
        <v>1780.948</v>
      </c>
      <c r="R6" s="97">
        <v>1784.278</v>
      </c>
      <c r="S6" s="97">
        <v>2105.635</v>
      </c>
      <c r="T6" s="97">
        <v>2390.673</v>
      </c>
      <c r="U6" s="97">
        <v>2398.529</v>
      </c>
      <c r="V6" s="97">
        <v>2626.585</v>
      </c>
      <c r="W6" s="97">
        <v>2718.444</v>
      </c>
      <c r="X6" s="97">
        <v>3046.9</v>
      </c>
      <c r="Y6" s="97">
        <v>4100.463</v>
      </c>
    </row>
    <row r="7">
      <c r="A7" s="109" t="s">
        <v>33</v>
      </c>
      <c r="B7" s="110">
        <v>1362.65</v>
      </c>
      <c r="C7" s="110">
        <v>966.6815</v>
      </c>
      <c r="D7" s="110">
        <v>397.4792</v>
      </c>
      <c r="E7" s="110">
        <v>525.4495</v>
      </c>
      <c r="F7" s="110">
        <v>176.4669</v>
      </c>
      <c r="G7" s="110">
        <v>0.0</v>
      </c>
      <c r="H7" s="110">
        <v>356.1662</v>
      </c>
      <c r="I7" s="110">
        <v>475.5078</v>
      </c>
      <c r="J7" s="110">
        <v>800.7896</v>
      </c>
      <c r="K7" s="110">
        <v>1024.79</v>
      </c>
      <c r="L7" s="97">
        <v>541.8429</v>
      </c>
      <c r="M7" s="97">
        <v>894.5228</v>
      </c>
      <c r="N7" s="97">
        <v>1077.074</v>
      </c>
      <c r="O7" s="97">
        <v>1325.265</v>
      </c>
      <c r="P7" s="97">
        <v>1379.358</v>
      </c>
      <c r="Q7" s="97">
        <v>1669.768</v>
      </c>
      <c r="R7" s="97">
        <v>1638.389</v>
      </c>
      <c r="S7" s="97">
        <v>1970.334</v>
      </c>
      <c r="T7" s="97">
        <v>2291.774</v>
      </c>
      <c r="U7" s="97">
        <v>2235.628</v>
      </c>
      <c r="V7" s="97">
        <v>2521.431</v>
      </c>
      <c r="W7" s="97">
        <v>2587.616</v>
      </c>
      <c r="X7" s="97">
        <v>2930.782</v>
      </c>
      <c r="Y7" s="97">
        <v>3976.653</v>
      </c>
    </row>
    <row r="8">
      <c r="A8" s="109" t="s">
        <v>39</v>
      </c>
      <c r="B8" s="110">
        <v>1641.94</v>
      </c>
      <c r="C8" s="110">
        <v>1264.945</v>
      </c>
      <c r="D8" s="110">
        <v>751.9781</v>
      </c>
      <c r="E8" s="110">
        <v>741.0224</v>
      </c>
      <c r="F8" s="110">
        <v>510.3344</v>
      </c>
      <c r="G8" s="110">
        <v>356.1662</v>
      </c>
      <c r="H8" s="110">
        <v>0.0</v>
      </c>
      <c r="I8" s="110">
        <v>186.18</v>
      </c>
      <c r="J8" s="110">
        <v>587.9985</v>
      </c>
      <c r="K8" s="110">
        <v>842.0161</v>
      </c>
      <c r="L8" s="97">
        <v>774.6369</v>
      </c>
      <c r="M8" s="97">
        <v>908.2486</v>
      </c>
      <c r="N8" s="97">
        <v>1051.628</v>
      </c>
      <c r="O8" s="97">
        <v>1359.959</v>
      </c>
      <c r="P8" s="97">
        <v>1427.341</v>
      </c>
      <c r="Q8" s="97">
        <v>1698.009</v>
      </c>
      <c r="R8" s="97">
        <v>1560.288</v>
      </c>
      <c r="S8" s="97">
        <v>1920.249</v>
      </c>
      <c r="T8" s="97">
        <v>2336.734</v>
      </c>
      <c r="U8" s="97">
        <v>2072.906</v>
      </c>
      <c r="V8" s="97">
        <v>2547.222</v>
      </c>
      <c r="W8" s="97">
        <v>2541.079</v>
      </c>
      <c r="X8" s="97">
        <v>2922.61</v>
      </c>
      <c r="Y8" s="97">
        <v>3938.47</v>
      </c>
    </row>
    <row r="9">
      <c r="A9" s="109" t="s">
        <v>35</v>
      </c>
      <c r="B9" s="110">
        <v>1810.495</v>
      </c>
      <c r="C9" s="110">
        <v>1425.636</v>
      </c>
      <c r="D9" s="110">
        <v>867.9308</v>
      </c>
      <c r="E9" s="110">
        <v>918.1315</v>
      </c>
      <c r="F9" s="110">
        <v>647.3369</v>
      </c>
      <c r="G9" s="110">
        <v>475.5078</v>
      </c>
      <c r="H9" s="110">
        <v>186.18</v>
      </c>
      <c r="I9" s="110">
        <v>0.0</v>
      </c>
      <c r="J9" s="110">
        <v>403.0102</v>
      </c>
      <c r="K9" s="110">
        <v>658.2451</v>
      </c>
      <c r="L9" s="97">
        <v>767.3142</v>
      </c>
      <c r="M9" s="97">
        <v>781.4544</v>
      </c>
      <c r="N9" s="97">
        <v>904.6043</v>
      </c>
      <c r="O9" s="97">
        <v>1228.261</v>
      </c>
      <c r="P9" s="97">
        <v>1299.629</v>
      </c>
      <c r="Q9" s="97">
        <v>1558.955</v>
      </c>
      <c r="R9" s="97">
        <v>1390.317</v>
      </c>
      <c r="S9" s="97">
        <v>1754.983</v>
      </c>
      <c r="T9" s="97">
        <v>2198.505</v>
      </c>
      <c r="U9" s="97">
        <v>1887.885</v>
      </c>
      <c r="V9" s="97">
        <v>2401.227</v>
      </c>
      <c r="W9" s="97">
        <v>2374.171</v>
      </c>
      <c r="X9" s="97">
        <v>2764.72</v>
      </c>
      <c r="Y9" s="97">
        <v>3770.787</v>
      </c>
    </row>
    <row r="10">
      <c r="A10" s="109" t="s">
        <v>40</v>
      </c>
      <c r="B10" s="110">
        <v>2163.425</v>
      </c>
      <c r="C10" s="110">
        <v>1766.499</v>
      </c>
      <c r="D10" s="110">
        <v>1150.091</v>
      </c>
      <c r="E10" s="110">
        <v>1296.792</v>
      </c>
      <c r="F10" s="110">
        <v>976.2167</v>
      </c>
      <c r="G10" s="110">
        <v>800.7896</v>
      </c>
      <c r="H10" s="110">
        <v>587.9985</v>
      </c>
      <c r="I10" s="110">
        <v>403.0102</v>
      </c>
      <c r="J10" s="110">
        <v>0.0</v>
      </c>
      <c r="K10" s="110">
        <v>256.303</v>
      </c>
      <c r="L10" s="97">
        <v>846.2285</v>
      </c>
      <c r="M10" s="97">
        <v>565.5148</v>
      </c>
      <c r="N10" s="97">
        <v>610.0183</v>
      </c>
      <c r="O10" s="97">
        <v>955.4358</v>
      </c>
      <c r="P10" s="97">
        <v>1033.746</v>
      </c>
      <c r="Q10" s="97">
        <v>1255.12</v>
      </c>
      <c r="R10" s="97">
        <v>1013.82</v>
      </c>
      <c r="S10" s="97">
        <v>1385.812</v>
      </c>
      <c r="T10" s="97">
        <v>1885.626</v>
      </c>
      <c r="U10" s="97">
        <v>1484.976</v>
      </c>
      <c r="V10" s="97">
        <v>2069.159</v>
      </c>
      <c r="W10" s="97">
        <v>1998.302</v>
      </c>
      <c r="X10" s="97">
        <v>2405.474</v>
      </c>
      <c r="Y10" s="97">
        <v>3390.611</v>
      </c>
    </row>
    <row r="11">
      <c r="A11" s="109" t="s">
        <v>37</v>
      </c>
      <c r="B11" s="110">
        <v>2382.411</v>
      </c>
      <c r="C11" s="110">
        <v>1980.994</v>
      </c>
      <c r="D11" s="110">
        <v>1344.494</v>
      </c>
      <c r="E11" s="110">
        <v>1535.299</v>
      </c>
      <c r="F11" s="110">
        <v>1196.258</v>
      </c>
      <c r="G11" s="110">
        <v>1024.79</v>
      </c>
      <c r="H11" s="110">
        <v>842.0161</v>
      </c>
      <c r="I11" s="110">
        <v>658.2451</v>
      </c>
      <c r="J11" s="110">
        <v>256.303</v>
      </c>
      <c r="K11" s="110">
        <v>0.0</v>
      </c>
      <c r="L11" s="97">
        <v>958.2278</v>
      </c>
      <c r="M11" s="97">
        <v>521.1367</v>
      </c>
      <c r="N11" s="97">
        <v>478.0437</v>
      </c>
      <c r="O11" s="97">
        <v>810.4965</v>
      </c>
      <c r="P11" s="97">
        <v>890.2571</v>
      </c>
      <c r="Q11" s="97">
        <v>1071.421</v>
      </c>
      <c r="R11" s="97">
        <v>773.936</v>
      </c>
      <c r="S11" s="97">
        <v>1148.347</v>
      </c>
      <c r="T11" s="97">
        <v>1684.748</v>
      </c>
      <c r="U11" s="97">
        <v>1231.778</v>
      </c>
      <c r="V11" s="97">
        <v>1853.37</v>
      </c>
      <c r="W11" s="97">
        <v>1753.841</v>
      </c>
      <c r="X11" s="97">
        <v>2170.32</v>
      </c>
      <c r="Y11" s="97">
        <v>3142.102</v>
      </c>
    </row>
    <row r="12">
      <c r="A12" s="109" t="s">
        <v>62</v>
      </c>
      <c r="B12" s="97">
        <v>1589.631</v>
      </c>
      <c r="C12" s="97">
        <v>1191.765</v>
      </c>
      <c r="D12" s="97">
        <v>550.3809</v>
      </c>
      <c r="E12" s="97">
        <v>963.9422</v>
      </c>
      <c r="F12" s="97">
        <v>591.6576</v>
      </c>
      <c r="G12" s="97">
        <v>541.8429</v>
      </c>
      <c r="H12" s="97">
        <v>774.6369</v>
      </c>
      <c r="I12" s="97">
        <v>767.3142</v>
      </c>
      <c r="J12" s="97">
        <v>846.2285</v>
      </c>
      <c r="K12" s="97">
        <v>958.2278</v>
      </c>
      <c r="L12" s="97">
        <v>0.0</v>
      </c>
      <c r="M12" s="97">
        <v>563.9848</v>
      </c>
      <c r="N12" s="97">
        <v>758.9569</v>
      </c>
      <c r="O12" s="97">
        <v>895.2495</v>
      </c>
      <c r="P12" s="97">
        <v>930.4774</v>
      </c>
      <c r="Q12" s="97">
        <v>1224.739</v>
      </c>
      <c r="R12" s="97">
        <v>1323.521</v>
      </c>
      <c r="S12" s="97">
        <v>1599.053</v>
      </c>
      <c r="T12" s="97">
        <v>1813.219</v>
      </c>
      <c r="U12" s="97">
        <v>2008.157</v>
      </c>
      <c r="V12" s="97">
        <v>2054.956</v>
      </c>
      <c r="W12" s="97">
        <v>2191.706</v>
      </c>
      <c r="X12" s="97">
        <v>2488.628</v>
      </c>
      <c r="Y12" s="97">
        <v>3551.62</v>
      </c>
    </row>
    <row r="13">
      <c r="A13" s="109" t="s">
        <v>64</v>
      </c>
      <c r="B13" s="97">
        <v>2137.684</v>
      </c>
      <c r="C13" s="97">
        <v>1734.726</v>
      </c>
      <c r="D13" s="97">
        <v>1078.184</v>
      </c>
      <c r="E13" s="97">
        <v>1410.238</v>
      </c>
      <c r="F13" s="97">
        <v>1026.01</v>
      </c>
      <c r="G13" s="97">
        <v>894.5228</v>
      </c>
      <c r="H13" s="97">
        <v>908.2486</v>
      </c>
      <c r="I13" s="97">
        <v>781.4544</v>
      </c>
      <c r="J13" s="97">
        <v>565.5148</v>
      </c>
      <c r="K13" s="97">
        <v>521.1367</v>
      </c>
      <c r="L13" s="97">
        <v>563.9848</v>
      </c>
      <c r="M13" s="97">
        <v>0.0</v>
      </c>
      <c r="N13" s="97">
        <v>197.4577</v>
      </c>
      <c r="O13" s="97">
        <v>451.7984</v>
      </c>
      <c r="P13" s="97">
        <v>519.7402</v>
      </c>
      <c r="Q13" s="97">
        <v>792.4761</v>
      </c>
      <c r="R13" s="97">
        <v>770.382</v>
      </c>
      <c r="S13" s="97">
        <v>1079.625</v>
      </c>
      <c r="T13" s="97">
        <v>1429.431</v>
      </c>
      <c r="U13" s="97">
        <v>1444.176</v>
      </c>
      <c r="V13" s="97">
        <v>1645.406</v>
      </c>
      <c r="W13" s="97">
        <v>1693.973</v>
      </c>
      <c r="X13" s="97">
        <v>2040.306</v>
      </c>
      <c r="Y13" s="97">
        <v>3082.232</v>
      </c>
    </row>
    <row r="14">
      <c r="A14" s="109" t="s">
        <v>63</v>
      </c>
      <c r="B14" s="97">
        <v>2335.1</v>
      </c>
      <c r="C14" s="97">
        <v>1932.024</v>
      </c>
      <c r="D14" s="97">
        <v>1275.248</v>
      </c>
      <c r="E14" s="97">
        <v>1597.683</v>
      </c>
      <c r="F14" s="97">
        <v>1215.663</v>
      </c>
      <c r="G14" s="97">
        <v>1077.074</v>
      </c>
      <c r="H14" s="97">
        <v>1051.628</v>
      </c>
      <c r="I14" s="97">
        <v>904.6043</v>
      </c>
      <c r="J14" s="97">
        <v>610.0183</v>
      </c>
      <c r="K14" s="97">
        <v>478.0437</v>
      </c>
      <c r="L14" s="97">
        <v>758.9569</v>
      </c>
      <c r="M14" s="97">
        <v>197.4577</v>
      </c>
      <c r="N14" s="97">
        <v>0.0</v>
      </c>
      <c r="O14" s="97">
        <v>345.6618</v>
      </c>
      <c r="P14" s="97">
        <v>424.516</v>
      </c>
      <c r="Q14" s="97">
        <v>656.469</v>
      </c>
      <c r="R14" s="97">
        <v>573.6388</v>
      </c>
      <c r="S14" s="97">
        <v>893.3392</v>
      </c>
      <c r="T14" s="97">
        <v>1295.11</v>
      </c>
      <c r="U14" s="97">
        <v>1250.39</v>
      </c>
      <c r="V14" s="97">
        <v>1497.216</v>
      </c>
      <c r="W14" s="97">
        <v>1512.04</v>
      </c>
      <c r="X14" s="97">
        <v>1874.058</v>
      </c>
      <c r="Y14" s="97">
        <v>2905.406</v>
      </c>
    </row>
    <row r="15">
      <c r="A15" s="109" t="s">
        <v>65</v>
      </c>
      <c r="B15" s="97">
        <v>2477.408</v>
      </c>
      <c r="C15" s="97">
        <v>2084.138</v>
      </c>
      <c r="D15" s="97">
        <v>1444.699</v>
      </c>
      <c r="E15" s="97">
        <v>1825.19</v>
      </c>
      <c r="F15" s="97">
        <v>1439.055</v>
      </c>
      <c r="G15" s="97">
        <v>1325.265</v>
      </c>
      <c r="H15" s="97">
        <v>1359.959</v>
      </c>
      <c r="I15" s="97">
        <v>1228.261</v>
      </c>
      <c r="J15" s="97">
        <v>955.4358</v>
      </c>
      <c r="K15" s="97">
        <v>810.4965</v>
      </c>
      <c r="L15" s="97">
        <v>895.2495</v>
      </c>
      <c r="M15" s="97">
        <v>451.7984</v>
      </c>
      <c r="N15" s="97">
        <v>345.6618</v>
      </c>
      <c r="O15" s="97">
        <v>0.0</v>
      </c>
      <c r="P15" s="97">
        <v>79.81623</v>
      </c>
      <c r="Q15" s="97">
        <v>344.7884</v>
      </c>
      <c r="R15" s="97">
        <v>528.6</v>
      </c>
      <c r="S15" s="97">
        <v>716.0324</v>
      </c>
      <c r="T15" s="97">
        <v>978.0106</v>
      </c>
      <c r="U15" s="97">
        <v>1251.483</v>
      </c>
      <c r="V15" s="97">
        <v>1198.299</v>
      </c>
      <c r="W15" s="97">
        <v>1296.523</v>
      </c>
      <c r="X15" s="97">
        <v>1607.959</v>
      </c>
      <c r="Y15" s="97">
        <v>2663.365</v>
      </c>
    </row>
    <row r="16">
      <c r="A16" s="109" t="s">
        <v>66</v>
      </c>
      <c r="B16" s="97">
        <v>2503.107</v>
      </c>
      <c r="C16" s="97">
        <v>2113.285</v>
      </c>
      <c r="D16" s="97">
        <v>1480.854</v>
      </c>
      <c r="E16" s="97">
        <v>1872.531</v>
      </c>
      <c r="F16" s="97">
        <v>1487.114</v>
      </c>
      <c r="G16" s="97">
        <v>1379.358</v>
      </c>
      <c r="H16" s="97">
        <v>1427.341</v>
      </c>
      <c r="I16" s="97">
        <v>1299.629</v>
      </c>
      <c r="J16" s="97">
        <v>1033.746</v>
      </c>
      <c r="K16" s="97">
        <v>890.2571</v>
      </c>
      <c r="L16" s="97">
        <v>930.4774</v>
      </c>
      <c r="M16" s="97">
        <v>519.7402</v>
      </c>
      <c r="N16" s="97">
        <v>424.516</v>
      </c>
      <c r="O16" s="97">
        <v>79.81623</v>
      </c>
      <c r="P16" s="97">
        <v>0.0</v>
      </c>
      <c r="Q16" s="97">
        <v>294.9322</v>
      </c>
      <c r="R16" s="97">
        <v>561.9698</v>
      </c>
      <c r="S16" s="97">
        <v>706.8772</v>
      </c>
      <c r="T16" s="97">
        <v>915.5575</v>
      </c>
      <c r="U16" s="97">
        <v>1278.238</v>
      </c>
      <c r="V16" s="97">
        <v>1142.099</v>
      </c>
      <c r="W16" s="97">
        <v>1267.393</v>
      </c>
      <c r="X16" s="97">
        <v>1561.462</v>
      </c>
      <c r="Y16" s="97">
        <v>2621.729</v>
      </c>
    </row>
    <row r="17">
      <c r="A17" s="109" t="s">
        <v>67</v>
      </c>
      <c r="B17" s="97">
        <v>2790.988</v>
      </c>
      <c r="C17" s="97">
        <v>2403.906</v>
      </c>
      <c r="D17" s="97">
        <v>1775.013</v>
      </c>
      <c r="E17" s="97">
        <v>2166.671</v>
      </c>
      <c r="F17" s="97">
        <v>1780.948</v>
      </c>
      <c r="G17" s="97">
        <v>1669.768</v>
      </c>
      <c r="H17" s="97">
        <v>1698.009</v>
      </c>
      <c r="I17" s="97">
        <v>1558.955</v>
      </c>
      <c r="J17" s="97">
        <v>1255.12</v>
      </c>
      <c r="K17" s="97">
        <v>1071.421</v>
      </c>
      <c r="L17" s="97">
        <v>1224.739</v>
      </c>
      <c r="M17" s="97">
        <v>792.4761</v>
      </c>
      <c r="N17" s="97">
        <v>656.469</v>
      </c>
      <c r="O17" s="97">
        <v>344.7884</v>
      </c>
      <c r="P17" s="97">
        <v>294.9322</v>
      </c>
      <c r="Q17" s="97">
        <v>0.0</v>
      </c>
      <c r="R17" s="97">
        <v>493.3521</v>
      </c>
      <c r="S17" s="97">
        <v>472.7008</v>
      </c>
      <c r="T17" s="97">
        <v>639.6058</v>
      </c>
      <c r="U17" s="97">
        <v>1130.436</v>
      </c>
      <c r="V17" s="97">
        <v>853.8262</v>
      </c>
      <c r="W17" s="97">
        <v>982.3463</v>
      </c>
      <c r="X17" s="97">
        <v>1266.678</v>
      </c>
      <c r="Y17" s="97">
        <v>2327.016</v>
      </c>
    </row>
    <row r="18">
      <c r="A18" s="109" t="s">
        <v>68</v>
      </c>
      <c r="B18" s="97">
        <v>2907.289</v>
      </c>
      <c r="C18" s="97">
        <v>2504.846</v>
      </c>
      <c r="D18" s="97">
        <v>1848.561</v>
      </c>
      <c r="E18" s="97">
        <v>2162.696</v>
      </c>
      <c r="F18" s="97">
        <v>1784.278</v>
      </c>
      <c r="G18" s="97">
        <v>1638.389</v>
      </c>
      <c r="H18" s="97">
        <v>1560.288</v>
      </c>
      <c r="I18" s="97">
        <v>1390.317</v>
      </c>
      <c r="J18" s="97">
        <v>1013.82</v>
      </c>
      <c r="K18" s="97">
        <v>773.936</v>
      </c>
      <c r="L18" s="97">
        <v>1323.521</v>
      </c>
      <c r="M18" s="97">
        <v>770.382</v>
      </c>
      <c r="N18" s="97">
        <v>573.6388</v>
      </c>
      <c r="O18" s="97">
        <v>528.6</v>
      </c>
      <c r="P18" s="97">
        <v>561.9698</v>
      </c>
      <c r="Q18" s="97">
        <v>493.3521</v>
      </c>
      <c r="R18" s="97">
        <v>0.0</v>
      </c>
      <c r="S18" s="97">
        <v>374.5626</v>
      </c>
      <c r="T18" s="97">
        <v>972.3884</v>
      </c>
      <c r="U18" s="97">
        <v>724.0925</v>
      </c>
      <c r="V18" s="97">
        <v>1103.1</v>
      </c>
      <c r="W18" s="97">
        <v>985.2084</v>
      </c>
      <c r="X18" s="97">
        <v>1396.557</v>
      </c>
      <c r="Y18" s="97">
        <v>2380.632</v>
      </c>
    </row>
    <row r="19">
      <c r="A19" s="109" t="s">
        <v>69</v>
      </c>
      <c r="B19" s="97">
        <v>3187.674</v>
      </c>
      <c r="C19" s="97">
        <v>2790.809</v>
      </c>
      <c r="D19" s="97">
        <v>2142.414</v>
      </c>
      <c r="E19" s="97">
        <v>2489.5</v>
      </c>
      <c r="F19" s="97">
        <v>2105.635</v>
      </c>
      <c r="G19" s="97">
        <v>1970.334</v>
      </c>
      <c r="H19" s="97">
        <v>1920.249</v>
      </c>
      <c r="I19" s="97">
        <v>1754.983</v>
      </c>
      <c r="J19" s="97">
        <v>1385.812</v>
      </c>
      <c r="K19" s="97">
        <v>1148.347</v>
      </c>
      <c r="L19" s="97">
        <v>1599.053</v>
      </c>
      <c r="M19" s="97">
        <v>1079.625</v>
      </c>
      <c r="N19" s="97">
        <v>893.3392</v>
      </c>
      <c r="O19" s="97">
        <v>716.0324</v>
      </c>
      <c r="P19" s="97">
        <v>706.8772</v>
      </c>
      <c r="Q19" s="97">
        <v>472.7008</v>
      </c>
      <c r="R19" s="97">
        <v>374.5626</v>
      </c>
      <c r="S19" s="97">
        <v>0.0</v>
      </c>
      <c r="T19" s="97">
        <v>668.068</v>
      </c>
      <c r="U19" s="97">
        <v>699.9972</v>
      </c>
      <c r="V19" s="97">
        <v>751.3306</v>
      </c>
      <c r="W19" s="97">
        <v>621.4678</v>
      </c>
      <c r="X19" s="97">
        <v>1022.013</v>
      </c>
      <c r="Y19" s="97">
        <v>2018.665</v>
      </c>
    </row>
    <row r="20">
      <c r="A20" s="109" t="s">
        <v>70</v>
      </c>
      <c r="B20" s="97">
        <v>3323.749</v>
      </c>
      <c r="C20" s="97">
        <v>2954.246</v>
      </c>
      <c r="D20" s="97">
        <v>2355.636</v>
      </c>
      <c r="E20" s="97">
        <v>2772.965</v>
      </c>
      <c r="F20" s="97">
        <v>2390.673</v>
      </c>
      <c r="G20" s="97">
        <v>2291.774</v>
      </c>
      <c r="H20" s="97">
        <v>2336.734</v>
      </c>
      <c r="I20" s="97">
        <v>2198.505</v>
      </c>
      <c r="J20" s="97">
        <v>1885.626</v>
      </c>
      <c r="K20" s="97">
        <v>1684.748</v>
      </c>
      <c r="L20" s="97">
        <v>1813.219</v>
      </c>
      <c r="M20" s="97">
        <v>1429.431</v>
      </c>
      <c r="N20" s="97">
        <v>1295.11</v>
      </c>
      <c r="O20" s="97">
        <v>978.0106</v>
      </c>
      <c r="P20" s="97">
        <v>915.5575</v>
      </c>
      <c r="Q20" s="97">
        <v>639.6058</v>
      </c>
      <c r="R20" s="97">
        <v>972.3884</v>
      </c>
      <c r="S20" s="97">
        <v>668.068</v>
      </c>
      <c r="T20" s="97">
        <v>0.0</v>
      </c>
      <c r="U20" s="97">
        <v>1307.178</v>
      </c>
      <c r="V20" s="97">
        <v>255.0633</v>
      </c>
      <c r="W20" s="97">
        <v>660.4531</v>
      </c>
      <c r="X20" s="97">
        <v>721.0539</v>
      </c>
      <c r="Y20" s="97">
        <v>1781.452</v>
      </c>
    </row>
    <row r="21">
      <c r="A21" s="109" t="s">
        <v>71</v>
      </c>
      <c r="B21" s="97">
        <v>3563.979</v>
      </c>
      <c r="C21" s="97">
        <v>3159.085</v>
      </c>
      <c r="D21" s="97">
        <v>2503.106</v>
      </c>
      <c r="E21" s="97">
        <v>2756.748</v>
      </c>
      <c r="F21" s="97">
        <v>2398.529</v>
      </c>
      <c r="G21" s="97">
        <v>2235.628</v>
      </c>
      <c r="H21" s="97">
        <v>2072.906</v>
      </c>
      <c r="I21" s="97">
        <v>1887.885</v>
      </c>
      <c r="J21" s="97">
        <v>1484.976</v>
      </c>
      <c r="K21" s="97">
        <v>1231.778</v>
      </c>
      <c r="L21" s="97">
        <v>2008.157</v>
      </c>
      <c r="M21" s="97">
        <v>1444.176</v>
      </c>
      <c r="N21" s="97">
        <v>1250.39</v>
      </c>
      <c r="O21" s="97">
        <v>1251.483</v>
      </c>
      <c r="P21" s="97">
        <v>1278.238</v>
      </c>
      <c r="Q21" s="97">
        <v>1130.436</v>
      </c>
      <c r="R21" s="97">
        <v>724.0925</v>
      </c>
      <c r="S21" s="97">
        <v>699.9972</v>
      </c>
      <c r="T21" s="97">
        <v>1307.178</v>
      </c>
      <c r="U21" s="97">
        <v>0.0</v>
      </c>
      <c r="V21" s="97">
        <v>1293.373</v>
      </c>
      <c r="W21" s="97">
        <v>886.6505</v>
      </c>
      <c r="X21" s="97">
        <v>1342.374</v>
      </c>
      <c r="Y21" s="97">
        <v>2079.385</v>
      </c>
    </row>
    <row r="22">
      <c r="A22" s="109" t="s">
        <v>72</v>
      </c>
      <c r="B22" s="97">
        <v>3576.523</v>
      </c>
      <c r="C22" s="97">
        <v>3204.89</v>
      </c>
      <c r="D22" s="97">
        <v>2600.362</v>
      </c>
      <c r="E22" s="97">
        <v>3010.634</v>
      </c>
      <c r="F22" s="97">
        <v>2626.585</v>
      </c>
      <c r="G22" s="97">
        <v>2521.431</v>
      </c>
      <c r="H22" s="97">
        <v>2547.222</v>
      </c>
      <c r="I22" s="97">
        <v>2401.227</v>
      </c>
      <c r="J22" s="97">
        <v>2069.159</v>
      </c>
      <c r="K22" s="97">
        <v>1853.37</v>
      </c>
      <c r="L22" s="97">
        <v>2054.956</v>
      </c>
      <c r="M22" s="97">
        <v>1645.406</v>
      </c>
      <c r="N22" s="97">
        <v>1497.216</v>
      </c>
      <c r="O22" s="97">
        <v>1198.299</v>
      </c>
      <c r="P22" s="97">
        <v>1142.099</v>
      </c>
      <c r="Q22" s="97">
        <v>853.8262</v>
      </c>
      <c r="R22" s="97">
        <v>1103.1</v>
      </c>
      <c r="S22" s="97">
        <v>751.3306</v>
      </c>
      <c r="T22" s="97">
        <v>255.0633</v>
      </c>
      <c r="U22" s="97">
        <v>1293.373</v>
      </c>
      <c r="V22" s="97">
        <v>0.0</v>
      </c>
      <c r="W22" s="97">
        <v>505.2914</v>
      </c>
      <c r="X22" s="97">
        <v>467.0651</v>
      </c>
      <c r="Y22" s="97">
        <v>1526.626</v>
      </c>
    </row>
    <row r="23">
      <c r="A23" s="109" t="s">
        <v>73</v>
      </c>
      <c r="B23" s="97">
        <v>3770.497</v>
      </c>
      <c r="C23" s="97">
        <v>3379.821</v>
      </c>
      <c r="D23" s="97">
        <v>2740.549</v>
      </c>
      <c r="E23" s="97">
        <v>3103.712</v>
      </c>
      <c r="F23" s="97">
        <v>2718.444</v>
      </c>
      <c r="G23" s="97">
        <v>2587.616</v>
      </c>
      <c r="H23" s="97">
        <v>2541.079</v>
      </c>
      <c r="I23" s="97">
        <v>2374.171</v>
      </c>
      <c r="J23" s="97">
        <v>1998.302</v>
      </c>
      <c r="K23" s="97">
        <v>1753.841</v>
      </c>
      <c r="L23" s="97">
        <v>2191.706</v>
      </c>
      <c r="M23" s="97">
        <v>1693.973</v>
      </c>
      <c r="N23" s="97">
        <v>1512.04</v>
      </c>
      <c r="O23" s="97">
        <v>1296.523</v>
      </c>
      <c r="P23" s="97">
        <v>1267.393</v>
      </c>
      <c r="Q23" s="97">
        <v>982.3463</v>
      </c>
      <c r="R23" s="97">
        <v>985.2084</v>
      </c>
      <c r="S23" s="97">
        <v>621.4678</v>
      </c>
      <c r="T23" s="97">
        <v>660.4531</v>
      </c>
      <c r="U23" s="97">
        <v>886.6505</v>
      </c>
      <c r="V23" s="97">
        <v>505.2914</v>
      </c>
      <c r="W23" s="97">
        <v>0.0</v>
      </c>
      <c r="X23" s="97">
        <v>462.8672</v>
      </c>
      <c r="Y23" s="97">
        <v>1397.419</v>
      </c>
    </row>
    <row r="24">
      <c r="A24" s="109" t="s">
        <v>74</v>
      </c>
      <c r="B24" s="97">
        <v>4031.18</v>
      </c>
      <c r="C24" s="97">
        <v>3654.252</v>
      </c>
      <c r="D24" s="97">
        <v>3037.814</v>
      </c>
      <c r="E24" s="97">
        <v>3432.9</v>
      </c>
      <c r="F24" s="97">
        <v>3046.9</v>
      </c>
      <c r="G24" s="97">
        <v>2930.782</v>
      </c>
      <c r="H24" s="97">
        <v>2922.61</v>
      </c>
      <c r="I24" s="97">
        <v>2764.72</v>
      </c>
      <c r="J24" s="97">
        <v>2405.474</v>
      </c>
      <c r="K24" s="97">
        <v>2170.32</v>
      </c>
      <c r="L24" s="97">
        <v>2488.628</v>
      </c>
      <c r="M24" s="97">
        <v>2040.306</v>
      </c>
      <c r="N24" s="97">
        <v>1874.058</v>
      </c>
      <c r="O24" s="97">
        <v>1607.959</v>
      </c>
      <c r="P24" s="97">
        <v>1561.462</v>
      </c>
      <c r="Q24" s="97">
        <v>1266.678</v>
      </c>
      <c r="R24" s="97">
        <v>1396.557</v>
      </c>
      <c r="S24" s="97">
        <v>1022.013</v>
      </c>
      <c r="T24" s="97">
        <v>721.0539</v>
      </c>
      <c r="U24" s="97">
        <v>1342.374</v>
      </c>
      <c r="V24" s="97">
        <v>467.0651</v>
      </c>
      <c r="W24" s="97">
        <v>462.8672</v>
      </c>
      <c r="X24" s="97">
        <v>0.0</v>
      </c>
      <c r="Y24" s="97">
        <v>1068.138</v>
      </c>
    </row>
    <row r="25">
      <c r="A25" s="109" t="s">
        <v>75</v>
      </c>
      <c r="B25" s="97">
        <v>5099.27</v>
      </c>
      <c r="C25" s="97">
        <v>4721.99</v>
      </c>
      <c r="D25" s="97">
        <v>4101.689</v>
      </c>
      <c r="E25" s="97">
        <v>4486.717</v>
      </c>
      <c r="F25" s="97">
        <v>4100.463</v>
      </c>
      <c r="G25" s="97">
        <v>3976.653</v>
      </c>
      <c r="H25" s="97">
        <v>3938.47</v>
      </c>
      <c r="I25" s="97">
        <v>3770.787</v>
      </c>
      <c r="J25" s="97">
        <v>3390.611</v>
      </c>
      <c r="K25" s="97">
        <v>3142.102</v>
      </c>
      <c r="L25" s="97">
        <v>3551.62</v>
      </c>
      <c r="M25" s="97">
        <v>3082.232</v>
      </c>
      <c r="N25" s="97">
        <v>2905.406</v>
      </c>
      <c r="O25" s="97">
        <v>2663.365</v>
      </c>
      <c r="P25" s="97">
        <v>2621.729</v>
      </c>
      <c r="Q25" s="97">
        <v>2327.016</v>
      </c>
      <c r="R25" s="97">
        <v>2380.632</v>
      </c>
      <c r="S25" s="97">
        <v>2018.665</v>
      </c>
      <c r="T25" s="97">
        <v>1781.452</v>
      </c>
      <c r="U25" s="97">
        <v>2079.385</v>
      </c>
      <c r="V25" s="97">
        <v>1526.626</v>
      </c>
      <c r="W25" s="97">
        <v>1397.419</v>
      </c>
      <c r="X25" s="97">
        <v>1068.138</v>
      </c>
      <c r="Y25" s="97">
        <v>0.0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/>
      <c r="B1" s="18" t="s">
        <v>31</v>
      </c>
      <c r="C1" s="18" t="s">
        <v>34</v>
      </c>
      <c r="D1" s="18" t="s">
        <v>36</v>
      </c>
      <c r="E1" s="18" t="s">
        <v>32</v>
      </c>
      <c r="F1" s="18" t="s">
        <v>38</v>
      </c>
      <c r="G1" s="18" t="s">
        <v>33</v>
      </c>
      <c r="H1" s="18" t="s">
        <v>39</v>
      </c>
      <c r="I1" s="18" t="s">
        <v>35</v>
      </c>
      <c r="J1" s="18" t="s">
        <v>40</v>
      </c>
      <c r="K1" s="18" t="s">
        <v>37</v>
      </c>
    </row>
    <row r="2">
      <c r="A2" s="18" t="s">
        <v>31</v>
      </c>
      <c r="B2" s="38">
        <v>0.0</v>
      </c>
      <c r="C2" s="38">
        <v>3.65066508569421</v>
      </c>
      <c r="D2" s="38">
        <v>9.56459475516301</v>
      </c>
      <c r="E2" s="38">
        <v>8.18056884</v>
      </c>
      <c r="F2" s="38">
        <v>10.6910363088195</v>
      </c>
      <c r="G2" s="38">
        <v>12.2633011304062</v>
      </c>
      <c r="H2" s="38">
        <v>14.7764246334279</v>
      </c>
      <c r="I2" s="38">
        <v>16.2959931717226</v>
      </c>
      <c r="J2" s="38">
        <v>19.4797948652704</v>
      </c>
      <c r="K2" s="38">
        <v>21.4558129845584</v>
      </c>
    </row>
    <row r="3">
      <c r="A3" s="18" t="s">
        <v>34</v>
      </c>
      <c r="B3" s="38">
        <v>3.65066508569421</v>
      </c>
      <c r="C3" s="38">
        <v>0.0</v>
      </c>
      <c r="D3" s="38">
        <v>5.91798207851594</v>
      </c>
      <c r="E3" s="38">
        <v>5.06656846591057</v>
      </c>
      <c r="F3" s="38">
        <v>7.11148679888922</v>
      </c>
      <c r="G3" s="38">
        <v>8.69604162998182</v>
      </c>
      <c r="H3" s="38">
        <v>11.3805329701166</v>
      </c>
      <c r="I3" s="38">
        <v>12.8285932419822</v>
      </c>
      <c r="J3" s="38">
        <v>15.9025238612971</v>
      </c>
      <c r="K3" s="38">
        <v>17.8375552769119</v>
      </c>
    </row>
    <row r="4">
      <c r="A4" s="18" t="s">
        <v>36</v>
      </c>
      <c r="B4" s="38">
        <v>9.56459475516301</v>
      </c>
      <c r="C4" s="38">
        <v>5.91798207851594</v>
      </c>
      <c r="D4" s="38">
        <v>0.0</v>
      </c>
      <c r="E4" s="38">
        <v>4.22633923616833</v>
      </c>
      <c r="F4" s="38">
        <v>2.29282940395404</v>
      </c>
      <c r="G4" s="38">
        <v>3.57466267119612</v>
      </c>
      <c r="H4" s="38">
        <v>6.76302590175162</v>
      </c>
      <c r="I4" s="38">
        <v>7.80718301648564</v>
      </c>
      <c r="J4" s="38">
        <v>10.3514594350094</v>
      </c>
      <c r="K4" s="38">
        <v>12.1057960965008</v>
      </c>
    </row>
    <row r="5">
      <c r="A5" s="18" t="s">
        <v>32</v>
      </c>
      <c r="B5" s="38">
        <v>8.18056884</v>
      </c>
      <c r="C5" s="38">
        <v>5.06656846591057</v>
      </c>
      <c r="D5" s="38">
        <v>4.22633923616833</v>
      </c>
      <c r="E5" s="38">
        <v>0.0</v>
      </c>
      <c r="F5" s="38">
        <v>3.47449999247811</v>
      </c>
      <c r="G5" s="38">
        <v>4.72737415187731</v>
      </c>
      <c r="H5" s="38">
        <v>6.67095798354268</v>
      </c>
      <c r="I5" s="38">
        <v>8.26847467857494</v>
      </c>
      <c r="J5" s="38">
        <v>11.687123873478</v>
      </c>
      <c r="K5" s="38">
        <v>13.841269051246</v>
      </c>
    </row>
    <row r="6">
      <c r="A6" s="18" t="s">
        <v>38</v>
      </c>
      <c r="B6" s="38">
        <v>10.6910363088195</v>
      </c>
      <c r="C6" s="38">
        <v>7.11148679888922</v>
      </c>
      <c r="D6" s="38">
        <v>2.29282940395404</v>
      </c>
      <c r="E6" s="38">
        <v>3.47449999247811</v>
      </c>
      <c r="F6" s="38">
        <v>0.0</v>
      </c>
      <c r="G6" s="38">
        <v>1.5873403036621</v>
      </c>
      <c r="H6" s="38">
        <v>4.59044828318872</v>
      </c>
      <c r="I6" s="38">
        <v>5.825282226</v>
      </c>
      <c r="J6" s="38">
        <v>8.79371713985435</v>
      </c>
      <c r="K6" s="38">
        <v>10.78116967024</v>
      </c>
    </row>
    <row r="7">
      <c r="A7" s="18" t="s">
        <v>33</v>
      </c>
      <c r="B7" s="38">
        <v>12.2633011304062</v>
      </c>
      <c r="C7" s="38">
        <v>8.69604162998182</v>
      </c>
      <c r="D7" s="38">
        <v>3.57466267119612</v>
      </c>
      <c r="E7" s="38">
        <v>4.72737415187731</v>
      </c>
      <c r="F7" s="38">
        <v>1.5873403036621</v>
      </c>
      <c r="G7" s="38">
        <v>0.0</v>
      </c>
      <c r="H7" s="38">
        <v>3.20320265839374</v>
      </c>
      <c r="I7" s="38">
        <v>4.27892250141156</v>
      </c>
      <c r="J7" s="38">
        <v>7.21652617144438</v>
      </c>
      <c r="K7" s="38">
        <v>9.24101954442228</v>
      </c>
    </row>
    <row r="8">
      <c r="A8" s="18" t="s">
        <v>39</v>
      </c>
      <c r="B8" s="38">
        <v>14.7764246334279</v>
      </c>
      <c r="C8" s="38">
        <v>11.3805329701166</v>
      </c>
      <c r="D8" s="38">
        <v>6.76302590175162</v>
      </c>
      <c r="E8" s="38">
        <v>6.67095798354268</v>
      </c>
      <c r="F8" s="38">
        <v>4.59044828318872</v>
      </c>
      <c r="G8" s="38">
        <v>3.20320265839374</v>
      </c>
      <c r="H8" s="38">
        <v>0.0</v>
      </c>
      <c r="I8" s="38">
        <v>1.68173831645889</v>
      </c>
      <c r="J8" s="38">
        <v>5.31692615487159</v>
      </c>
      <c r="K8" s="38">
        <v>7.61696627670816</v>
      </c>
    </row>
    <row r="9">
      <c r="A9" s="18" t="s">
        <v>35</v>
      </c>
      <c r="B9" s="38">
        <v>16.2959931717226</v>
      </c>
      <c r="C9" s="38">
        <v>12.8285932419822</v>
      </c>
      <c r="D9" s="38">
        <v>7.80718301648564</v>
      </c>
      <c r="E9" s="38">
        <v>8.26847467857494</v>
      </c>
      <c r="F9" s="38">
        <v>5.825282226</v>
      </c>
      <c r="G9" s="38">
        <v>4.27892250141156</v>
      </c>
      <c r="H9" s="38">
        <v>1.68173831645889</v>
      </c>
      <c r="I9" s="38">
        <v>0.0</v>
      </c>
      <c r="J9" s="38">
        <v>3.64668191340318</v>
      </c>
      <c r="K9" s="38">
        <v>5.95859322782459</v>
      </c>
    </row>
    <row r="10">
      <c r="A10" s="18" t="s">
        <v>40</v>
      </c>
      <c r="B10" s="38">
        <v>19.4797948652704</v>
      </c>
      <c r="C10" s="38">
        <v>15.9025238612971</v>
      </c>
      <c r="D10" s="38">
        <v>10.3514594350094</v>
      </c>
      <c r="E10" s="38">
        <v>11.687123873478</v>
      </c>
      <c r="F10" s="38">
        <v>8.79371713985435</v>
      </c>
      <c r="G10" s="38">
        <v>7.21652617144438</v>
      </c>
      <c r="H10" s="38">
        <v>5.31692615487159</v>
      </c>
      <c r="I10" s="38">
        <v>3.64668191340318</v>
      </c>
      <c r="J10" s="38">
        <v>0.0</v>
      </c>
      <c r="K10" s="38">
        <v>2.32249990564016</v>
      </c>
    </row>
    <row r="11">
      <c r="A11" s="18" t="s">
        <v>37</v>
      </c>
      <c r="B11" s="38">
        <v>21.4558129845584</v>
      </c>
      <c r="C11" s="38">
        <v>17.8375552769119</v>
      </c>
      <c r="D11" s="38">
        <v>12.1057960965008</v>
      </c>
      <c r="E11" s="38">
        <v>13.841269051246</v>
      </c>
      <c r="F11" s="38">
        <v>10.78116967024</v>
      </c>
      <c r="G11" s="38">
        <v>9.24101954442228</v>
      </c>
      <c r="H11" s="38">
        <v>7.61696627670816</v>
      </c>
      <c r="I11" s="38">
        <v>5.95859322782459</v>
      </c>
      <c r="J11" s="38">
        <v>2.32249990564016</v>
      </c>
      <c r="K11" s="38">
        <v>0.0</v>
      </c>
    </row>
  </sheetData>
  <drawing r:id="rId1"/>
</worksheet>
</file>