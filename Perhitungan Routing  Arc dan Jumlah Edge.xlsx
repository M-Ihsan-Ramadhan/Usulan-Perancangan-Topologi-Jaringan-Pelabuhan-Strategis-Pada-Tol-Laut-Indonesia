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_arc" sheetId="1" r:id="rId5"/>
    <sheet state="visible" name="Rekap_Edge" sheetId="2" r:id="rId6"/>
    <sheet state="visible" name="CSA" sheetId="3" r:id="rId7"/>
    <sheet state="visible" name="CMA" sheetId="4" r:id="rId8"/>
    <sheet state="visible" name="ICSA" sheetId="5" r:id="rId9"/>
    <sheet state="visible" name="ICMA" sheetId="6" r:id="rId10"/>
    <sheet state="visible" name="CHSA" sheetId="7" r:id="rId11"/>
    <sheet state="visible" name="CHMA" sheetId="8" r:id="rId12"/>
    <sheet state="visible" name="HLSA" sheetId="9" r:id="rId13"/>
    <sheet state="visible" name="HLMA" sheetId="10" r:id="rId14"/>
  </sheets>
  <definedNames/>
  <calcPr/>
</workbook>
</file>

<file path=xl/sharedStrings.xml><?xml version="1.0" encoding="utf-8"?>
<sst xmlns="http://schemas.openxmlformats.org/spreadsheetml/2006/main" count="1091" uniqueCount="71">
  <si>
    <t>P=5</t>
  </si>
  <si>
    <t>COMPLETE</t>
  </si>
  <si>
    <t>INCOMPLETE</t>
  </si>
  <si>
    <t>ALPHA</t>
  </si>
  <si>
    <t>COMPLETE_SA</t>
  </si>
  <si>
    <t>COMPLETE_MA</t>
  </si>
  <si>
    <t>INCOMPLETE_SA</t>
  </si>
  <si>
    <t>INCOMPLETE_MA</t>
  </si>
  <si>
    <t>SIngle Allocation</t>
  </si>
  <si>
    <t>Multiple Allocation</t>
  </si>
  <si>
    <t>CYCLE HUB</t>
  </si>
  <si>
    <t>HUB LINE</t>
  </si>
  <si>
    <t>CYCLE  HUB_SA</t>
  </si>
  <si>
    <t>CYCLE  HUB_MA</t>
  </si>
  <si>
    <t>HUB LINE_SA</t>
  </si>
  <si>
    <t>HUB LINE_MA</t>
  </si>
  <si>
    <t>Model</t>
  </si>
  <si>
    <t>Rank Fungsi Tujuan</t>
  </si>
  <si>
    <t>Rank Rata-rata arc Routing</t>
  </si>
  <si>
    <t>Rank Total Edge</t>
  </si>
  <si>
    <t>Average rank</t>
  </si>
  <si>
    <t>Final Rank</t>
  </si>
  <si>
    <t>CYCLE HUB_SA</t>
  </si>
  <si>
    <t>CYCLE HUB_MA</t>
  </si>
  <si>
    <t>Edge Spoke to Hub</t>
  </si>
  <si>
    <t>Total Edge</t>
  </si>
  <si>
    <t>Edge Hub to Hub</t>
  </si>
  <si>
    <t>ALPHA 0.2</t>
  </si>
  <si>
    <t>1 Edge</t>
  </si>
  <si>
    <t>2 Edge</t>
  </si>
  <si>
    <t>3 Edge</t>
  </si>
  <si>
    <t>4 Edge</t>
  </si>
  <si>
    <t>5 Edge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</si>
  <si>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</si>
  <si>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</si>
  <si>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</si>
  <si>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</si>
  <si>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</si>
  <si>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</si>
  <si>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</si>
  <si>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</si>
  <si>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</si>
  <si>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</si>
  <si>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</si>
  <si>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</si>
  <si>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</si>
  <si>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</si>
  <si>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</si>
  <si>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</si>
  <si>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</si>
  <si>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</si>
  <si>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</si>
  <si>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</si>
  <si>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</si>
  <si>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</si>
  <si>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</si>
  <si>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</si>
  <si>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ALPHA 0.4&amp;0.6</t>
  </si>
  <si>
    <t>ALPHA 0.8</t>
  </si>
  <si>
    <t>6 Edge</t>
  </si>
  <si>
    <t>7 Edge</t>
  </si>
  <si>
    <t>ALPHA 0.4</t>
  </si>
  <si>
    <t>ALPHA 0.6</t>
  </si>
  <si>
    <t>Alpha 0.2</t>
  </si>
  <si>
    <t>Alpha 0.4</t>
  </si>
  <si>
    <t>Alpha 0.6</t>
  </si>
  <si>
    <t>Alpha 0.8</t>
  </si>
  <si>
    <t>Alpha 0,2</t>
  </si>
  <si>
    <t>Alpha 0,4</t>
  </si>
  <si>
    <t>Alpha 0,6</t>
  </si>
  <si>
    <t>Alpha 0,8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</si>
</sst>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5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5" fillId="0" fontId="1" numFmtId="4" xfId="0" applyAlignment="1" applyBorder="1" applyFont="1" applyNumberFormat="1">
      <alignment horizontal="center"/>
    </xf>
    <xf borderId="1" fillId="0" fontId="1" numFmtId="4" xfId="0" applyAlignment="1" applyBorder="1" applyFont="1" applyNumberFormat="1">
      <alignment horizontal="center"/>
    </xf>
    <xf borderId="6" fillId="0" fontId="2" numFmtId="0" xfId="0" applyBorder="1" applyFont="1"/>
    <xf borderId="4" fillId="0" fontId="1" numFmtId="4" xfId="0" applyAlignment="1" applyBorder="1" applyFont="1" applyNumberFormat="1">
      <alignment horizontal="center" readingOrder="0"/>
    </xf>
    <xf borderId="4" fillId="0" fontId="3" numFmtId="3" xfId="0" applyAlignment="1" applyBorder="1" applyFont="1" applyNumberFormat="1">
      <alignment horizontal="center" readingOrder="0"/>
    </xf>
    <xf borderId="4" fillId="2" fontId="3" numFmtId="3" xfId="0" applyAlignment="1" applyBorder="1" applyFill="1" applyFont="1" applyNumberFormat="1">
      <alignment horizontal="center" readingOrder="0"/>
    </xf>
    <xf borderId="4" fillId="0" fontId="1" numFmtId="4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center" shrinkToFit="0" vertical="bottom" wrapText="0"/>
    </xf>
    <xf borderId="5" fillId="0" fontId="3" numFmtId="0" xfId="0" applyAlignment="1" applyBorder="1" applyFon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/>
    </xf>
    <xf borderId="7" fillId="0" fontId="2" numFmtId="0" xfId="0" applyBorder="1" applyFont="1"/>
    <xf borderId="6" fillId="0" fontId="1" numFmtId="4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center"/>
    </xf>
    <xf borderId="7" fillId="0" fontId="1" numFmtId="4" xfId="0" applyAlignment="1" applyBorder="1" applyFont="1" applyNumberForma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1" numFmtId="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2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4" fillId="0" fontId="1" numFmtId="3" xfId="0" applyAlignment="1" applyBorder="1" applyFont="1" applyNumberFormat="1">
      <alignment horizontal="center" readingOrder="0" shrinkToFit="0" vertical="bottom" wrapText="0"/>
    </xf>
    <xf borderId="1" fillId="0" fontId="1" numFmtId="3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/>
    </xf>
    <xf borderId="0" fillId="0" fontId="3" numFmtId="0" xfId="0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5.75"/>
    <col customWidth="1" min="3" max="3" width="21.25"/>
    <col customWidth="1" min="4" max="4" width="15.0"/>
    <col customWidth="1" min="5" max="5" width="15.25"/>
    <col customWidth="1" min="8" max="11" width="18.13"/>
  </cols>
  <sheetData>
    <row r="1">
      <c r="A1" s="1" t="s">
        <v>0</v>
      </c>
      <c r="B1" s="2"/>
      <c r="C1" s="2"/>
      <c r="D1" s="2"/>
      <c r="E1" s="3"/>
      <c r="G1" s="4" t="s">
        <v>0</v>
      </c>
      <c r="H1" s="5" t="s">
        <v>1</v>
      </c>
      <c r="I1" s="3"/>
      <c r="J1" s="5" t="s">
        <v>2</v>
      </c>
      <c r="K1" s="3"/>
    </row>
    <row r="2">
      <c r="A2" s="6" t="s">
        <v>3</v>
      </c>
      <c r="B2" s="7" t="s">
        <v>1</v>
      </c>
      <c r="C2" s="3"/>
      <c r="D2" s="7" t="s">
        <v>2</v>
      </c>
      <c r="E2" s="3"/>
      <c r="G2" s="4" t="s">
        <v>3</v>
      </c>
      <c r="H2" s="4" t="s">
        <v>4</v>
      </c>
      <c r="I2" s="4" t="s">
        <v>5</v>
      </c>
      <c r="J2" s="4" t="s">
        <v>6</v>
      </c>
      <c r="K2" s="4" t="s">
        <v>7</v>
      </c>
    </row>
    <row r="3">
      <c r="A3" s="8"/>
      <c r="B3" s="9" t="s">
        <v>8</v>
      </c>
      <c r="C3" s="9" t="s">
        <v>9</v>
      </c>
      <c r="D3" s="9" t="s">
        <v>8</v>
      </c>
      <c r="E3" s="9" t="s">
        <v>9</v>
      </c>
      <c r="G3" s="4">
        <v>0.2</v>
      </c>
      <c r="H3" s="10">
        <v>2.36911331602803E13</v>
      </c>
      <c r="I3" s="11">
        <v>2.34212727533261E13</v>
      </c>
      <c r="J3" s="10">
        <v>2.36911331602804E13</v>
      </c>
      <c r="K3" s="10">
        <v>2.60786169043331E13</v>
      </c>
    </row>
    <row r="4">
      <c r="A4" s="12">
        <v>0.2</v>
      </c>
      <c r="B4" s="13">
        <f>CSA!I3</f>
        <v>2.387681159</v>
      </c>
      <c r="C4" s="13">
        <f>CMA!K3</f>
        <v>2.329710145</v>
      </c>
      <c r="D4" s="13">
        <f>ICSA!K3</f>
        <v>2.666666667</v>
      </c>
      <c r="E4" s="13">
        <f>ICMA!K3</f>
        <v>2.048611111</v>
      </c>
      <c r="G4" s="4">
        <v>0.4</v>
      </c>
      <c r="H4" s="10">
        <v>2.90025630329097E13</v>
      </c>
      <c r="I4" s="11">
        <v>2.80371994395563E13</v>
      </c>
      <c r="J4" s="10">
        <v>2.90025630329097E13</v>
      </c>
      <c r="K4" s="10">
        <v>3.20658759883141E13</v>
      </c>
    </row>
    <row r="5">
      <c r="A5" s="12">
        <v>0.4</v>
      </c>
      <c r="B5" s="13">
        <f>CSA!I31</f>
        <v>2.365942029</v>
      </c>
      <c r="C5" s="13">
        <f>CMA!K31</f>
        <v>2.239130435</v>
      </c>
      <c r="D5" s="13">
        <f>ICSA!K31</f>
        <v>3.006944444</v>
      </c>
      <c r="E5" s="13">
        <f>ICMA!K31</f>
        <v>2.239583333</v>
      </c>
      <c r="G5" s="4">
        <v>0.6</v>
      </c>
      <c r="H5" s="10">
        <v>3.36080243181055E13</v>
      </c>
      <c r="I5" s="11">
        <v>3.21940000240662E13</v>
      </c>
      <c r="J5" s="10">
        <v>3.36080243181055E13</v>
      </c>
      <c r="K5" s="10">
        <v>3.76004435041439E13</v>
      </c>
    </row>
    <row r="6">
      <c r="A6" s="12">
        <v>0.6</v>
      </c>
      <c r="B6" s="13">
        <v>2.3659420289855073</v>
      </c>
      <c r="C6" s="13">
        <f>CMA!K59</f>
        <v>2.210144928</v>
      </c>
      <c r="D6" s="13">
        <f>ICSA!K59</f>
        <v>3.006944444</v>
      </c>
      <c r="E6" s="13">
        <f>ICMA!K59</f>
        <v>2.036458333</v>
      </c>
      <c r="G6" s="4">
        <v>0.8</v>
      </c>
      <c r="H6" s="10">
        <v>3.81851430014677E13</v>
      </c>
      <c r="I6" s="11">
        <v>3.58850785094411E13</v>
      </c>
      <c r="J6" s="10">
        <v>3.81851430014677E13</v>
      </c>
      <c r="K6" s="10">
        <v>4.25942396616792E13</v>
      </c>
    </row>
    <row r="7">
      <c r="A7" s="12">
        <v>0.8</v>
      </c>
      <c r="B7" s="13">
        <f>CSA!I59</f>
        <v>2.358695652</v>
      </c>
      <c r="C7" s="13">
        <f>CMA!K87</f>
        <v>2.128623188</v>
      </c>
      <c r="D7" s="13">
        <f>ICSA!K87</f>
        <v>2.972222222</v>
      </c>
      <c r="E7" s="13">
        <f>ICMA!K87</f>
        <v>2.215277778</v>
      </c>
      <c r="G7" s="14" t="s">
        <v>3</v>
      </c>
      <c r="H7" s="15" t="s">
        <v>10</v>
      </c>
      <c r="I7" s="3"/>
      <c r="J7" s="15" t="s">
        <v>11</v>
      </c>
      <c r="K7" s="3"/>
    </row>
    <row r="8">
      <c r="A8" s="6" t="s">
        <v>3</v>
      </c>
      <c r="B8" s="16" t="s">
        <v>10</v>
      </c>
      <c r="C8" s="3"/>
      <c r="D8" s="16" t="s">
        <v>11</v>
      </c>
      <c r="E8" s="3"/>
      <c r="G8" s="17"/>
      <c r="H8" s="10" t="s">
        <v>12</v>
      </c>
      <c r="I8" s="10" t="s">
        <v>13</v>
      </c>
      <c r="J8" s="10" t="s">
        <v>14</v>
      </c>
      <c r="K8" s="10" t="s">
        <v>15</v>
      </c>
    </row>
    <row r="9">
      <c r="A9" s="8"/>
      <c r="B9" s="9" t="s">
        <v>8</v>
      </c>
      <c r="C9" s="9" t="s">
        <v>9</v>
      </c>
      <c r="D9" s="9" t="s">
        <v>8</v>
      </c>
      <c r="E9" s="9" t="s">
        <v>9</v>
      </c>
      <c r="G9" s="4">
        <v>0.2</v>
      </c>
      <c r="H9" s="10">
        <v>2.43189522679086E13</v>
      </c>
      <c r="I9" s="10">
        <v>2.38825425207924E13</v>
      </c>
      <c r="J9" s="10">
        <v>2.43189522679087E13</v>
      </c>
      <c r="K9" s="10">
        <v>2.38825425207924E13</v>
      </c>
    </row>
    <row r="10">
      <c r="A10" s="12">
        <v>0.2</v>
      </c>
      <c r="B10" s="13">
        <f>CHSA!K3</f>
        <v>3.355072464</v>
      </c>
      <c r="C10" s="13">
        <f>CHMA!K3</f>
        <v>3.0625</v>
      </c>
      <c r="D10" s="13">
        <f>HLSA!K3</f>
        <v>3.355072464</v>
      </c>
      <c r="E10" s="13">
        <f>HLMA!K3</f>
        <v>3.0625</v>
      </c>
      <c r="G10" s="4">
        <v>0.4</v>
      </c>
      <c r="H10" s="10">
        <v>3.00372167295893E13</v>
      </c>
      <c r="I10" s="10">
        <v>2.91753087807726E13</v>
      </c>
      <c r="J10" s="10">
        <v>3.0054022517292E13</v>
      </c>
      <c r="K10" s="10">
        <v>2.91753087807726E13</v>
      </c>
    </row>
    <row r="11">
      <c r="A11" s="12">
        <v>0.4</v>
      </c>
      <c r="B11" s="13">
        <f>CHSA!K31</f>
        <v>2.887681159</v>
      </c>
      <c r="C11" s="13">
        <f>CHMA!K31</f>
        <v>2.895833333</v>
      </c>
      <c r="D11" s="13">
        <f>HLSA!K31</f>
        <v>3.474637681</v>
      </c>
      <c r="E11" s="13">
        <f>HLMA!K31</f>
        <v>2.895833333</v>
      </c>
      <c r="G11" s="4">
        <v>0.6</v>
      </c>
      <c r="H11" s="10">
        <v>3.5160004863125E13</v>
      </c>
      <c r="I11" s="10">
        <v>3.34138246846122E13</v>
      </c>
      <c r="J11" s="10">
        <v>3.5185213544679E13</v>
      </c>
      <c r="K11" s="10">
        <v>3.34311976040637E13</v>
      </c>
    </row>
    <row r="12">
      <c r="A12" s="12">
        <v>0.6</v>
      </c>
      <c r="B12" s="13">
        <f>CHSA!K59</f>
        <v>2.887681159</v>
      </c>
      <c r="C12" s="13">
        <f>CHMA!K58</f>
        <v>2.354166667</v>
      </c>
      <c r="D12" s="13">
        <f>HLSA!K59</f>
        <v>3.474637681</v>
      </c>
      <c r="E12" s="13">
        <f>HLMA!K59</f>
        <v>2.901041667</v>
      </c>
      <c r="G12" s="4">
        <v>0.8</v>
      </c>
      <c r="H12" s="10">
        <v>4.02789804298405E13</v>
      </c>
      <c r="I12" s="10">
        <v>3.65997620759455E13</v>
      </c>
      <c r="J12" s="10">
        <v>4.03125920052458E13</v>
      </c>
      <c r="K12" s="10">
        <v>3.65986577552842E13</v>
      </c>
    </row>
    <row r="13">
      <c r="A13" s="12">
        <v>0.8</v>
      </c>
      <c r="B13" s="13">
        <f>CHSA!K87</f>
        <v>2.862318841</v>
      </c>
      <c r="C13" s="13">
        <f>CHMA!K86</f>
        <v>2.260416667</v>
      </c>
      <c r="D13" s="13">
        <f>HLSA!K87</f>
        <v>3.449275362</v>
      </c>
      <c r="E13" s="13">
        <f>HLMA!K87</f>
        <v>2.265625</v>
      </c>
    </row>
    <row r="15">
      <c r="A15" s="6"/>
      <c r="B15" s="7" t="s">
        <v>1</v>
      </c>
      <c r="C15" s="3"/>
      <c r="D15" s="7" t="s">
        <v>2</v>
      </c>
      <c r="E15" s="3"/>
    </row>
    <row r="16">
      <c r="A16" s="18"/>
      <c r="B16" s="12" t="s">
        <v>4</v>
      </c>
      <c r="C16" s="12" t="s">
        <v>5</v>
      </c>
      <c r="D16" s="12" t="s">
        <v>6</v>
      </c>
      <c r="E16" s="12" t="s">
        <v>7</v>
      </c>
    </row>
    <row r="17">
      <c r="A17" s="18"/>
      <c r="B17" s="13">
        <f t="shared" ref="B17:E17" si="1">AVERAGE(B4:B7)</f>
        <v>2.369565217</v>
      </c>
      <c r="C17" s="13">
        <f t="shared" si="1"/>
        <v>2.226902174</v>
      </c>
      <c r="D17" s="13">
        <f t="shared" si="1"/>
        <v>2.913194444</v>
      </c>
      <c r="E17" s="13">
        <f t="shared" si="1"/>
        <v>2.134982639</v>
      </c>
    </row>
    <row r="18">
      <c r="A18" s="18"/>
      <c r="B18" s="16" t="s">
        <v>10</v>
      </c>
      <c r="C18" s="3"/>
      <c r="D18" s="16" t="s">
        <v>11</v>
      </c>
      <c r="E18" s="3"/>
    </row>
    <row r="19">
      <c r="A19" s="18"/>
      <c r="B19" s="19" t="s">
        <v>12</v>
      </c>
      <c r="C19" s="19" t="s">
        <v>13</v>
      </c>
      <c r="D19" s="19" t="s">
        <v>14</v>
      </c>
      <c r="E19" s="19" t="s">
        <v>15</v>
      </c>
    </row>
    <row r="20">
      <c r="A20" s="20"/>
      <c r="B20" s="13">
        <f t="shared" ref="B20:E20" si="2">AVERAGE(B10:B13)</f>
        <v>2.998188406</v>
      </c>
      <c r="C20" s="13">
        <f t="shared" si="2"/>
        <v>2.643229167</v>
      </c>
      <c r="D20" s="13">
        <f t="shared" si="2"/>
        <v>3.438405797</v>
      </c>
      <c r="E20" s="13">
        <f t="shared" si="2"/>
        <v>2.78125</v>
      </c>
    </row>
    <row r="23">
      <c r="A23" s="21"/>
      <c r="B23" s="22"/>
      <c r="C23" s="22"/>
      <c r="D23" s="22"/>
      <c r="E23" s="22"/>
    </row>
    <row r="24">
      <c r="A24" s="23"/>
      <c r="B24" s="24"/>
      <c r="C24" s="24"/>
      <c r="D24" s="24"/>
      <c r="E24" s="24"/>
    </row>
    <row r="25">
      <c r="A25" s="23"/>
      <c r="B25" s="24"/>
      <c r="C25" s="24"/>
      <c r="D25" s="24"/>
      <c r="E25" s="24"/>
    </row>
    <row r="26">
      <c r="A26" s="23"/>
      <c r="B26" s="24"/>
      <c r="C26" s="24"/>
      <c r="D26" s="24"/>
      <c r="E26" s="24"/>
    </row>
    <row r="27">
      <c r="A27" s="23"/>
      <c r="B27" s="24"/>
      <c r="C27" s="24"/>
      <c r="D27" s="24"/>
      <c r="E27" s="24"/>
    </row>
    <row r="28">
      <c r="A28" s="23"/>
      <c r="B28" s="24"/>
      <c r="C28" s="24"/>
      <c r="D28" s="24"/>
      <c r="E28" s="24"/>
    </row>
    <row r="29">
      <c r="A29" s="23"/>
      <c r="B29" s="24"/>
      <c r="C29" s="24"/>
      <c r="D29" s="24"/>
      <c r="E29" s="24"/>
    </row>
    <row r="30">
      <c r="A30" s="23"/>
      <c r="B30" s="24"/>
      <c r="C30" s="24"/>
      <c r="D30" s="24"/>
      <c r="E30" s="24"/>
    </row>
    <row r="31">
      <c r="A31" s="23"/>
      <c r="B31" s="24"/>
      <c r="C31" s="24"/>
      <c r="D31" s="24"/>
      <c r="E31" s="24"/>
    </row>
    <row r="35">
      <c r="A35" s="4" t="s">
        <v>16</v>
      </c>
      <c r="B35" s="25" t="s">
        <v>17</v>
      </c>
      <c r="C35" s="25" t="s">
        <v>18</v>
      </c>
      <c r="D35" s="26" t="s">
        <v>19</v>
      </c>
      <c r="E35" s="26" t="s">
        <v>20</v>
      </c>
      <c r="F35" s="26" t="s">
        <v>21</v>
      </c>
    </row>
    <row r="36">
      <c r="A36" s="27" t="s">
        <v>4</v>
      </c>
      <c r="B36" s="28">
        <v>2.0</v>
      </c>
      <c r="C36" s="28">
        <v>3.0</v>
      </c>
      <c r="D36" s="28">
        <v>4.0</v>
      </c>
      <c r="E36" s="28">
        <f t="shared" ref="E36:E43" si="3">average(B36:D36)</f>
        <v>3</v>
      </c>
      <c r="F36" s="28">
        <v>1.0</v>
      </c>
    </row>
    <row r="37">
      <c r="A37" s="27" t="s">
        <v>5</v>
      </c>
      <c r="B37" s="28">
        <v>1.0</v>
      </c>
      <c r="C37" s="28">
        <v>1.0</v>
      </c>
      <c r="D37" s="28">
        <v>7.0</v>
      </c>
      <c r="E37" s="28">
        <f t="shared" si="3"/>
        <v>3</v>
      </c>
      <c r="F37" s="28">
        <v>1.0</v>
      </c>
    </row>
    <row r="38">
      <c r="A38" s="27" t="s">
        <v>6</v>
      </c>
      <c r="B38" s="28">
        <v>2.0</v>
      </c>
      <c r="C38" s="28">
        <v>7.0</v>
      </c>
      <c r="D38" s="28">
        <v>3.0</v>
      </c>
      <c r="E38" s="28">
        <f t="shared" si="3"/>
        <v>4</v>
      </c>
      <c r="F38" s="28">
        <v>3.0</v>
      </c>
    </row>
    <row r="39">
      <c r="A39" s="27" t="s">
        <v>7</v>
      </c>
      <c r="B39" s="28">
        <v>8.0</v>
      </c>
      <c r="C39" s="28">
        <v>2.0</v>
      </c>
      <c r="D39" s="28">
        <v>8.0</v>
      </c>
      <c r="E39" s="28">
        <f t="shared" si="3"/>
        <v>6</v>
      </c>
      <c r="F39" s="28">
        <v>8.0</v>
      </c>
    </row>
    <row r="40">
      <c r="A40" s="27" t="s">
        <v>22</v>
      </c>
      <c r="B40" s="28">
        <v>6.0</v>
      </c>
      <c r="C40" s="28">
        <v>4.0</v>
      </c>
      <c r="D40" s="28">
        <v>2.0</v>
      </c>
      <c r="E40" s="28">
        <f t="shared" si="3"/>
        <v>4</v>
      </c>
      <c r="F40" s="28">
        <v>3.0</v>
      </c>
    </row>
    <row r="41">
      <c r="A41" s="27" t="s">
        <v>23</v>
      </c>
      <c r="B41" s="28">
        <v>4.0</v>
      </c>
      <c r="C41" s="28">
        <v>5.0</v>
      </c>
      <c r="D41" s="28">
        <v>6.0</v>
      </c>
      <c r="E41" s="28">
        <f t="shared" si="3"/>
        <v>5</v>
      </c>
      <c r="F41" s="28">
        <v>6.0</v>
      </c>
    </row>
    <row r="42">
      <c r="A42" s="27" t="s">
        <v>14</v>
      </c>
      <c r="B42" s="28">
        <v>7.0</v>
      </c>
      <c r="C42" s="28">
        <v>8.0</v>
      </c>
      <c r="D42" s="28">
        <v>1.0</v>
      </c>
      <c r="E42" s="28">
        <f t="shared" si="3"/>
        <v>5.333333333</v>
      </c>
      <c r="F42" s="28">
        <v>7.0</v>
      </c>
    </row>
    <row r="43">
      <c r="A43" s="27" t="s">
        <v>15</v>
      </c>
      <c r="B43" s="28">
        <v>4.0</v>
      </c>
      <c r="C43" s="28">
        <v>5.0</v>
      </c>
      <c r="D43" s="28">
        <v>5.0</v>
      </c>
      <c r="E43" s="28">
        <f t="shared" si="3"/>
        <v>4.666666667</v>
      </c>
      <c r="F43" s="28">
        <v>5.0</v>
      </c>
    </row>
  </sheetData>
  <mergeCells count="16">
    <mergeCell ref="H7:I7"/>
    <mergeCell ref="J7:K7"/>
    <mergeCell ref="A8:A9"/>
    <mergeCell ref="B8:C8"/>
    <mergeCell ref="B15:C15"/>
    <mergeCell ref="D15:E15"/>
    <mergeCell ref="B18:C18"/>
    <mergeCell ref="D18:E18"/>
    <mergeCell ref="A1:E1"/>
    <mergeCell ref="H1:I1"/>
    <mergeCell ref="J1:K1"/>
    <mergeCell ref="A2:A3"/>
    <mergeCell ref="B2:C2"/>
    <mergeCell ref="D2:E2"/>
    <mergeCell ref="G7:G8"/>
    <mergeCell ref="D8:E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14.38"/>
    <col customWidth="1" min="4" max="4" width="15.0"/>
    <col customWidth="1" min="5" max="5" width="15.25"/>
    <col customWidth="1" min="8" max="8" width="13.38"/>
    <col customWidth="1" min="9" max="9" width="14.38"/>
    <col customWidth="1" min="10" max="10" width="13.38"/>
    <col customWidth="1" min="11" max="11" width="14.38"/>
  </cols>
  <sheetData>
    <row r="1">
      <c r="A1" s="29" t="s">
        <v>24</v>
      </c>
      <c r="B1" s="30"/>
      <c r="C1" s="30"/>
      <c r="D1" s="30"/>
      <c r="E1" s="30"/>
      <c r="G1" s="31" t="s">
        <v>25</v>
      </c>
    </row>
    <row r="2">
      <c r="A2" s="1" t="s">
        <v>0</v>
      </c>
      <c r="B2" s="2"/>
      <c r="C2" s="2"/>
      <c r="D2" s="2"/>
      <c r="E2" s="3"/>
      <c r="G2" s="1" t="s">
        <v>0</v>
      </c>
      <c r="H2" s="2"/>
      <c r="I2" s="2"/>
      <c r="J2" s="2"/>
      <c r="K2" s="3"/>
    </row>
    <row r="3">
      <c r="A3" s="6" t="s">
        <v>3</v>
      </c>
      <c r="B3" s="7" t="s">
        <v>1</v>
      </c>
      <c r="C3" s="3"/>
      <c r="D3" s="7" t="s">
        <v>2</v>
      </c>
      <c r="E3" s="3"/>
      <c r="G3" s="6" t="s">
        <v>3</v>
      </c>
      <c r="H3" s="7" t="s">
        <v>1</v>
      </c>
      <c r="I3" s="3"/>
      <c r="J3" s="7" t="s">
        <v>2</v>
      </c>
      <c r="K3" s="3"/>
    </row>
    <row r="4">
      <c r="A4" s="8"/>
      <c r="B4" s="9" t="s">
        <v>8</v>
      </c>
      <c r="C4" s="9" t="s">
        <v>9</v>
      </c>
      <c r="D4" s="9" t="s">
        <v>8</v>
      </c>
      <c r="E4" s="9" t="s">
        <v>9</v>
      </c>
      <c r="G4" s="8"/>
      <c r="H4" s="9" t="s">
        <v>8</v>
      </c>
      <c r="I4" s="9" t="s">
        <v>9</v>
      </c>
      <c r="J4" s="9" t="s">
        <v>8</v>
      </c>
      <c r="K4" s="9" t="s">
        <v>9</v>
      </c>
    </row>
    <row r="5">
      <c r="A5" s="12">
        <v>0.2</v>
      </c>
      <c r="B5" s="32">
        <v>19.0</v>
      </c>
      <c r="C5" s="32">
        <v>24.0</v>
      </c>
      <c r="D5" s="32">
        <v>19.0</v>
      </c>
      <c r="E5" s="32">
        <v>36.0</v>
      </c>
      <c r="G5" s="12">
        <v>0.2</v>
      </c>
      <c r="H5" s="32">
        <f t="shared" ref="H5:K5" si="1">B5+B20</f>
        <v>29</v>
      </c>
      <c r="I5" s="32">
        <f t="shared" si="1"/>
        <v>34</v>
      </c>
      <c r="J5" s="32">
        <f t="shared" si="1"/>
        <v>25</v>
      </c>
      <c r="K5" s="32">
        <f t="shared" si="1"/>
        <v>46</v>
      </c>
    </row>
    <row r="6">
      <c r="A6" s="12">
        <v>0.4</v>
      </c>
      <c r="B6" s="32">
        <v>19.0</v>
      </c>
      <c r="C6" s="32">
        <v>28.0</v>
      </c>
      <c r="D6" s="32">
        <v>19.0</v>
      </c>
      <c r="E6" s="32">
        <v>40.0</v>
      </c>
      <c r="G6" s="12">
        <v>0.4</v>
      </c>
      <c r="H6" s="32">
        <f t="shared" ref="H6:K6" si="2">B6+B21</f>
        <v>29</v>
      </c>
      <c r="I6" s="32">
        <f t="shared" si="2"/>
        <v>38</v>
      </c>
      <c r="J6" s="32">
        <f t="shared" si="2"/>
        <v>26</v>
      </c>
      <c r="K6" s="32">
        <f t="shared" si="2"/>
        <v>47</v>
      </c>
    </row>
    <row r="7">
      <c r="A7" s="12">
        <v>0.6</v>
      </c>
      <c r="B7" s="32">
        <v>19.0</v>
      </c>
      <c r="C7" s="32">
        <v>28.0</v>
      </c>
      <c r="D7" s="32">
        <v>19.0</v>
      </c>
      <c r="E7" s="32">
        <v>40.0</v>
      </c>
      <c r="G7" s="12">
        <v>0.6</v>
      </c>
      <c r="H7" s="32">
        <f t="shared" ref="H7:K7" si="3">B7+B22</f>
        <v>29</v>
      </c>
      <c r="I7" s="32">
        <f t="shared" si="3"/>
        <v>38</v>
      </c>
      <c r="J7" s="32">
        <f t="shared" si="3"/>
        <v>25</v>
      </c>
      <c r="K7" s="32">
        <f t="shared" si="3"/>
        <v>50</v>
      </c>
    </row>
    <row r="8">
      <c r="A8" s="12">
        <v>0.8</v>
      </c>
      <c r="B8" s="32">
        <v>19.0</v>
      </c>
      <c r="C8" s="32">
        <v>33.0</v>
      </c>
      <c r="D8" s="32">
        <v>19.0</v>
      </c>
      <c r="E8" s="32">
        <v>44.0</v>
      </c>
      <c r="G8" s="12">
        <v>0.8</v>
      </c>
      <c r="H8" s="32">
        <f t="shared" ref="H8:K8" si="4">B8+B23</f>
        <v>29</v>
      </c>
      <c r="I8" s="32">
        <f t="shared" si="4"/>
        <v>43</v>
      </c>
      <c r="J8" s="32">
        <f t="shared" si="4"/>
        <v>24</v>
      </c>
      <c r="K8" s="32">
        <f t="shared" si="4"/>
        <v>50</v>
      </c>
    </row>
    <row r="9">
      <c r="A9" s="6" t="s">
        <v>3</v>
      </c>
      <c r="B9" s="33" t="s">
        <v>10</v>
      </c>
      <c r="C9" s="3"/>
      <c r="D9" s="33" t="s">
        <v>11</v>
      </c>
      <c r="E9" s="3"/>
      <c r="G9" s="6" t="s">
        <v>3</v>
      </c>
      <c r="H9" s="33" t="s">
        <v>10</v>
      </c>
      <c r="I9" s="3"/>
      <c r="J9" s="33" t="s">
        <v>11</v>
      </c>
      <c r="K9" s="3"/>
    </row>
    <row r="10">
      <c r="A10" s="8"/>
      <c r="B10" s="9" t="s">
        <v>8</v>
      </c>
      <c r="C10" s="9" t="s">
        <v>9</v>
      </c>
      <c r="D10" s="9" t="s">
        <v>8</v>
      </c>
      <c r="E10" s="9" t="s">
        <v>9</v>
      </c>
      <c r="G10" s="8"/>
      <c r="H10" s="9" t="s">
        <v>8</v>
      </c>
      <c r="I10" s="9" t="s">
        <v>9</v>
      </c>
      <c r="J10" s="9" t="s">
        <v>8</v>
      </c>
      <c r="K10" s="9" t="s">
        <v>9</v>
      </c>
    </row>
    <row r="11">
      <c r="A11" s="12">
        <v>0.2</v>
      </c>
      <c r="B11" s="32">
        <v>19.0</v>
      </c>
      <c r="C11" s="32">
        <v>24.0</v>
      </c>
      <c r="D11" s="32">
        <v>19.0</v>
      </c>
      <c r="E11" s="32">
        <v>24.0</v>
      </c>
      <c r="G11" s="12">
        <v>0.2</v>
      </c>
      <c r="H11" s="32">
        <f t="shared" ref="H11:K11" si="5">B11+B26</f>
        <v>24</v>
      </c>
      <c r="I11" s="32">
        <f t="shared" si="5"/>
        <v>29</v>
      </c>
      <c r="J11" s="32">
        <f t="shared" si="5"/>
        <v>23</v>
      </c>
      <c r="K11" s="32">
        <f t="shared" si="5"/>
        <v>28</v>
      </c>
    </row>
    <row r="12">
      <c r="A12" s="12">
        <v>0.4</v>
      </c>
      <c r="B12" s="32">
        <v>19.0</v>
      </c>
      <c r="C12" s="32">
        <v>28.0</v>
      </c>
      <c r="D12" s="32">
        <v>19.0</v>
      </c>
      <c r="E12" s="32">
        <v>28.0</v>
      </c>
      <c r="G12" s="12">
        <v>0.4</v>
      </c>
      <c r="H12" s="32">
        <f t="shared" ref="H12:K12" si="6">B12+B27</f>
        <v>24</v>
      </c>
      <c r="I12" s="32">
        <f t="shared" si="6"/>
        <v>33</v>
      </c>
      <c r="J12" s="32">
        <f t="shared" si="6"/>
        <v>23</v>
      </c>
      <c r="K12" s="32">
        <f t="shared" si="6"/>
        <v>32</v>
      </c>
    </row>
    <row r="13">
      <c r="A13" s="12">
        <v>0.6</v>
      </c>
      <c r="B13" s="32">
        <v>19.0</v>
      </c>
      <c r="C13" s="32">
        <v>29.0</v>
      </c>
      <c r="D13" s="32">
        <v>19.0</v>
      </c>
      <c r="E13" s="32">
        <v>29.0</v>
      </c>
      <c r="G13" s="12">
        <v>0.6</v>
      </c>
      <c r="H13" s="32">
        <f t="shared" ref="H13:K13" si="7">B13+B28</f>
        <v>24</v>
      </c>
      <c r="I13" s="32">
        <f t="shared" si="7"/>
        <v>34</v>
      </c>
      <c r="J13" s="32">
        <f t="shared" si="7"/>
        <v>23</v>
      </c>
      <c r="K13" s="32">
        <f t="shared" si="7"/>
        <v>33</v>
      </c>
    </row>
    <row r="14">
      <c r="A14" s="12">
        <v>0.8</v>
      </c>
      <c r="B14" s="32">
        <v>19.0</v>
      </c>
      <c r="C14" s="32">
        <v>39.0</v>
      </c>
      <c r="D14" s="32">
        <v>19.0</v>
      </c>
      <c r="E14" s="32">
        <v>45.0</v>
      </c>
      <c r="G14" s="12">
        <v>0.8</v>
      </c>
      <c r="H14" s="32">
        <f t="shared" ref="H14:K14" si="8">B14+B29</f>
        <v>24</v>
      </c>
      <c r="I14" s="32">
        <f t="shared" si="8"/>
        <v>44</v>
      </c>
      <c r="J14" s="32">
        <f t="shared" si="8"/>
        <v>23</v>
      </c>
      <c r="K14" s="32">
        <f t="shared" si="8"/>
        <v>49</v>
      </c>
    </row>
    <row r="16">
      <c r="A16" s="31" t="s">
        <v>26</v>
      </c>
    </row>
    <row r="17">
      <c r="A17" s="1" t="s">
        <v>0</v>
      </c>
      <c r="B17" s="2"/>
      <c r="C17" s="2"/>
      <c r="D17" s="2"/>
      <c r="E17" s="3"/>
    </row>
    <row r="18">
      <c r="A18" s="6" t="s">
        <v>3</v>
      </c>
      <c r="B18" s="7" t="s">
        <v>1</v>
      </c>
      <c r="C18" s="3"/>
      <c r="D18" s="7" t="s">
        <v>2</v>
      </c>
      <c r="E18" s="3"/>
    </row>
    <row r="19">
      <c r="A19" s="8"/>
      <c r="B19" s="9" t="s">
        <v>8</v>
      </c>
      <c r="C19" s="9" t="s">
        <v>9</v>
      </c>
      <c r="D19" s="9" t="s">
        <v>8</v>
      </c>
      <c r="E19" s="9" t="s">
        <v>9</v>
      </c>
    </row>
    <row r="20">
      <c r="A20" s="12">
        <v>0.2</v>
      </c>
      <c r="B20" s="32">
        <v>10.0</v>
      </c>
      <c r="C20" s="32">
        <v>10.0</v>
      </c>
      <c r="D20" s="32">
        <v>6.0</v>
      </c>
      <c r="E20" s="32">
        <v>10.0</v>
      </c>
    </row>
    <row r="21">
      <c r="A21" s="12">
        <v>0.4</v>
      </c>
      <c r="B21" s="32">
        <v>10.0</v>
      </c>
      <c r="C21" s="32">
        <v>10.0</v>
      </c>
      <c r="D21" s="32">
        <v>7.0</v>
      </c>
      <c r="E21" s="32">
        <v>7.0</v>
      </c>
    </row>
    <row r="22">
      <c r="A22" s="12">
        <v>0.6</v>
      </c>
      <c r="B22" s="32">
        <v>10.0</v>
      </c>
      <c r="C22" s="32">
        <v>10.0</v>
      </c>
      <c r="D22" s="32">
        <v>6.0</v>
      </c>
      <c r="E22" s="32">
        <v>10.0</v>
      </c>
    </row>
    <row r="23">
      <c r="A23" s="12">
        <v>0.8</v>
      </c>
      <c r="B23" s="32">
        <v>10.0</v>
      </c>
      <c r="C23" s="32">
        <v>10.0</v>
      </c>
      <c r="D23" s="32">
        <v>5.0</v>
      </c>
      <c r="E23" s="32">
        <v>6.0</v>
      </c>
    </row>
    <row r="24">
      <c r="A24" s="6" t="s">
        <v>3</v>
      </c>
      <c r="B24" s="33" t="s">
        <v>10</v>
      </c>
      <c r="C24" s="3"/>
      <c r="D24" s="33" t="s">
        <v>11</v>
      </c>
      <c r="E24" s="3"/>
    </row>
    <row r="25">
      <c r="A25" s="8"/>
      <c r="B25" s="9" t="s">
        <v>8</v>
      </c>
      <c r="C25" s="9" t="s">
        <v>9</v>
      </c>
      <c r="D25" s="9" t="s">
        <v>8</v>
      </c>
      <c r="E25" s="9" t="s">
        <v>9</v>
      </c>
    </row>
    <row r="26">
      <c r="A26" s="12">
        <v>0.2</v>
      </c>
      <c r="B26" s="32">
        <v>5.0</v>
      </c>
      <c r="C26" s="32">
        <v>5.0</v>
      </c>
      <c r="D26" s="32">
        <v>4.0</v>
      </c>
      <c r="E26" s="32">
        <v>4.0</v>
      </c>
    </row>
    <row r="27">
      <c r="A27" s="12">
        <v>0.4</v>
      </c>
      <c r="B27" s="32">
        <v>5.0</v>
      </c>
      <c r="C27" s="32">
        <v>5.0</v>
      </c>
      <c r="D27" s="32">
        <v>4.0</v>
      </c>
      <c r="E27" s="32">
        <v>4.0</v>
      </c>
    </row>
    <row r="28">
      <c r="A28" s="12">
        <v>0.6</v>
      </c>
      <c r="B28" s="32">
        <v>5.0</v>
      </c>
      <c r="C28" s="32">
        <v>5.0</v>
      </c>
      <c r="D28" s="32">
        <v>4.0</v>
      </c>
      <c r="E28" s="32">
        <v>4.0</v>
      </c>
    </row>
    <row r="29">
      <c r="A29" s="12">
        <v>0.8</v>
      </c>
      <c r="B29" s="32">
        <v>5.0</v>
      </c>
      <c r="C29" s="32">
        <v>5.0</v>
      </c>
      <c r="D29" s="32">
        <v>4.0</v>
      </c>
      <c r="E29" s="32">
        <v>4.0</v>
      </c>
    </row>
  </sheetData>
  <mergeCells count="21">
    <mergeCell ref="A2:E2"/>
    <mergeCell ref="G2:K2"/>
    <mergeCell ref="B3:C3"/>
    <mergeCell ref="D3:E3"/>
    <mergeCell ref="G3:G4"/>
    <mergeCell ref="H3:I3"/>
    <mergeCell ref="J3:K3"/>
    <mergeCell ref="A9:A10"/>
    <mergeCell ref="A18:A19"/>
    <mergeCell ref="A24:A25"/>
    <mergeCell ref="B18:C18"/>
    <mergeCell ref="D18:E18"/>
    <mergeCell ref="B24:C24"/>
    <mergeCell ref="D24:E24"/>
    <mergeCell ref="A3:A4"/>
    <mergeCell ref="B9:C9"/>
    <mergeCell ref="D9:E9"/>
    <mergeCell ref="G9:G10"/>
    <mergeCell ref="H9:I9"/>
    <mergeCell ref="J9:K9"/>
    <mergeCell ref="A17:E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27</v>
      </c>
      <c r="B1" s="2"/>
      <c r="C1" s="2"/>
      <c r="D1" s="2"/>
      <c r="E1" s="2"/>
      <c r="F1" s="2"/>
      <c r="G1" s="2"/>
      <c r="H1" s="2"/>
      <c r="I1" s="3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>
      <c r="A2" s="35"/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35"/>
      <c r="H2" s="25" t="s">
        <v>25</v>
      </c>
      <c r="I2" s="35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>
      <c r="A3" s="4" t="s">
        <v>33</v>
      </c>
      <c r="B3" s="4">
        <v>1.0</v>
      </c>
      <c r="C3" s="4">
        <v>9.0</v>
      </c>
      <c r="D3" s="4">
        <v>13.0</v>
      </c>
      <c r="E3" s="4"/>
      <c r="F3" s="35"/>
      <c r="G3" s="35">
        <f t="shared" ref="G3:G26" si="1">sum(B3:F3)</f>
        <v>23</v>
      </c>
      <c r="H3" s="35">
        <f t="shared" ref="H3:H26" si="2">B3+C3*2+D3*3+E3*4+F3*5</f>
        <v>58</v>
      </c>
      <c r="I3" s="35">
        <f>sum(H3:H26)/((24*24)-24)</f>
        <v>2.387681159</v>
      </c>
      <c r="J3" s="36">
        <f>sum(H3:H26)</f>
        <v>1318</v>
      </c>
      <c r="K3" s="35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>
      <c r="A4" s="4" t="s">
        <v>34</v>
      </c>
      <c r="B4" s="4">
        <v>1.0</v>
      </c>
      <c r="C4" s="4">
        <v>9.0</v>
      </c>
      <c r="D4" s="4">
        <v>13.0</v>
      </c>
      <c r="E4" s="4"/>
      <c r="F4" s="35"/>
      <c r="G4" s="35">
        <f t="shared" si="1"/>
        <v>23</v>
      </c>
      <c r="H4" s="35">
        <f t="shared" si="2"/>
        <v>58</v>
      </c>
      <c r="I4" s="35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</row>
    <row r="5">
      <c r="A5" s="4" t="s">
        <v>35</v>
      </c>
      <c r="B5" s="4">
        <v>1.0</v>
      </c>
      <c r="C5" s="4">
        <v>9.0</v>
      </c>
      <c r="D5" s="4">
        <v>13.0</v>
      </c>
      <c r="E5" s="4"/>
      <c r="F5" s="35"/>
      <c r="G5" s="35">
        <f t="shared" si="1"/>
        <v>23</v>
      </c>
      <c r="H5" s="35">
        <f t="shared" si="2"/>
        <v>58</v>
      </c>
      <c r="I5" s="35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</row>
    <row r="6">
      <c r="A6" s="4" t="s">
        <v>36</v>
      </c>
      <c r="B6" s="4">
        <v>1.0</v>
      </c>
      <c r="C6" s="4">
        <v>9.0</v>
      </c>
      <c r="D6" s="4">
        <v>13.0</v>
      </c>
      <c r="E6" s="4"/>
      <c r="F6" s="35"/>
      <c r="G6" s="35">
        <f t="shared" si="1"/>
        <v>23</v>
      </c>
      <c r="H6" s="35">
        <f t="shared" si="2"/>
        <v>58</v>
      </c>
      <c r="I6" s="35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</row>
    <row r="7">
      <c r="A7" s="4" t="s">
        <v>37</v>
      </c>
      <c r="B7" s="4">
        <v>1.0</v>
      </c>
      <c r="C7" s="4">
        <v>9.0</v>
      </c>
      <c r="D7" s="4">
        <v>13.0</v>
      </c>
      <c r="E7" s="4"/>
      <c r="F7" s="35"/>
      <c r="G7" s="35">
        <f t="shared" si="1"/>
        <v>23</v>
      </c>
      <c r="H7" s="35">
        <f t="shared" si="2"/>
        <v>58</v>
      </c>
      <c r="I7" s="35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</row>
    <row r="8">
      <c r="A8" s="4" t="s">
        <v>38</v>
      </c>
      <c r="B8" s="37">
        <v>10.0</v>
      </c>
      <c r="C8" s="37">
        <v>13.0</v>
      </c>
      <c r="D8" s="38"/>
      <c r="E8" s="4"/>
      <c r="F8" s="35"/>
      <c r="G8" s="35">
        <f t="shared" si="1"/>
        <v>23</v>
      </c>
      <c r="H8" s="35">
        <f t="shared" si="2"/>
        <v>36</v>
      </c>
      <c r="I8" s="35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</row>
    <row r="9">
      <c r="A9" s="4" t="s">
        <v>39</v>
      </c>
      <c r="B9" s="4">
        <v>1.0</v>
      </c>
      <c r="C9" s="4">
        <v>5.0</v>
      </c>
      <c r="D9" s="4">
        <v>17.0</v>
      </c>
      <c r="E9" s="4"/>
      <c r="F9" s="35"/>
      <c r="G9" s="35">
        <f t="shared" si="1"/>
        <v>23</v>
      </c>
      <c r="H9" s="35">
        <f t="shared" si="2"/>
        <v>62</v>
      </c>
      <c r="I9" s="35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</row>
    <row r="10">
      <c r="A10" s="4" t="s">
        <v>40</v>
      </c>
      <c r="B10" s="37">
        <v>6.0</v>
      </c>
      <c r="C10" s="37">
        <v>17.0</v>
      </c>
      <c r="D10" s="38"/>
      <c r="E10" s="35"/>
      <c r="F10" s="35"/>
      <c r="G10" s="35">
        <f t="shared" si="1"/>
        <v>23</v>
      </c>
      <c r="H10" s="35">
        <f t="shared" si="2"/>
        <v>40</v>
      </c>
      <c r="I10" s="35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</row>
    <row r="11">
      <c r="A11" s="4" t="s">
        <v>41</v>
      </c>
      <c r="B11" s="4">
        <v>1.0</v>
      </c>
      <c r="C11" s="4">
        <v>5.0</v>
      </c>
      <c r="D11" s="4">
        <v>17.0</v>
      </c>
      <c r="E11" s="4"/>
      <c r="F11" s="35"/>
      <c r="G11" s="35">
        <f t="shared" si="1"/>
        <v>23</v>
      </c>
      <c r="H11" s="35">
        <f t="shared" si="2"/>
        <v>62</v>
      </c>
      <c r="I11" s="35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</row>
    <row r="12">
      <c r="A12" s="4" t="s">
        <v>42</v>
      </c>
      <c r="B12" s="37">
        <v>1.0</v>
      </c>
      <c r="C12" s="37">
        <v>5.0</v>
      </c>
      <c r="D12" s="37">
        <v>17.0</v>
      </c>
      <c r="E12" s="35"/>
      <c r="F12" s="35"/>
      <c r="G12" s="35">
        <f t="shared" si="1"/>
        <v>23</v>
      </c>
      <c r="H12" s="35">
        <f t="shared" si="2"/>
        <v>62</v>
      </c>
      <c r="I12" s="35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</row>
    <row r="13">
      <c r="A13" s="4" t="s">
        <v>43</v>
      </c>
      <c r="B13" s="4">
        <v>1.0</v>
      </c>
      <c r="C13" s="4">
        <v>9.0</v>
      </c>
      <c r="D13" s="4">
        <v>13.0</v>
      </c>
      <c r="E13" s="4"/>
      <c r="F13" s="35"/>
      <c r="G13" s="35">
        <f t="shared" si="1"/>
        <v>23</v>
      </c>
      <c r="H13" s="35">
        <f t="shared" si="2"/>
        <v>58</v>
      </c>
      <c r="I13" s="35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</row>
    <row r="14">
      <c r="A14" s="4" t="s">
        <v>44</v>
      </c>
      <c r="B14" s="37">
        <v>1.0</v>
      </c>
      <c r="C14" s="37">
        <v>5.0</v>
      </c>
      <c r="D14" s="37">
        <v>17.0</v>
      </c>
      <c r="E14" s="35"/>
      <c r="F14" s="35"/>
      <c r="G14" s="35">
        <f t="shared" si="1"/>
        <v>23</v>
      </c>
      <c r="H14" s="35">
        <f t="shared" si="2"/>
        <v>62</v>
      </c>
      <c r="I14" s="35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</row>
    <row r="15">
      <c r="A15" s="4" t="s">
        <v>45</v>
      </c>
      <c r="B15" s="4">
        <v>6.0</v>
      </c>
      <c r="C15" s="4">
        <v>17.0</v>
      </c>
      <c r="D15" s="35"/>
      <c r="E15" s="35"/>
      <c r="F15" s="35"/>
      <c r="G15" s="35">
        <f t="shared" si="1"/>
        <v>23</v>
      </c>
      <c r="H15" s="35">
        <f t="shared" si="2"/>
        <v>40</v>
      </c>
      <c r="I15" s="35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</row>
    <row r="16">
      <c r="A16" s="4" t="s">
        <v>46</v>
      </c>
      <c r="B16" s="4">
        <v>1.0</v>
      </c>
      <c r="C16" s="4">
        <v>6.0</v>
      </c>
      <c r="D16" s="4">
        <v>16.0</v>
      </c>
      <c r="E16" s="4"/>
      <c r="F16" s="35"/>
      <c r="G16" s="35">
        <f t="shared" si="1"/>
        <v>23</v>
      </c>
      <c r="H16" s="35">
        <f t="shared" si="2"/>
        <v>61</v>
      </c>
      <c r="I16" s="35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</row>
    <row r="17">
      <c r="A17" s="4" t="s">
        <v>47</v>
      </c>
      <c r="B17" s="4">
        <v>7.0</v>
      </c>
      <c r="C17" s="4">
        <v>16.0</v>
      </c>
      <c r="D17" s="4"/>
      <c r="E17" s="35"/>
      <c r="F17" s="35"/>
      <c r="G17" s="35">
        <f t="shared" si="1"/>
        <v>23</v>
      </c>
      <c r="H17" s="35">
        <f t="shared" si="2"/>
        <v>39</v>
      </c>
      <c r="I17" s="35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>
      <c r="A18" s="4" t="s">
        <v>48</v>
      </c>
      <c r="B18" s="4">
        <v>1.0</v>
      </c>
      <c r="C18" s="4">
        <v>6.0</v>
      </c>
      <c r="D18" s="4">
        <v>16.0</v>
      </c>
      <c r="E18" s="4"/>
      <c r="F18" s="35"/>
      <c r="G18" s="35">
        <f t="shared" si="1"/>
        <v>23</v>
      </c>
      <c r="H18" s="35">
        <f t="shared" si="2"/>
        <v>61</v>
      </c>
      <c r="I18" s="35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>
      <c r="A19" s="4" t="s">
        <v>49</v>
      </c>
      <c r="B19" s="4">
        <v>10.0</v>
      </c>
      <c r="C19" s="4">
        <v>13.0</v>
      </c>
      <c r="D19" s="4"/>
      <c r="E19" s="35"/>
      <c r="F19" s="35"/>
      <c r="G19" s="35">
        <f t="shared" si="1"/>
        <v>23</v>
      </c>
      <c r="H19" s="35">
        <f t="shared" si="2"/>
        <v>36</v>
      </c>
      <c r="I19" s="35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</row>
    <row r="20">
      <c r="A20" s="4" t="s">
        <v>50</v>
      </c>
      <c r="B20" s="4">
        <v>1.0</v>
      </c>
      <c r="C20" s="4">
        <v>9.0</v>
      </c>
      <c r="D20" s="4">
        <v>13.0</v>
      </c>
      <c r="E20" s="4"/>
      <c r="F20" s="35"/>
      <c r="G20" s="35">
        <f t="shared" si="1"/>
        <v>23</v>
      </c>
      <c r="H20" s="35">
        <f t="shared" si="2"/>
        <v>58</v>
      </c>
      <c r="I20" s="35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>
      <c r="A21" s="4" t="s">
        <v>51</v>
      </c>
      <c r="B21" s="4">
        <v>1.0</v>
      </c>
      <c r="C21" s="4">
        <v>6.0</v>
      </c>
      <c r="D21" s="4">
        <v>16.0</v>
      </c>
      <c r="E21" s="4"/>
      <c r="F21" s="35"/>
      <c r="G21" s="35">
        <f t="shared" si="1"/>
        <v>23</v>
      </c>
      <c r="H21" s="35">
        <f t="shared" si="2"/>
        <v>61</v>
      </c>
      <c r="I21" s="35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>
      <c r="A22" s="4" t="s">
        <v>52</v>
      </c>
      <c r="B22" s="4">
        <v>1.0</v>
      </c>
      <c r="C22" s="4">
        <v>9.0</v>
      </c>
      <c r="D22" s="4">
        <v>13.0</v>
      </c>
      <c r="E22" s="4"/>
      <c r="F22" s="35"/>
      <c r="G22" s="35">
        <f t="shared" si="1"/>
        <v>23</v>
      </c>
      <c r="H22" s="35">
        <f t="shared" si="2"/>
        <v>58</v>
      </c>
      <c r="I22" s="35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>
      <c r="A23" s="4" t="s">
        <v>53</v>
      </c>
      <c r="B23" s="4">
        <v>1.0</v>
      </c>
      <c r="C23" s="4">
        <v>9.0</v>
      </c>
      <c r="D23" s="4">
        <v>13.0</v>
      </c>
      <c r="E23" s="4"/>
      <c r="F23" s="35"/>
      <c r="G23" s="35">
        <f t="shared" si="1"/>
        <v>23</v>
      </c>
      <c r="H23" s="35">
        <f t="shared" si="2"/>
        <v>58</v>
      </c>
      <c r="I23" s="35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>
      <c r="A24" s="4" t="s">
        <v>54</v>
      </c>
      <c r="B24" s="4">
        <v>1.0</v>
      </c>
      <c r="C24" s="4">
        <v>9.0</v>
      </c>
      <c r="D24" s="4">
        <v>13.0</v>
      </c>
      <c r="E24" s="4"/>
      <c r="F24" s="35"/>
      <c r="G24" s="35">
        <f t="shared" si="1"/>
        <v>23</v>
      </c>
      <c r="H24" s="35">
        <f t="shared" si="2"/>
        <v>58</v>
      </c>
      <c r="I24" s="35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>
      <c r="A25" s="4" t="s">
        <v>55</v>
      </c>
      <c r="B25" s="4">
        <v>1.0</v>
      </c>
      <c r="C25" s="4">
        <v>9.0</v>
      </c>
      <c r="D25" s="4">
        <v>13.0</v>
      </c>
      <c r="E25" s="4"/>
      <c r="F25" s="35"/>
      <c r="G25" s="35">
        <f t="shared" si="1"/>
        <v>23</v>
      </c>
      <c r="H25" s="35">
        <f t="shared" si="2"/>
        <v>58</v>
      </c>
      <c r="I25" s="35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>
      <c r="A26" s="4" t="s">
        <v>56</v>
      </c>
      <c r="B26" s="4">
        <v>1.0</v>
      </c>
      <c r="C26" s="4">
        <v>9.0</v>
      </c>
      <c r="D26" s="4">
        <v>13.0</v>
      </c>
      <c r="E26" s="4"/>
      <c r="F26" s="35"/>
      <c r="G26" s="35">
        <f t="shared" si="1"/>
        <v>23</v>
      </c>
      <c r="H26" s="35">
        <f t="shared" si="2"/>
        <v>58</v>
      </c>
      <c r="I26" s="35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>
      <c r="A27" s="39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>
      <c r="A28" s="39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>
      <c r="A29" s="39" t="s">
        <v>57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>
      <c r="A30" s="35"/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35"/>
      <c r="H30" s="35"/>
      <c r="I30" s="35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>
      <c r="A31" s="4" t="s">
        <v>33</v>
      </c>
      <c r="B31" s="4">
        <v>1.0</v>
      </c>
      <c r="C31" s="4">
        <v>8.0</v>
      </c>
      <c r="D31" s="4">
        <v>14.0</v>
      </c>
      <c r="E31" s="4"/>
      <c r="F31" s="4"/>
      <c r="G31" s="35">
        <f t="shared" ref="G31:G54" si="3">sum(B31:F31)</f>
        <v>23</v>
      </c>
      <c r="H31" s="35">
        <f t="shared" ref="H31:H54" si="4">B31+C31*2+D31*3+E31*4+F31*5</f>
        <v>59</v>
      </c>
      <c r="I31" s="35">
        <f>sum(H31:H54)/((24*24)-24)</f>
        <v>2.365942029</v>
      </c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>
      <c r="A32" s="4" t="s">
        <v>34</v>
      </c>
      <c r="B32" s="4">
        <v>1.0</v>
      </c>
      <c r="C32" s="4">
        <v>8.0</v>
      </c>
      <c r="D32" s="4">
        <v>14.0</v>
      </c>
      <c r="E32" s="4"/>
      <c r="F32" s="4"/>
      <c r="G32" s="35">
        <f t="shared" si="3"/>
        <v>23</v>
      </c>
      <c r="H32" s="35">
        <f t="shared" si="4"/>
        <v>59</v>
      </c>
      <c r="I32" s="35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>
      <c r="A33" s="4" t="s">
        <v>35</v>
      </c>
      <c r="B33" s="4">
        <v>1.0</v>
      </c>
      <c r="C33" s="4">
        <v>8.0</v>
      </c>
      <c r="D33" s="4">
        <v>14.0</v>
      </c>
      <c r="E33" s="4"/>
      <c r="F33" s="4"/>
      <c r="G33" s="35">
        <f t="shared" si="3"/>
        <v>23</v>
      </c>
      <c r="H33" s="35">
        <f t="shared" si="4"/>
        <v>59</v>
      </c>
      <c r="I33" s="35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>
      <c r="A34" s="4" t="s">
        <v>36</v>
      </c>
      <c r="B34" s="4">
        <v>1.0</v>
      </c>
      <c r="C34" s="4">
        <v>8.0</v>
      </c>
      <c r="D34" s="4">
        <v>14.0</v>
      </c>
      <c r="E34" s="4"/>
      <c r="F34" s="4"/>
      <c r="G34" s="35">
        <f t="shared" si="3"/>
        <v>23</v>
      </c>
      <c r="H34" s="35">
        <f t="shared" si="4"/>
        <v>59</v>
      </c>
      <c r="I34" s="35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>
      <c r="A35" s="4" t="s">
        <v>37</v>
      </c>
      <c r="B35" s="4">
        <v>1.0</v>
      </c>
      <c r="C35" s="4">
        <v>8.0</v>
      </c>
      <c r="D35" s="4">
        <v>14.0</v>
      </c>
      <c r="E35" s="4"/>
      <c r="F35" s="4"/>
      <c r="G35" s="35">
        <f t="shared" si="3"/>
        <v>23</v>
      </c>
      <c r="H35" s="35">
        <f t="shared" si="4"/>
        <v>59</v>
      </c>
      <c r="I35" s="35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>
      <c r="A36" s="4" t="s">
        <v>38</v>
      </c>
      <c r="B36" s="37">
        <v>9.0</v>
      </c>
      <c r="C36" s="37">
        <v>14.0</v>
      </c>
      <c r="D36" s="37"/>
      <c r="E36" s="4"/>
      <c r="F36" s="35"/>
      <c r="G36" s="35">
        <f t="shared" si="3"/>
        <v>23</v>
      </c>
      <c r="H36" s="35">
        <f t="shared" si="4"/>
        <v>37</v>
      </c>
      <c r="I36" s="35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>
      <c r="A37" s="4" t="s">
        <v>39</v>
      </c>
      <c r="B37" s="4">
        <v>1.0</v>
      </c>
      <c r="C37" s="4">
        <v>5.0</v>
      </c>
      <c r="D37" s="4">
        <v>17.0</v>
      </c>
      <c r="E37" s="4"/>
      <c r="F37" s="4"/>
      <c r="G37" s="35">
        <f t="shared" si="3"/>
        <v>23</v>
      </c>
      <c r="H37" s="35">
        <f t="shared" si="4"/>
        <v>62</v>
      </c>
      <c r="I37" s="35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>
      <c r="A38" s="4" t="s">
        <v>40</v>
      </c>
      <c r="B38" s="37">
        <v>6.0</v>
      </c>
      <c r="C38" s="37">
        <v>17.0</v>
      </c>
      <c r="D38" s="37"/>
      <c r="E38" s="4"/>
      <c r="F38" s="35"/>
      <c r="G38" s="35">
        <f t="shared" si="3"/>
        <v>23</v>
      </c>
      <c r="H38" s="35">
        <f t="shared" si="4"/>
        <v>40</v>
      </c>
      <c r="I38" s="35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</row>
    <row r="39">
      <c r="A39" s="4" t="s">
        <v>41</v>
      </c>
      <c r="B39" s="4">
        <v>1.0</v>
      </c>
      <c r="C39" s="4">
        <v>5.0</v>
      </c>
      <c r="D39" s="4">
        <v>17.0</v>
      </c>
      <c r="E39" s="4"/>
      <c r="F39" s="4"/>
      <c r="G39" s="35">
        <f t="shared" si="3"/>
        <v>23</v>
      </c>
      <c r="H39" s="35">
        <f t="shared" si="4"/>
        <v>62</v>
      </c>
      <c r="I39" s="35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0">
      <c r="A40" s="4" t="s">
        <v>42</v>
      </c>
      <c r="B40" s="4">
        <v>1.0</v>
      </c>
      <c r="C40" s="37">
        <v>5.0</v>
      </c>
      <c r="D40" s="37">
        <v>17.0</v>
      </c>
      <c r="E40" s="4"/>
      <c r="F40" s="35"/>
      <c r="G40" s="35">
        <f t="shared" si="3"/>
        <v>23</v>
      </c>
      <c r="H40" s="35">
        <f t="shared" si="4"/>
        <v>62</v>
      </c>
      <c r="I40" s="35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</row>
    <row r="41">
      <c r="A41" s="4" t="s">
        <v>43</v>
      </c>
      <c r="B41" s="4">
        <v>1.0</v>
      </c>
      <c r="C41" s="37">
        <v>5.0</v>
      </c>
      <c r="D41" s="37">
        <v>17.0</v>
      </c>
      <c r="E41" s="4"/>
      <c r="F41" s="35"/>
      <c r="G41" s="35">
        <f t="shared" si="3"/>
        <v>23</v>
      </c>
      <c r="H41" s="35">
        <f t="shared" si="4"/>
        <v>62</v>
      </c>
      <c r="I41" s="35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>
      <c r="A42" s="4" t="s">
        <v>44</v>
      </c>
      <c r="B42" s="37">
        <v>6.0</v>
      </c>
      <c r="C42" s="37">
        <v>17.0</v>
      </c>
      <c r="D42" s="37"/>
      <c r="E42" s="35"/>
      <c r="F42" s="35"/>
      <c r="G42" s="35">
        <f t="shared" si="3"/>
        <v>23</v>
      </c>
      <c r="H42" s="35">
        <f t="shared" si="4"/>
        <v>40</v>
      </c>
      <c r="I42" s="35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</row>
    <row r="43">
      <c r="A43" s="4" t="s">
        <v>45</v>
      </c>
      <c r="B43" s="4">
        <v>6.0</v>
      </c>
      <c r="C43" s="4">
        <v>17.0</v>
      </c>
      <c r="D43" s="4"/>
      <c r="E43" s="35"/>
      <c r="F43" s="35"/>
      <c r="G43" s="35">
        <f t="shared" si="3"/>
        <v>23</v>
      </c>
      <c r="H43" s="35">
        <f t="shared" si="4"/>
        <v>40</v>
      </c>
      <c r="I43" s="35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</row>
    <row r="44">
      <c r="A44" s="4" t="s">
        <v>46</v>
      </c>
      <c r="B44" s="4">
        <v>1.0</v>
      </c>
      <c r="C44" s="4">
        <v>5.0</v>
      </c>
      <c r="D44" s="4">
        <v>17.0</v>
      </c>
      <c r="E44" s="4"/>
      <c r="F44" s="35"/>
      <c r="G44" s="35">
        <f t="shared" si="3"/>
        <v>23</v>
      </c>
      <c r="H44" s="35">
        <f t="shared" si="4"/>
        <v>62</v>
      </c>
      <c r="I44" s="35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</row>
    <row r="45">
      <c r="A45" s="4" t="s">
        <v>47</v>
      </c>
      <c r="B45" s="4">
        <v>1.0</v>
      </c>
      <c r="C45" s="4">
        <v>5.0</v>
      </c>
      <c r="D45" s="4">
        <v>17.0</v>
      </c>
      <c r="E45" s="4"/>
      <c r="F45" s="35"/>
      <c r="G45" s="35">
        <f t="shared" si="3"/>
        <v>23</v>
      </c>
      <c r="H45" s="35">
        <f t="shared" si="4"/>
        <v>62</v>
      </c>
      <c r="I45" s="35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</row>
    <row r="46">
      <c r="A46" s="4" t="s">
        <v>48</v>
      </c>
      <c r="B46" s="4">
        <v>1.0</v>
      </c>
      <c r="C46" s="4">
        <v>11.0</v>
      </c>
      <c r="D46" s="4">
        <v>11.0</v>
      </c>
      <c r="E46" s="4"/>
      <c r="F46" s="4"/>
      <c r="G46" s="35">
        <f t="shared" si="3"/>
        <v>23</v>
      </c>
      <c r="H46" s="35">
        <f t="shared" si="4"/>
        <v>56</v>
      </c>
      <c r="I46" s="35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</row>
    <row r="47">
      <c r="A47" s="4" t="s">
        <v>49</v>
      </c>
      <c r="B47" s="4">
        <v>12.0</v>
      </c>
      <c r="C47" s="4">
        <v>11.0</v>
      </c>
      <c r="D47" s="4"/>
      <c r="E47" s="35"/>
      <c r="F47" s="35"/>
      <c r="G47" s="35">
        <f t="shared" si="3"/>
        <v>23</v>
      </c>
      <c r="H47" s="35">
        <f t="shared" si="4"/>
        <v>34</v>
      </c>
      <c r="I47" s="35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</row>
    <row r="48">
      <c r="A48" s="4" t="s">
        <v>50</v>
      </c>
      <c r="B48" s="4">
        <v>1.0</v>
      </c>
      <c r="C48" s="4">
        <v>11.0</v>
      </c>
      <c r="D48" s="4">
        <v>11.0</v>
      </c>
      <c r="E48" s="4"/>
      <c r="F48" s="4"/>
      <c r="G48" s="35">
        <f t="shared" si="3"/>
        <v>23</v>
      </c>
      <c r="H48" s="35">
        <f t="shared" si="4"/>
        <v>56</v>
      </c>
      <c r="I48" s="35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</row>
    <row r="49">
      <c r="A49" s="4" t="s">
        <v>51</v>
      </c>
      <c r="B49" s="4">
        <v>1.0</v>
      </c>
      <c r="C49" s="4">
        <v>11.0</v>
      </c>
      <c r="D49" s="4">
        <v>11.0</v>
      </c>
      <c r="E49" s="4"/>
      <c r="F49" s="4"/>
      <c r="G49" s="35">
        <f t="shared" si="3"/>
        <v>23</v>
      </c>
      <c r="H49" s="35">
        <f t="shared" si="4"/>
        <v>56</v>
      </c>
      <c r="I49" s="35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</row>
    <row r="50">
      <c r="A50" s="4" t="s">
        <v>52</v>
      </c>
      <c r="B50" s="4">
        <v>1.0</v>
      </c>
      <c r="C50" s="4">
        <v>11.0</v>
      </c>
      <c r="D50" s="4">
        <v>11.0</v>
      </c>
      <c r="E50" s="4"/>
      <c r="F50" s="4"/>
      <c r="G50" s="35">
        <f t="shared" si="3"/>
        <v>23</v>
      </c>
      <c r="H50" s="35">
        <f t="shared" si="4"/>
        <v>56</v>
      </c>
      <c r="I50" s="35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</row>
    <row r="51">
      <c r="A51" s="4" t="s">
        <v>53</v>
      </c>
      <c r="B51" s="4">
        <v>1.0</v>
      </c>
      <c r="C51" s="4">
        <v>11.0</v>
      </c>
      <c r="D51" s="4">
        <v>11.0</v>
      </c>
      <c r="E51" s="4"/>
      <c r="F51" s="4"/>
      <c r="G51" s="35">
        <f t="shared" si="3"/>
        <v>23</v>
      </c>
      <c r="H51" s="35">
        <f t="shared" si="4"/>
        <v>56</v>
      </c>
      <c r="I51" s="35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</row>
    <row r="52">
      <c r="A52" s="4" t="s">
        <v>54</v>
      </c>
      <c r="B52" s="4">
        <v>1.0</v>
      </c>
      <c r="C52" s="4">
        <v>11.0</v>
      </c>
      <c r="D52" s="4">
        <v>11.0</v>
      </c>
      <c r="E52" s="4"/>
      <c r="F52" s="4"/>
      <c r="G52" s="35">
        <f t="shared" si="3"/>
        <v>23</v>
      </c>
      <c r="H52" s="35">
        <f t="shared" si="4"/>
        <v>56</v>
      </c>
      <c r="I52" s="35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</row>
    <row r="53">
      <c r="A53" s="4" t="s">
        <v>55</v>
      </c>
      <c r="B53" s="4">
        <v>1.0</v>
      </c>
      <c r="C53" s="4">
        <v>11.0</v>
      </c>
      <c r="D53" s="4">
        <v>11.0</v>
      </c>
      <c r="E53" s="4"/>
      <c r="F53" s="4"/>
      <c r="G53" s="35">
        <f t="shared" si="3"/>
        <v>23</v>
      </c>
      <c r="H53" s="35">
        <f t="shared" si="4"/>
        <v>56</v>
      </c>
      <c r="I53" s="35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</row>
    <row r="54">
      <c r="A54" s="4" t="s">
        <v>56</v>
      </c>
      <c r="B54" s="4">
        <v>1.0</v>
      </c>
      <c r="C54" s="4">
        <v>11.0</v>
      </c>
      <c r="D54" s="4">
        <v>11.0</v>
      </c>
      <c r="E54" s="4"/>
      <c r="F54" s="4"/>
      <c r="G54" s="35">
        <f t="shared" si="3"/>
        <v>23</v>
      </c>
      <c r="H54" s="35">
        <f t="shared" si="4"/>
        <v>56</v>
      </c>
      <c r="I54" s="35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</row>
    <row r="57">
      <c r="A57" s="5" t="s">
        <v>58</v>
      </c>
      <c r="B57" s="2"/>
      <c r="C57" s="2"/>
      <c r="D57" s="2"/>
      <c r="E57" s="2"/>
      <c r="F57" s="2"/>
      <c r="G57" s="2"/>
      <c r="H57" s="2"/>
      <c r="I57" s="3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</row>
    <row r="58">
      <c r="A58" s="35"/>
      <c r="B58" s="4" t="s">
        <v>28</v>
      </c>
      <c r="C58" s="4" t="s">
        <v>29</v>
      </c>
      <c r="D58" s="4" t="s">
        <v>30</v>
      </c>
      <c r="E58" s="4" t="s">
        <v>31</v>
      </c>
      <c r="F58" s="4" t="s">
        <v>32</v>
      </c>
      <c r="G58" s="35"/>
      <c r="H58" s="35"/>
      <c r="I58" s="35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</row>
    <row r="59">
      <c r="A59" s="4" t="s">
        <v>33</v>
      </c>
      <c r="B59" s="4">
        <v>1.0</v>
      </c>
      <c r="C59" s="4">
        <v>8.0</v>
      </c>
      <c r="D59" s="4">
        <v>14.0</v>
      </c>
      <c r="E59" s="4"/>
      <c r="F59" s="4"/>
      <c r="G59" s="35">
        <f t="shared" ref="G59:G82" si="5">sum(B59:F59)</f>
        <v>23</v>
      </c>
      <c r="H59" s="35">
        <f t="shared" ref="H59:H82" si="6">B59+C59*2+D59*3+E59*4+F59*5</f>
        <v>59</v>
      </c>
      <c r="I59" s="35">
        <f>sum(H59:H82)/((24*24)-24)</f>
        <v>2.358695652</v>
      </c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</row>
    <row r="60">
      <c r="A60" s="4" t="s">
        <v>34</v>
      </c>
      <c r="B60" s="4">
        <v>1.0</v>
      </c>
      <c r="C60" s="4">
        <v>8.0</v>
      </c>
      <c r="D60" s="4">
        <v>14.0</v>
      </c>
      <c r="E60" s="4"/>
      <c r="F60" s="4"/>
      <c r="G60" s="35">
        <f t="shared" si="5"/>
        <v>23</v>
      </c>
      <c r="H60" s="35">
        <f t="shared" si="6"/>
        <v>59</v>
      </c>
      <c r="I60" s="35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</row>
    <row r="61">
      <c r="A61" s="4" t="s">
        <v>35</v>
      </c>
      <c r="B61" s="4">
        <v>1.0</v>
      </c>
      <c r="C61" s="4">
        <v>8.0</v>
      </c>
      <c r="D61" s="4">
        <v>14.0</v>
      </c>
      <c r="E61" s="4"/>
      <c r="F61" s="4"/>
      <c r="G61" s="35">
        <f t="shared" si="5"/>
        <v>23</v>
      </c>
      <c r="H61" s="35">
        <f t="shared" si="6"/>
        <v>59</v>
      </c>
      <c r="I61" s="35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</row>
    <row r="62">
      <c r="A62" s="4" t="s">
        <v>36</v>
      </c>
      <c r="B62" s="4">
        <v>1.0</v>
      </c>
      <c r="C62" s="4">
        <v>8.0</v>
      </c>
      <c r="D62" s="4">
        <v>14.0</v>
      </c>
      <c r="E62" s="4"/>
      <c r="F62" s="4"/>
      <c r="G62" s="35">
        <f t="shared" si="5"/>
        <v>23</v>
      </c>
      <c r="H62" s="35">
        <f t="shared" si="6"/>
        <v>59</v>
      </c>
      <c r="I62" s="35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</row>
    <row r="63">
      <c r="A63" s="4" t="s">
        <v>37</v>
      </c>
      <c r="B63" s="4">
        <v>1.0</v>
      </c>
      <c r="C63" s="4">
        <v>8.0</v>
      </c>
      <c r="D63" s="4">
        <v>14.0</v>
      </c>
      <c r="E63" s="4"/>
      <c r="F63" s="4"/>
      <c r="G63" s="35">
        <f t="shared" si="5"/>
        <v>23</v>
      </c>
      <c r="H63" s="35">
        <f t="shared" si="6"/>
        <v>59</v>
      </c>
      <c r="I63" s="35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</row>
    <row r="64">
      <c r="A64" s="4" t="s">
        <v>38</v>
      </c>
      <c r="B64" s="37">
        <v>9.0</v>
      </c>
      <c r="C64" s="37">
        <v>14.0</v>
      </c>
      <c r="D64" s="37"/>
      <c r="E64" s="4"/>
      <c r="F64" s="35"/>
      <c r="G64" s="35">
        <f t="shared" si="5"/>
        <v>23</v>
      </c>
      <c r="H64" s="35">
        <f t="shared" si="6"/>
        <v>37</v>
      </c>
      <c r="I64" s="35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</row>
    <row r="65">
      <c r="A65" s="4" t="s">
        <v>39</v>
      </c>
      <c r="B65" s="4">
        <v>1.0</v>
      </c>
      <c r="C65" s="4">
        <v>5.0</v>
      </c>
      <c r="D65" s="4">
        <v>17.0</v>
      </c>
      <c r="E65" s="4"/>
      <c r="F65" s="4"/>
      <c r="G65" s="35">
        <f t="shared" si="5"/>
        <v>23</v>
      </c>
      <c r="H65" s="35">
        <f t="shared" si="6"/>
        <v>62</v>
      </c>
      <c r="I65" s="35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</row>
    <row r="66">
      <c r="A66" s="4" t="s">
        <v>40</v>
      </c>
      <c r="B66" s="37">
        <v>6.0</v>
      </c>
      <c r="C66" s="37">
        <v>17.0</v>
      </c>
      <c r="D66" s="37"/>
      <c r="E66" s="4"/>
      <c r="F66" s="35"/>
      <c r="G66" s="35">
        <f t="shared" si="5"/>
        <v>23</v>
      </c>
      <c r="H66" s="35">
        <f t="shared" si="6"/>
        <v>40</v>
      </c>
      <c r="I66" s="35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</row>
    <row r="67">
      <c r="A67" s="4" t="s">
        <v>41</v>
      </c>
      <c r="B67" s="4">
        <v>1.0</v>
      </c>
      <c r="C67" s="4">
        <v>6.0</v>
      </c>
      <c r="D67" s="4">
        <v>16.0</v>
      </c>
      <c r="E67" s="4"/>
      <c r="F67" s="4"/>
      <c r="G67" s="35">
        <f t="shared" si="5"/>
        <v>23</v>
      </c>
      <c r="H67" s="35">
        <f t="shared" si="6"/>
        <v>61</v>
      </c>
      <c r="I67" s="35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</row>
    <row r="68">
      <c r="A68" s="4" t="s">
        <v>42</v>
      </c>
      <c r="B68" s="4">
        <v>1.0</v>
      </c>
      <c r="C68" s="4">
        <v>6.0</v>
      </c>
      <c r="D68" s="4">
        <v>16.0</v>
      </c>
      <c r="E68" s="4"/>
      <c r="F68" s="35"/>
      <c r="G68" s="35">
        <f t="shared" si="5"/>
        <v>23</v>
      </c>
      <c r="H68" s="35">
        <f t="shared" si="6"/>
        <v>61</v>
      </c>
      <c r="I68" s="35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</row>
    <row r="69">
      <c r="A69" s="4" t="s">
        <v>43</v>
      </c>
      <c r="B69" s="4">
        <v>1.0</v>
      </c>
      <c r="C69" s="4">
        <v>6.0</v>
      </c>
      <c r="D69" s="4">
        <v>16.0</v>
      </c>
      <c r="E69" s="4"/>
      <c r="F69" s="35"/>
      <c r="G69" s="35">
        <f t="shared" si="5"/>
        <v>23</v>
      </c>
      <c r="H69" s="35">
        <f t="shared" si="6"/>
        <v>61</v>
      </c>
      <c r="I69" s="35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</row>
    <row r="70">
      <c r="A70" s="4" t="s">
        <v>44</v>
      </c>
      <c r="B70" s="4">
        <v>7.0</v>
      </c>
      <c r="C70" s="37">
        <v>16.0</v>
      </c>
      <c r="D70" s="37"/>
      <c r="E70" s="35"/>
      <c r="F70" s="35"/>
      <c r="G70" s="35">
        <f t="shared" si="5"/>
        <v>23</v>
      </c>
      <c r="H70" s="35">
        <f t="shared" si="6"/>
        <v>39</v>
      </c>
      <c r="I70" s="35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</row>
    <row r="71">
      <c r="A71" s="4" t="s">
        <v>45</v>
      </c>
      <c r="B71" s="4">
        <v>6.0</v>
      </c>
      <c r="C71" s="4">
        <v>17.0</v>
      </c>
      <c r="D71" s="4"/>
      <c r="E71" s="35"/>
      <c r="F71" s="35"/>
      <c r="G71" s="35">
        <f t="shared" si="5"/>
        <v>23</v>
      </c>
      <c r="H71" s="35">
        <f t="shared" si="6"/>
        <v>40</v>
      </c>
      <c r="I71" s="35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</row>
    <row r="72">
      <c r="A72" s="4" t="s">
        <v>46</v>
      </c>
      <c r="B72" s="4">
        <v>1.0</v>
      </c>
      <c r="C72" s="4">
        <v>5.0</v>
      </c>
      <c r="D72" s="4">
        <v>17.0</v>
      </c>
      <c r="E72" s="4"/>
      <c r="F72" s="35"/>
      <c r="G72" s="35">
        <f t="shared" si="5"/>
        <v>23</v>
      </c>
      <c r="H72" s="35">
        <f t="shared" si="6"/>
        <v>62</v>
      </c>
      <c r="I72" s="35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</row>
    <row r="73">
      <c r="A73" s="4" t="s">
        <v>47</v>
      </c>
      <c r="B73" s="4">
        <v>1.0</v>
      </c>
      <c r="C73" s="4">
        <v>5.0</v>
      </c>
      <c r="D73" s="4">
        <v>17.0</v>
      </c>
      <c r="E73" s="4"/>
      <c r="F73" s="35"/>
      <c r="G73" s="35">
        <f t="shared" si="5"/>
        <v>23</v>
      </c>
      <c r="H73" s="35">
        <f t="shared" si="6"/>
        <v>62</v>
      </c>
      <c r="I73" s="35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</row>
    <row r="74">
      <c r="A74" s="4" t="s">
        <v>48</v>
      </c>
      <c r="B74" s="4">
        <v>1.0</v>
      </c>
      <c r="C74" s="4">
        <v>11.0</v>
      </c>
      <c r="D74" s="4">
        <v>11.0</v>
      </c>
      <c r="E74" s="4"/>
      <c r="F74" s="4"/>
      <c r="G74" s="35">
        <f t="shared" si="5"/>
        <v>23</v>
      </c>
      <c r="H74" s="35">
        <f t="shared" si="6"/>
        <v>56</v>
      </c>
      <c r="I74" s="35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</row>
    <row r="75">
      <c r="A75" s="4" t="s">
        <v>49</v>
      </c>
      <c r="B75" s="4">
        <v>12.0</v>
      </c>
      <c r="C75" s="4">
        <v>11.0</v>
      </c>
      <c r="D75" s="4"/>
      <c r="E75" s="35"/>
      <c r="F75" s="35"/>
      <c r="G75" s="35">
        <f t="shared" si="5"/>
        <v>23</v>
      </c>
      <c r="H75" s="35">
        <f t="shared" si="6"/>
        <v>34</v>
      </c>
      <c r="I75" s="35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</row>
    <row r="76">
      <c r="A76" s="4" t="s">
        <v>50</v>
      </c>
      <c r="B76" s="4">
        <v>1.0</v>
      </c>
      <c r="C76" s="4">
        <v>11.0</v>
      </c>
      <c r="D76" s="4">
        <v>11.0</v>
      </c>
      <c r="E76" s="4"/>
      <c r="F76" s="4"/>
      <c r="G76" s="35">
        <f t="shared" si="5"/>
        <v>23</v>
      </c>
      <c r="H76" s="35">
        <f t="shared" si="6"/>
        <v>56</v>
      </c>
      <c r="I76" s="35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</row>
    <row r="77">
      <c r="A77" s="4" t="s">
        <v>51</v>
      </c>
      <c r="B77" s="4">
        <v>1.0</v>
      </c>
      <c r="C77" s="4">
        <v>11.0</v>
      </c>
      <c r="D77" s="4">
        <v>11.0</v>
      </c>
      <c r="E77" s="4"/>
      <c r="F77" s="4"/>
      <c r="G77" s="35">
        <f t="shared" si="5"/>
        <v>23</v>
      </c>
      <c r="H77" s="35">
        <f t="shared" si="6"/>
        <v>56</v>
      </c>
      <c r="I77" s="35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</row>
    <row r="78">
      <c r="A78" s="4" t="s">
        <v>52</v>
      </c>
      <c r="B78" s="4">
        <v>1.0</v>
      </c>
      <c r="C78" s="4">
        <v>11.0</v>
      </c>
      <c r="D78" s="4">
        <v>11.0</v>
      </c>
      <c r="E78" s="4"/>
      <c r="F78" s="4"/>
      <c r="G78" s="35">
        <f t="shared" si="5"/>
        <v>23</v>
      </c>
      <c r="H78" s="35">
        <f t="shared" si="6"/>
        <v>56</v>
      </c>
      <c r="I78" s="35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</row>
    <row r="79">
      <c r="A79" s="4" t="s">
        <v>53</v>
      </c>
      <c r="B79" s="4">
        <v>1.0</v>
      </c>
      <c r="C79" s="4">
        <v>11.0</v>
      </c>
      <c r="D79" s="4">
        <v>11.0</v>
      </c>
      <c r="E79" s="4"/>
      <c r="F79" s="4"/>
      <c r="G79" s="35">
        <f t="shared" si="5"/>
        <v>23</v>
      </c>
      <c r="H79" s="35">
        <f t="shared" si="6"/>
        <v>56</v>
      </c>
      <c r="I79" s="35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</row>
    <row r="80">
      <c r="A80" s="4" t="s">
        <v>54</v>
      </c>
      <c r="B80" s="4">
        <v>1.0</v>
      </c>
      <c r="C80" s="4">
        <v>11.0</v>
      </c>
      <c r="D80" s="4">
        <v>11.0</v>
      </c>
      <c r="E80" s="4"/>
      <c r="F80" s="4"/>
      <c r="G80" s="35">
        <f t="shared" si="5"/>
        <v>23</v>
      </c>
      <c r="H80" s="35">
        <f t="shared" si="6"/>
        <v>56</v>
      </c>
      <c r="I80" s="35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</row>
    <row r="81">
      <c r="A81" s="4" t="s">
        <v>55</v>
      </c>
      <c r="B81" s="4">
        <v>1.0</v>
      </c>
      <c r="C81" s="4">
        <v>11.0</v>
      </c>
      <c r="D81" s="4">
        <v>11.0</v>
      </c>
      <c r="E81" s="4"/>
      <c r="F81" s="4"/>
      <c r="G81" s="35">
        <f t="shared" si="5"/>
        <v>23</v>
      </c>
      <c r="H81" s="35">
        <f t="shared" si="6"/>
        <v>56</v>
      </c>
      <c r="I81" s="35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</row>
    <row r="82">
      <c r="A82" s="4" t="s">
        <v>56</v>
      </c>
      <c r="B82" s="4">
        <v>1.0</v>
      </c>
      <c r="C82" s="4">
        <v>11.0</v>
      </c>
      <c r="D82" s="4">
        <v>11.0</v>
      </c>
      <c r="E82" s="4"/>
      <c r="F82" s="4"/>
      <c r="G82" s="35">
        <f t="shared" si="5"/>
        <v>23</v>
      </c>
      <c r="H82" s="35">
        <f t="shared" si="6"/>
        <v>56</v>
      </c>
      <c r="I82" s="35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</row>
  </sheetData>
  <mergeCells count="3">
    <mergeCell ref="A1:I1"/>
    <mergeCell ref="A29:I29"/>
    <mergeCell ref="A57:I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27</v>
      </c>
      <c r="B1" s="2"/>
      <c r="C1" s="2"/>
      <c r="D1" s="2"/>
      <c r="E1" s="2"/>
      <c r="F1" s="2"/>
      <c r="G1" s="2"/>
      <c r="H1" s="2"/>
      <c r="I1" s="2"/>
      <c r="J1" s="2"/>
      <c r="K1" s="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>
      <c r="A2" s="35"/>
      <c r="B2" s="35"/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59</v>
      </c>
      <c r="I2" s="4" t="s">
        <v>60</v>
      </c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>
      <c r="A3" s="35">
        <f t="shared" ref="A3:A26" si="1">sum(C3:I3)</f>
        <v>23</v>
      </c>
      <c r="B3" s="4" t="s">
        <v>33</v>
      </c>
      <c r="C3" s="4">
        <v>1.0</v>
      </c>
      <c r="D3" s="4">
        <v>9.0</v>
      </c>
      <c r="E3" s="4">
        <v>13.0</v>
      </c>
      <c r="F3" s="4"/>
      <c r="G3" s="35"/>
      <c r="H3" s="35"/>
      <c r="I3" s="35"/>
      <c r="J3" s="35">
        <f t="shared" ref="J3:J26" si="2">C3+D3*2+E3*3+F3*4+G3*5+H3*6+I3*7</f>
        <v>58</v>
      </c>
      <c r="K3" s="35">
        <f>sum(J3:J26)/((24*24)-24)</f>
        <v>2.329710145</v>
      </c>
      <c r="L3" s="34">
        <f>sum(J3:J26)</f>
        <v>1286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>
      <c r="A4" s="35">
        <f t="shared" si="1"/>
        <v>23</v>
      </c>
      <c r="B4" s="4" t="s">
        <v>34</v>
      </c>
      <c r="C4" s="4">
        <v>1.0</v>
      </c>
      <c r="D4" s="4">
        <v>9.0</v>
      </c>
      <c r="E4" s="4">
        <v>13.0</v>
      </c>
      <c r="F4" s="4"/>
      <c r="G4" s="35"/>
      <c r="H4" s="35"/>
      <c r="I4" s="35"/>
      <c r="J4" s="35">
        <f t="shared" si="2"/>
        <v>58</v>
      </c>
      <c r="K4" s="35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>
      <c r="A5" s="35">
        <f t="shared" si="1"/>
        <v>23</v>
      </c>
      <c r="B5" s="4" t="s">
        <v>35</v>
      </c>
      <c r="C5" s="4">
        <v>1.0</v>
      </c>
      <c r="D5" s="4">
        <v>9.0</v>
      </c>
      <c r="E5" s="4">
        <v>13.0</v>
      </c>
      <c r="F5" s="4"/>
      <c r="G5" s="35"/>
      <c r="H5" s="35"/>
      <c r="I5" s="35"/>
      <c r="J5" s="35">
        <f t="shared" si="2"/>
        <v>58</v>
      </c>
      <c r="K5" s="35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>
      <c r="A6" s="35">
        <f t="shared" si="1"/>
        <v>23</v>
      </c>
      <c r="B6" s="4" t="s">
        <v>36</v>
      </c>
      <c r="C6" s="4">
        <v>1.0</v>
      </c>
      <c r="D6" s="4">
        <v>9.0</v>
      </c>
      <c r="E6" s="4">
        <v>13.0</v>
      </c>
      <c r="F6" s="4"/>
      <c r="G6" s="35"/>
      <c r="H6" s="35"/>
      <c r="I6" s="35"/>
      <c r="J6" s="35">
        <f t="shared" si="2"/>
        <v>58</v>
      </c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>
      <c r="A7" s="35">
        <f t="shared" si="1"/>
        <v>23</v>
      </c>
      <c r="B7" s="4" t="s">
        <v>37</v>
      </c>
      <c r="C7" s="4">
        <v>1.0</v>
      </c>
      <c r="D7" s="4">
        <v>9.0</v>
      </c>
      <c r="E7" s="4">
        <v>13.0</v>
      </c>
      <c r="F7" s="4"/>
      <c r="G7" s="35"/>
      <c r="H7" s="35"/>
      <c r="I7" s="35"/>
      <c r="J7" s="35">
        <f t="shared" si="2"/>
        <v>58</v>
      </c>
      <c r="K7" s="35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>
      <c r="A8" s="35">
        <f t="shared" si="1"/>
        <v>23</v>
      </c>
      <c r="B8" s="4" t="s">
        <v>38</v>
      </c>
      <c r="C8" s="4">
        <v>10.0</v>
      </c>
      <c r="D8" s="4">
        <v>13.0</v>
      </c>
      <c r="E8" s="4"/>
      <c r="F8" s="4"/>
      <c r="G8" s="35"/>
      <c r="H8" s="35"/>
      <c r="I8" s="35"/>
      <c r="J8" s="35">
        <f t="shared" si="2"/>
        <v>36</v>
      </c>
      <c r="K8" s="35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>
      <c r="A9" s="35">
        <f t="shared" si="1"/>
        <v>23</v>
      </c>
      <c r="B9" s="4" t="s">
        <v>39</v>
      </c>
      <c r="C9" s="4">
        <v>1.0</v>
      </c>
      <c r="D9" s="4">
        <v>6.0</v>
      </c>
      <c r="E9" s="4">
        <v>16.0</v>
      </c>
      <c r="F9" s="4"/>
      <c r="G9" s="35"/>
      <c r="H9" s="35"/>
      <c r="I9" s="35"/>
      <c r="J9" s="35">
        <f t="shared" si="2"/>
        <v>61</v>
      </c>
      <c r="K9" s="35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>
      <c r="A10" s="35">
        <f t="shared" si="1"/>
        <v>23</v>
      </c>
      <c r="B10" s="4" t="s">
        <v>40</v>
      </c>
      <c r="C10" s="4">
        <v>7.0</v>
      </c>
      <c r="D10" s="4">
        <v>16.0</v>
      </c>
      <c r="E10" s="4"/>
      <c r="F10" s="35"/>
      <c r="G10" s="35"/>
      <c r="H10" s="35"/>
      <c r="I10" s="35"/>
      <c r="J10" s="35">
        <f t="shared" si="2"/>
        <v>39</v>
      </c>
      <c r="K10" s="35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>
      <c r="A11" s="35">
        <f t="shared" si="1"/>
        <v>23</v>
      </c>
      <c r="B11" s="4" t="s">
        <v>41</v>
      </c>
      <c r="C11" s="4">
        <v>1.0</v>
      </c>
      <c r="D11" s="4">
        <v>6.0</v>
      </c>
      <c r="E11" s="4">
        <v>16.0</v>
      </c>
      <c r="F11" s="4"/>
      <c r="G11" s="35"/>
      <c r="H11" s="35"/>
      <c r="I11" s="35"/>
      <c r="J11" s="35">
        <f t="shared" si="2"/>
        <v>61</v>
      </c>
      <c r="K11" s="35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>
      <c r="A12" s="35">
        <f t="shared" si="1"/>
        <v>23</v>
      </c>
      <c r="B12" s="4" t="s">
        <v>42</v>
      </c>
      <c r="C12" s="4">
        <v>2.0</v>
      </c>
      <c r="D12" s="4">
        <v>8.0</v>
      </c>
      <c r="E12" s="4">
        <v>13.0</v>
      </c>
      <c r="F12" s="35"/>
      <c r="G12" s="35"/>
      <c r="H12" s="35"/>
      <c r="I12" s="35"/>
      <c r="J12" s="35">
        <f t="shared" si="2"/>
        <v>57</v>
      </c>
      <c r="K12" s="35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>
      <c r="A13" s="35">
        <f t="shared" si="1"/>
        <v>23</v>
      </c>
      <c r="B13" s="4" t="s">
        <v>43</v>
      </c>
      <c r="C13" s="4">
        <v>1.0</v>
      </c>
      <c r="D13" s="4">
        <v>9.0</v>
      </c>
      <c r="E13" s="4">
        <v>13.0</v>
      </c>
      <c r="F13" s="4"/>
      <c r="G13" s="35"/>
      <c r="H13" s="35"/>
      <c r="I13" s="35"/>
      <c r="J13" s="35">
        <f t="shared" si="2"/>
        <v>58</v>
      </c>
      <c r="K13" s="35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>
      <c r="A14" s="35">
        <f t="shared" si="1"/>
        <v>23</v>
      </c>
      <c r="B14" s="4" t="s">
        <v>44</v>
      </c>
      <c r="C14" s="4">
        <v>1.0</v>
      </c>
      <c r="D14" s="4">
        <v>7.0</v>
      </c>
      <c r="E14" s="4">
        <v>15.0</v>
      </c>
      <c r="F14" s="35"/>
      <c r="G14" s="35"/>
      <c r="H14" s="35"/>
      <c r="I14" s="35"/>
      <c r="J14" s="35">
        <f t="shared" si="2"/>
        <v>60</v>
      </c>
      <c r="K14" s="35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>
      <c r="A15" s="35">
        <f t="shared" si="1"/>
        <v>23</v>
      </c>
      <c r="B15" s="4" t="s">
        <v>45</v>
      </c>
      <c r="C15" s="4">
        <v>8.0</v>
      </c>
      <c r="D15" s="4">
        <v>15.0</v>
      </c>
      <c r="E15" s="35"/>
      <c r="F15" s="35"/>
      <c r="G15" s="35"/>
      <c r="H15" s="35"/>
      <c r="I15" s="35"/>
      <c r="J15" s="35">
        <f t="shared" si="2"/>
        <v>38</v>
      </c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35">
        <f t="shared" si="1"/>
        <v>23</v>
      </c>
      <c r="B16" s="4" t="s">
        <v>46</v>
      </c>
      <c r="C16" s="4">
        <v>1.0</v>
      </c>
      <c r="D16" s="4">
        <v>7.0</v>
      </c>
      <c r="E16" s="4">
        <v>15.0</v>
      </c>
      <c r="F16" s="4"/>
      <c r="G16" s="35"/>
      <c r="H16" s="35"/>
      <c r="I16" s="35"/>
      <c r="J16" s="35">
        <f t="shared" si="2"/>
        <v>60</v>
      </c>
      <c r="K16" s="35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35">
        <f t="shared" si="1"/>
        <v>23</v>
      </c>
      <c r="B17" s="4" t="s">
        <v>47</v>
      </c>
      <c r="C17" s="4">
        <v>8.0</v>
      </c>
      <c r="D17" s="4">
        <v>15.0</v>
      </c>
      <c r="E17" s="4"/>
      <c r="F17" s="35"/>
      <c r="G17" s="35"/>
      <c r="H17" s="35"/>
      <c r="I17" s="35"/>
      <c r="J17" s="35">
        <f t="shared" si="2"/>
        <v>38</v>
      </c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35">
        <f t="shared" si="1"/>
        <v>23</v>
      </c>
      <c r="B18" s="4" t="s">
        <v>48</v>
      </c>
      <c r="C18" s="4">
        <v>1.0</v>
      </c>
      <c r="D18" s="4">
        <v>7.0</v>
      </c>
      <c r="E18" s="4">
        <v>15.0</v>
      </c>
      <c r="F18" s="4"/>
      <c r="G18" s="35"/>
      <c r="H18" s="35"/>
      <c r="I18" s="35"/>
      <c r="J18" s="35">
        <f t="shared" si="2"/>
        <v>60</v>
      </c>
      <c r="K18" s="35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35">
        <f t="shared" si="1"/>
        <v>23</v>
      </c>
      <c r="B19" s="4" t="s">
        <v>49</v>
      </c>
      <c r="C19" s="4">
        <v>2.0</v>
      </c>
      <c r="D19" s="4">
        <v>9.0</v>
      </c>
      <c r="E19" s="4">
        <v>12.0</v>
      </c>
      <c r="F19" s="35"/>
      <c r="G19" s="35"/>
      <c r="H19" s="35"/>
      <c r="I19" s="35"/>
      <c r="J19" s="35">
        <f t="shared" si="2"/>
        <v>56</v>
      </c>
      <c r="K19" s="35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>
      <c r="A20" s="35">
        <f t="shared" si="1"/>
        <v>23</v>
      </c>
      <c r="B20" s="4" t="s">
        <v>50</v>
      </c>
      <c r="C20" s="4">
        <v>2.0</v>
      </c>
      <c r="D20" s="4">
        <v>11.0</v>
      </c>
      <c r="E20" s="4">
        <v>10.0</v>
      </c>
      <c r="F20" s="4"/>
      <c r="G20" s="35"/>
      <c r="H20" s="35"/>
      <c r="I20" s="35"/>
      <c r="J20" s="35">
        <f t="shared" si="2"/>
        <v>54</v>
      </c>
      <c r="K20" s="35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>
      <c r="A21" s="35">
        <f t="shared" si="1"/>
        <v>23</v>
      </c>
      <c r="B21" s="4" t="s">
        <v>51</v>
      </c>
      <c r="C21" s="4">
        <v>1.0</v>
      </c>
      <c r="D21" s="4">
        <v>9.0</v>
      </c>
      <c r="E21" s="4">
        <v>13.0</v>
      </c>
      <c r="F21" s="4"/>
      <c r="G21" s="35"/>
      <c r="H21" s="35"/>
      <c r="I21" s="35"/>
      <c r="J21" s="35">
        <f t="shared" si="2"/>
        <v>58</v>
      </c>
      <c r="K21" s="35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>
      <c r="A22" s="35">
        <f t="shared" si="1"/>
        <v>23</v>
      </c>
      <c r="B22" s="4" t="s">
        <v>52</v>
      </c>
      <c r="C22" s="4">
        <v>3.0</v>
      </c>
      <c r="D22" s="4">
        <v>13.0</v>
      </c>
      <c r="E22" s="4">
        <v>7.0</v>
      </c>
      <c r="F22" s="35"/>
      <c r="G22" s="35"/>
      <c r="H22" s="35"/>
      <c r="I22" s="35"/>
      <c r="J22" s="35">
        <f t="shared" si="2"/>
        <v>50</v>
      </c>
      <c r="K22" s="35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35">
        <f t="shared" si="1"/>
        <v>23</v>
      </c>
      <c r="B23" s="4" t="s">
        <v>53</v>
      </c>
      <c r="C23" s="4">
        <v>10.0</v>
      </c>
      <c r="D23" s="4">
        <v>13.0</v>
      </c>
      <c r="E23" s="4"/>
      <c r="F23" s="4"/>
      <c r="G23" s="35"/>
      <c r="H23" s="35"/>
      <c r="I23" s="35"/>
      <c r="J23" s="35">
        <f t="shared" si="2"/>
        <v>36</v>
      </c>
      <c r="K23" s="35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35">
        <f t="shared" si="1"/>
        <v>23</v>
      </c>
      <c r="B24" s="4" t="s">
        <v>54</v>
      </c>
      <c r="C24" s="4">
        <v>1.0</v>
      </c>
      <c r="D24" s="4">
        <v>9.0</v>
      </c>
      <c r="E24" s="4">
        <v>13.0</v>
      </c>
      <c r="F24" s="4"/>
      <c r="G24" s="35"/>
      <c r="H24" s="35"/>
      <c r="I24" s="35"/>
      <c r="J24" s="35">
        <f t="shared" si="2"/>
        <v>58</v>
      </c>
      <c r="K24" s="35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>
      <c r="A25" s="35">
        <f t="shared" si="1"/>
        <v>23</v>
      </c>
      <c r="B25" s="4" t="s">
        <v>55</v>
      </c>
      <c r="C25" s="4">
        <v>1.0</v>
      </c>
      <c r="D25" s="4">
        <v>9.0</v>
      </c>
      <c r="E25" s="4">
        <v>13.0</v>
      </c>
      <c r="F25" s="4"/>
      <c r="G25" s="35"/>
      <c r="H25" s="35"/>
      <c r="I25" s="35"/>
      <c r="J25" s="35">
        <f t="shared" si="2"/>
        <v>58</v>
      </c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35">
        <f t="shared" si="1"/>
        <v>23</v>
      </c>
      <c r="B26" s="4" t="s">
        <v>56</v>
      </c>
      <c r="C26" s="4">
        <v>1.0</v>
      </c>
      <c r="D26" s="4">
        <v>9.0</v>
      </c>
      <c r="E26" s="4">
        <v>13.0</v>
      </c>
      <c r="F26" s="4"/>
      <c r="G26" s="35"/>
      <c r="H26" s="35"/>
      <c r="I26" s="35"/>
      <c r="J26" s="35">
        <f t="shared" si="2"/>
        <v>58</v>
      </c>
      <c r="K26" s="35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34"/>
      <c r="B27" s="39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34"/>
      <c r="B28" s="39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>
      <c r="A29" s="5" t="s">
        <v>61</v>
      </c>
      <c r="B29" s="2"/>
      <c r="C29" s="2"/>
      <c r="D29" s="2"/>
      <c r="E29" s="2"/>
      <c r="F29" s="2"/>
      <c r="G29" s="2"/>
      <c r="H29" s="2"/>
      <c r="I29" s="2"/>
      <c r="J29" s="2"/>
      <c r="K29" s="3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35"/>
      <c r="B30" s="35"/>
      <c r="C30" s="4" t="s">
        <v>28</v>
      </c>
      <c r="D30" s="4" t="s">
        <v>29</v>
      </c>
      <c r="E30" s="4" t="s">
        <v>30</v>
      </c>
      <c r="F30" s="4" t="s">
        <v>31</v>
      </c>
      <c r="G30" s="4" t="s">
        <v>32</v>
      </c>
      <c r="H30" s="4" t="s">
        <v>59</v>
      </c>
      <c r="I30" s="4" t="s">
        <v>60</v>
      </c>
      <c r="J30" s="35"/>
      <c r="K30" s="35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>
      <c r="A31" s="35">
        <f t="shared" ref="A31:A54" si="3">sum(C31:I31)</f>
        <v>23</v>
      </c>
      <c r="B31" s="4" t="s">
        <v>33</v>
      </c>
      <c r="C31" s="4">
        <v>1.0</v>
      </c>
      <c r="D31" s="4">
        <v>9.0</v>
      </c>
      <c r="E31" s="4">
        <v>13.0</v>
      </c>
      <c r="F31" s="4"/>
      <c r="G31" s="35"/>
      <c r="H31" s="35"/>
      <c r="I31" s="35"/>
      <c r="J31" s="35">
        <f t="shared" ref="J31:J54" si="4">C31+D31*2+E31*3+F31*4+G31*5+H31*6+I31*7</f>
        <v>58</v>
      </c>
      <c r="K31" s="35">
        <f>sum(J31:J54)/((24*24)-24)</f>
        <v>2.239130435</v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>
      <c r="A32" s="35">
        <f t="shared" si="3"/>
        <v>23</v>
      </c>
      <c r="B32" s="4" t="s">
        <v>34</v>
      </c>
      <c r="C32" s="4">
        <v>1.0</v>
      </c>
      <c r="D32" s="4">
        <v>9.0</v>
      </c>
      <c r="E32" s="4">
        <v>13.0</v>
      </c>
      <c r="F32" s="4"/>
      <c r="G32" s="35"/>
      <c r="H32" s="35"/>
      <c r="I32" s="35"/>
      <c r="J32" s="35">
        <f t="shared" si="4"/>
        <v>58</v>
      </c>
      <c r="K32" s="35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>
      <c r="A33" s="35">
        <f t="shared" si="3"/>
        <v>23</v>
      </c>
      <c r="B33" s="4" t="s">
        <v>35</v>
      </c>
      <c r="C33" s="4">
        <v>1.0</v>
      </c>
      <c r="D33" s="4">
        <v>9.0</v>
      </c>
      <c r="E33" s="4">
        <v>13.0</v>
      </c>
      <c r="F33" s="4"/>
      <c r="G33" s="35"/>
      <c r="H33" s="35"/>
      <c r="I33" s="35"/>
      <c r="J33" s="35">
        <f t="shared" si="4"/>
        <v>58</v>
      </c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>
      <c r="A34" s="35">
        <f t="shared" si="3"/>
        <v>23</v>
      </c>
      <c r="B34" s="4" t="s">
        <v>36</v>
      </c>
      <c r="C34" s="4">
        <v>1.0</v>
      </c>
      <c r="D34" s="4">
        <v>9.0</v>
      </c>
      <c r="E34" s="4">
        <v>13.0</v>
      </c>
      <c r="F34" s="4"/>
      <c r="G34" s="35"/>
      <c r="H34" s="35"/>
      <c r="I34" s="35"/>
      <c r="J34" s="35">
        <f t="shared" si="4"/>
        <v>58</v>
      </c>
      <c r="K34" s="35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>
      <c r="A35" s="35">
        <f t="shared" si="3"/>
        <v>23</v>
      </c>
      <c r="B35" s="4" t="s">
        <v>37</v>
      </c>
      <c r="C35" s="4">
        <v>1.0</v>
      </c>
      <c r="D35" s="4">
        <v>9.0</v>
      </c>
      <c r="E35" s="4">
        <v>13.0</v>
      </c>
      <c r="F35" s="4"/>
      <c r="G35" s="35"/>
      <c r="H35" s="35"/>
      <c r="I35" s="35"/>
      <c r="J35" s="35">
        <f t="shared" si="4"/>
        <v>58</v>
      </c>
      <c r="K35" s="35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>
      <c r="A36" s="35">
        <f t="shared" si="3"/>
        <v>23</v>
      </c>
      <c r="B36" s="4" t="s">
        <v>38</v>
      </c>
      <c r="C36" s="4">
        <v>10.0</v>
      </c>
      <c r="D36" s="4">
        <v>13.0</v>
      </c>
      <c r="E36" s="4"/>
      <c r="F36" s="4"/>
      <c r="G36" s="35"/>
      <c r="H36" s="35"/>
      <c r="I36" s="35"/>
      <c r="J36" s="35">
        <f t="shared" si="4"/>
        <v>36</v>
      </c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>
      <c r="A37" s="35">
        <f t="shared" si="3"/>
        <v>23</v>
      </c>
      <c r="B37" s="4" t="s">
        <v>39</v>
      </c>
      <c r="C37" s="4">
        <v>2.0</v>
      </c>
      <c r="D37" s="4">
        <v>11.0</v>
      </c>
      <c r="E37" s="4">
        <v>10.0</v>
      </c>
      <c r="F37" s="4"/>
      <c r="G37" s="35"/>
      <c r="H37" s="35"/>
      <c r="I37" s="35"/>
      <c r="J37" s="35">
        <f t="shared" si="4"/>
        <v>54</v>
      </c>
      <c r="K37" s="35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>
      <c r="A38" s="35">
        <f t="shared" si="3"/>
        <v>23</v>
      </c>
      <c r="B38" s="4" t="s">
        <v>40</v>
      </c>
      <c r="C38" s="4">
        <v>7.0</v>
      </c>
      <c r="D38" s="4">
        <v>16.0</v>
      </c>
      <c r="E38" s="4"/>
      <c r="F38" s="35"/>
      <c r="G38" s="35"/>
      <c r="H38" s="35"/>
      <c r="I38" s="35"/>
      <c r="J38" s="35">
        <f t="shared" si="4"/>
        <v>39</v>
      </c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>
      <c r="A39" s="35">
        <f t="shared" si="3"/>
        <v>23</v>
      </c>
      <c r="B39" s="4" t="s">
        <v>41</v>
      </c>
      <c r="C39" s="4">
        <v>2.0</v>
      </c>
      <c r="D39" s="4">
        <v>8.0</v>
      </c>
      <c r="E39" s="4">
        <v>13.0</v>
      </c>
      <c r="F39" s="4"/>
      <c r="G39" s="35"/>
      <c r="H39" s="35"/>
      <c r="I39" s="35"/>
      <c r="J39" s="35">
        <f t="shared" si="4"/>
        <v>57</v>
      </c>
      <c r="K39" s="35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>
      <c r="A40" s="35">
        <f t="shared" si="3"/>
        <v>23</v>
      </c>
      <c r="B40" s="4" t="s">
        <v>42</v>
      </c>
      <c r="C40" s="4">
        <v>2.0</v>
      </c>
      <c r="D40" s="4">
        <v>8.0</v>
      </c>
      <c r="E40" s="4">
        <v>13.0</v>
      </c>
      <c r="F40" s="35"/>
      <c r="G40" s="35"/>
      <c r="H40" s="35"/>
      <c r="I40" s="35"/>
      <c r="J40" s="35">
        <f t="shared" si="4"/>
        <v>57</v>
      </c>
      <c r="K40" s="35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>
      <c r="A41" s="35">
        <f t="shared" si="3"/>
        <v>23</v>
      </c>
      <c r="B41" s="4" t="s">
        <v>43</v>
      </c>
      <c r="C41" s="4">
        <v>2.0</v>
      </c>
      <c r="D41" s="4">
        <v>10.0</v>
      </c>
      <c r="E41" s="4">
        <v>11.0</v>
      </c>
      <c r="F41" s="4"/>
      <c r="G41" s="35"/>
      <c r="H41" s="35"/>
      <c r="I41" s="35"/>
      <c r="J41" s="35">
        <f t="shared" si="4"/>
        <v>55</v>
      </c>
      <c r="K41" s="35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>
      <c r="A42" s="35">
        <f t="shared" si="3"/>
        <v>23</v>
      </c>
      <c r="B42" s="4" t="s">
        <v>44</v>
      </c>
      <c r="C42" s="4">
        <v>8.0</v>
      </c>
      <c r="D42" s="4">
        <v>15.0</v>
      </c>
      <c r="E42" s="4"/>
      <c r="F42" s="35"/>
      <c r="G42" s="35"/>
      <c r="H42" s="35"/>
      <c r="I42" s="35"/>
      <c r="J42" s="35">
        <f t="shared" si="4"/>
        <v>38</v>
      </c>
      <c r="K42" s="35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>
      <c r="A43" s="35">
        <f t="shared" si="3"/>
        <v>23</v>
      </c>
      <c r="B43" s="4" t="s">
        <v>45</v>
      </c>
      <c r="C43" s="4">
        <v>3.0</v>
      </c>
      <c r="D43" s="4">
        <v>13.0</v>
      </c>
      <c r="E43" s="4">
        <v>7.0</v>
      </c>
      <c r="F43" s="35"/>
      <c r="G43" s="35"/>
      <c r="H43" s="35"/>
      <c r="I43" s="35"/>
      <c r="J43" s="35">
        <f t="shared" si="4"/>
        <v>50</v>
      </c>
      <c r="K43" s="35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>
      <c r="A44" s="35">
        <f t="shared" si="3"/>
        <v>23</v>
      </c>
      <c r="B44" s="4" t="s">
        <v>46</v>
      </c>
      <c r="C44" s="4">
        <v>1.0</v>
      </c>
      <c r="D44" s="4">
        <v>9.0</v>
      </c>
      <c r="E44" s="4">
        <v>13.0</v>
      </c>
      <c r="F44" s="4"/>
      <c r="G44" s="35"/>
      <c r="H44" s="35"/>
      <c r="I44" s="35"/>
      <c r="J44" s="35">
        <f t="shared" si="4"/>
        <v>58</v>
      </c>
      <c r="K44" s="35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>
      <c r="A45" s="35">
        <f t="shared" si="3"/>
        <v>23</v>
      </c>
      <c r="B45" s="4" t="s">
        <v>47</v>
      </c>
      <c r="C45" s="4">
        <v>10.0</v>
      </c>
      <c r="D45" s="4">
        <v>13.0</v>
      </c>
      <c r="E45" s="4"/>
      <c r="F45" s="35"/>
      <c r="G45" s="35"/>
      <c r="H45" s="35"/>
      <c r="I45" s="35"/>
      <c r="J45" s="35">
        <f t="shared" si="4"/>
        <v>36</v>
      </c>
      <c r="K45" s="35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>
      <c r="A46" s="35">
        <f t="shared" si="3"/>
        <v>23</v>
      </c>
      <c r="B46" s="4" t="s">
        <v>48</v>
      </c>
      <c r="C46" s="4">
        <v>2.0</v>
      </c>
      <c r="D46" s="4">
        <v>12.0</v>
      </c>
      <c r="E46" s="4">
        <v>9.0</v>
      </c>
      <c r="F46" s="4"/>
      <c r="G46" s="35"/>
      <c r="H46" s="35"/>
      <c r="I46" s="35"/>
      <c r="J46" s="35">
        <f t="shared" si="4"/>
        <v>53</v>
      </c>
      <c r="K46" s="35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>
      <c r="A47" s="35">
        <f t="shared" si="3"/>
        <v>23</v>
      </c>
      <c r="B47" s="4" t="s">
        <v>49</v>
      </c>
      <c r="C47" s="4">
        <v>12.0</v>
      </c>
      <c r="D47" s="4">
        <v>11.0</v>
      </c>
      <c r="E47" s="4"/>
      <c r="F47" s="35"/>
      <c r="G47" s="35"/>
      <c r="H47" s="35"/>
      <c r="I47" s="35"/>
      <c r="J47" s="35">
        <f t="shared" si="4"/>
        <v>34</v>
      </c>
      <c r="K47" s="35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>
      <c r="A48" s="35">
        <f t="shared" si="3"/>
        <v>23</v>
      </c>
      <c r="B48" s="4" t="s">
        <v>50</v>
      </c>
      <c r="C48" s="4">
        <v>1.0</v>
      </c>
      <c r="D48" s="4">
        <v>12.0</v>
      </c>
      <c r="E48" s="4">
        <v>10.0</v>
      </c>
      <c r="F48" s="4"/>
      <c r="G48" s="35"/>
      <c r="H48" s="35"/>
      <c r="I48" s="35"/>
      <c r="J48" s="35">
        <f t="shared" si="4"/>
        <v>55</v>
      </c>
      <c r="K48" s="35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>
      <c r="A49" s="35">
        <f t="shared" si="3"/>
        <v>23</v>
      </c>
      <c r="B49" s="4" t="s">
        <v>51</v>
      </c>
      <c r="C49" s="4">
        <v>2.0</v>
      </c>
      <c r="D49" s="4">
        <v>12.0</v>
      </c>
      <c r="E49" s="4">
        <v>9.0</v>
      </c>
      <c r="F49" s="4"/>
      <c r="G49" s="35"/>
      <c r="H49" s="35"/>
      <c r="I49" s="35"/>
      <c r="J49" s="35">
        <f t="shared" si="4"/>
        <v>53</v>
      </c>
      <c r="K49" s="35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>
      <c r="A50" s="35">
        <f t="shared" si="3"/>
        <v>23</v>
      </c>
      <c r="B50" s="4" t="s">
        <v>52</v>
      </c>
      <c r="C50" s="4">
        <v>1.0</v>
      </c>
      <c r="D50" s="4">
        <v>12.0</v>
      </c>
      <c r="E50" s="4">
        <v>10.0</v>
      </c>
      <c r="F50" s="35"/>
      <c r="G50" s="35"/>
      <c r="H50" s="35"/>
      <c r="I50" s="35"/>
      <c r="J50" s="35">
        <f t="shared" si="4"/>
        <v>55</v>
      </c>
      <c r="K50" s="35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>
      <c r="A51" s="35">
        <f t="shared" si="3"/>
        <v>23</v>
      </c>
      <c r="B51" s="4" t="s">
        <v>53</v>
      </c>
      <c r="C51" s="4">
        <v>2.0</v>
      </c>
      <c r="D51" s="4">
        <v>12.0</v>
      </c>
      <c r="E51" s="4">
        <v>9.0</v>
      </c>
      <c r="F51" s="4"/>
      <c r="G51" s="35"/>
      <c r="H51" s="35"/>
      <c r="I51" s="35"/>
      <c r="J51" s="35">
        <f t="shared" si="4"/>
        <v>53</v>
      </c>
      <c r="K51" s="35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>
      <c r="A52" s="35">
        <f t="shared" si="3"/>
        <v>23</v>
      </c>
      <c r="B52" s="4" t="s">
        <v>54</v>
      </c>
      <c r="C52" s="4">
        <v>1.0</v>
      </c>
      <c r="D52" s="4">
        <v>12.0</v>
      </c>
      <c r="E52" s="4">
        <v>10.0</v>
      </c>
      <c r="F52" s="4"/>
      <c r="G52" s="35"/>
      <c r="H52" s="35"/>
      <c r="I52" s="35"/>
      <c r="J52" s="35">
        <f t="shared" si="4"/>
        <v>55</v>
      </c>
      <c r="K52" s="35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>
      <c r="A53" s="35">
        <f t="shared" si="3"/>
        <v>23</v>
      </c>
      <c r="B53" s="4" t="s">
        <v>55</v>
      </c>
      <c r="C53" s="4">
        <v>2.0</v>
      </c>
      <c r="D53" s="4">
        <v>12.0</v>
      </c>
      <c r="E53" s="4">
        <v>9.0</v>
      </c>
      <c r="F53" s="4"/>
      <c r="G53" s="35"/>
      <c r="H53" s="35"/>
      <c r="I53" s="35"/>
      <c r="J53" s="35">
        <f t="shared" si="4"/>
        <v>53</v>
      </c>
      <c r="K53" s="35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>
      <c r="A54" s="35">
        <f t="shared" si="3"/>
        <v>23</v>
      </c>
      <c r="B54" s="4" t="s">
        <v>56</v>
      </c>
      <c r="C54" s="4">
        <v>1.0</v>
      </c>
      <c r="D54" s="4">
        <v>12.0</v>
      </c>
      <c r="E54" s="4">
        <v>10.0</v>
      </c>
      <c r="F54" s="4"/>
      <c r="G54" s="35"/>
      <c r="H54" s="35"/>
      <c r="I54" s="35"/>
      <c r="J54" s="35">
        <f t="shared" si="4"/>
        <v>55</v>
      </c>
      <c r="K54" s="35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>
      <c r="A57" s="5" t="s">
        <v>62</v>
      </c>
      <c r="B57" s="2"/>
      <c r="C57" s="2"/>
      <c r="D57" s="2"/>
      <c r="E57" s="2"/>
      <c r="F57" s="2"/>
      <c r="G57" s="2"/>
      <c r="H57" s="2"/>
      <c r="I57" s="2"/>
      <c r="J57" s="2"/>
      <c r="K57" s="3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>
      <c r="A58" s="35"/>
      <c r="B58" s="35"/>
      <c r="C58" s="4" t="s">
        <v>28</v>
      </c>
      <c r="D58" s="4" t="s">
        <v>29</v>
      </c>
      <c r="E58" s="4" t="s">
        <v>30</v>
      </c>
      <c r="F58" s="4" t="s">
        <v>31</v>
      </c>
      <c r="G58" s="4" t="s">
        <v>32</v>
      </c>
      <c r="H58" s="4" t="s">
        <v>59</v>
      </c>
      <c r="I58" s="4" t="s">
        <v>60</v>
      </c>
      <c r="J58" s="35"/>
      <c r="K58" s="35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>
      <c r="A59" s="35">
        <f t="shared" ref="A59:A82" si="5">sum(C59:I59)</f>
        <v>23</v>
      </c>
      <c r="B59" s="4" t="s">
        <v>33</v>
      </c>
      <c r="C59" s="4">
        <v>1.0</v>
      </c>
      <c r="D59" s="4">
        <v>8.0</v>
      </c>
      <c r="E59" s="4">
        <v>14.0</v>
      </c>
      <c r="F59" s="4"/>
      <c r="G59" s="35"/>
      <c r="H59" s="35"/>
      <c r="I59" s="35"/>
      <c r="J59" s="35">
        <f t="shared" ref="J59:J82" si="6">C59+D59*2+E59*3+F59*4+G59*5+H59*6+I59*7</f>
        <v>59</v>
      </c>
      <c r="K59" s="35">
        <f>sum(J59:J82)/((24*24)-24)</f>
        <v>2.210144928</v>
      </c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>
      <c r="A60" s="35">
        <f t="shared" si="5"/>
        <v>23</v>
      </c>
      <c r="B60" s="4" t="s">
        <v>34</v>
      </c>
      <c r="C60" s="4">
        <v>1.0</v>
      </c>
      <c r="D60" s="4">
        <v>8.0</v>
      </c>
      <c r="E60" s="4">
        <v>14.0</v>
      </c>
      <c r="F60" s="4"/>
      <c r="G60" s="35"/>
      <c r="H60" s="35"/>
      <c r="I60" s="35"/>
      <c r="J60" s="35">
        <f t="shared" si="6"/>
        <v>59</v>
      </c>
      <c r="K60" s="35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>
      <c r="A61" s="35">
        <f t="shared" si="5"/>
        <v>23</v>
      </c>
      <c r="B61" s="4" t="s">
        <v>35</v>
      </c>
      <c r="C61" s="4">
        <v>1.0</v>
      </c>
      <c r="D61" s="4">
        <v>8.0</v>
      </c>
      <c r="E61" s="4">
        <v>14.0</v>
      </c>
      <c r="F61" s="4"/>
      <c r="G61" s="35"/>
      <c r="H61" s="35"/>
      <c r="I61" s="35"/>
      <c r="J61" s="35">
        <f t="shared" si="6"/>
        <v>59</v>
      </c>
      <c r="K61" s="35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>
      <c r="A62" s="35">
        <f t="shared" si="5"/>
        <v>23</v>
      </c>
      <c r="B62" s="4" t="s">
        <v>36</v>
      </c>
      <c r="C62" s="4">
        <v>1.0</v>
      </c>
      <c r="D62" s="4">
        <v>8.0</v>
      </c>
      <c r="E62" s="4">
        <v>14.0</v>
      </c>
      <c r="F62" s="4"/>
      <c r="G62" s="35"/>
      <c r="H62" s="35"/>
      <c r="I62" s="35"/>
      <c r="J62" s="35">
        <f t="shared" si="6"/>
        <v>59</v>
      </c>
      <c r="K62" s="35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>
      <c r="A63" s="35">
        <f t="shared" si="5"/>
        <v>23</v>
      </c>
      <c r="B63" s="4" t="s">
        <v>37</v>
      </c>
      <c r="C63" s="4">
        <v>1.0</v>
      </c>
      <c r="D63" s="4">
        <v>8.0</v>
      </c>
      <c r="E63" s="4">
        <v>14.0</v>
      </c>
      <c r="F63" s="4"/>
      <c r="G63" s="35"/>
      <c r="H63" s="35"/>
      <c r="I63" s="35"/>
      <c r="J63" s="35">
        <f t="shared" si="6"/>
        <v>59</v>
      </c>
      <c r="K63" s="35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>
      <c r="A64" s="35">
        <f t="shared" si="5"/>
        <v>23</v>
      </c>
      <c r="B64" s="4" t="s">
        <v>38</v>
      </c>
      <c r="C64" s="4">
        <v>10.0</v>
      </c>
      <c r="D64" s="4">
        <v>13.0</v>
      </c>
      <c r="E64" s="4"/>
      <c r="F64" s="4"/>
      <c r="G64" s="35"/>
      <c r="H64" s="35"/>
      <c r="I64" s="35"/>
      <c r="J64" s="35">
        <f t="shared" si="6"/>
        <v>36</v>
      </c>
      <c r="K64" s="35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>
      <c r="A65" s="35">
        <f t="shared" si="5"/>
        <v>23</v>
      </c>
      <c r="B65" s="4" t="s">
        <v>39</v>
      </c>
      <c r="C65" s="4">
        <v>2.0</v>
      </c>
      <c r="D65" s="4">
        <v>12.0</v>
      </c>
      <c r="E65" s="4">
        <v>9.0</v>
      </c>
      <c r="F65" s="4"/>
      <c r="G65" s="35"/>
      <c r="H65" s="35"/>
      <c r="I65" s="35"/>
      <c r="J65" s="35">
        <f t="shared" si="6"/>
        <v>53</v>
      </c>
      <c r="K65" s="35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>
      <c r="A66" s="35">
        <f t="shared" si="5"/>
        <v>23</v>
      </c>
      <c r="B66" s="4" t="s">
        <v>40</v>
      </c>
      <c r="C66" s="4">
        <v>8.0</v>
      </c>
      <c r="D66" s="4">
        <v>15.0</v>
      </c>
      <c r="E66" s="4"/>
      <c r="F66" s="35"/>
      <c r="G66" s="35"/>
      <c r="H66" s="35"/>
      <c r="I66" s="35"/>
      <c r="J66" s="35">
        <f t="shared" si="6"/>
        <v>38</v>
      </c>
      <c r="K66" s="35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>
      <c r="A67" s="35">
        <f t="shared" si="5"/>
        <v>23</v>
      </c>
      <c r="B67" s="4" t="s">
        <v>41</v>
      </c>
      <c r="C67" s="4">
        <v>2.0</v>
      </c>
      <c r="D67" s="4">
        <v>7.0</v>
      </c>
      <c r="E67" s="4">
        <v>14.0</v>
      </c>
      <c r="F67" s="4"/>
      <c r="G67" s="35"/>
      <c r="H67" s="35"/>
      <c r="I67" s="35"/>
      <c r="J67" s="35">
        <f t="shared" si="6"/>
        <v>58</v>
      </c>
      <c r="K67" s="35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>
      <c r="A68" s="35">
        <f t="shared" si="5"/>
        <v>23</v>
      </c>
      <c r="B68" s="4" t="s">
        <v>42</v>
      </c>
      <c r="C68" s="4">
        <v>3.0</v>
      </c>
      <c r="D68" s="4">
        <v>11.0</v>
      </c>
      <c r="E68" s="4">
        <v>9.0</v>
      </c>
      <c r="F68" s="35"/>
      <c r="G68" s="35"/>
      <c r="H68" s="35"/>
      <c r="I68" s="35"/>
      <c r="J68" s="35">
        <f t="shared" si="6"/>
        <v>52</v>
      </c>
      <c r="K68" s="35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>
      <c r="A69" s="35">
        <f t="shared" si="5"/>
        <v>23</v>
      </c>
      <c r="B69" s="4" t="s">
        <v>43</v>
      </c>
      <c r="C69" s="4">
        <v>3.0</v>
      </c>
      <c r="D69" s="4">
        <v>12.0</v>
      </c>
      <c r="E69" s="4">
        <v>8.0</v>
      </c>
      <c r="F69" s="4"/>
      <c r="G69" s="35"/>
      <c r="H69" s="35"/>
      <c r="I69" s="35"/>
      <c r="J69" s="35">
        <f t="shared" si="6"/>
        <v>51</v>
      </c>
      <c r="K69" s="35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>
      <c r="A70" s="35">
        <f t="shared" si="5"/>
        <v>23</v>
      </c>
      <c r="B70" s="4" t="s">
        <v>44</v>
      </c>
      <c r="C70" s="4">
        <v>7.0</v>
      </c>
      <c r="D70" s="4">
        <v>16.0</v>
      </c>
      <c r="E70" s="4"/>
      <c r="F70" s="35"/>
      <c r="G70" s="35"/>
      <c r="H70" s="35"/>
      <c r="I70" s="35"/>
      <c r="J70" s="35">
        <f t="shared" si="6"/>
        <v>39</v>
      </c>
      <c r="K70" s="35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>
      <c r="A71" s="35">
        <f t="shared" si="5"/>
        <v>23</v>
      </c>
      <c r="B71" s="4" t="s">
        <v>45</v>
      </c>
      <c r="C71" s="4">
        <v>9.0</v>
      </c>
      <c r="D71" s="4">
        <v>14.0</v>
      </c>
      <c r="E71" s="4"/>
      <c r="F71" s="35"/>
      <c r="G71" s="35"/>
      <c r="H71" s="35"/>
      <c r="I71" s="35"/>
      <c r="J71" s="35">
        <f t="shared" si="6"/>
        <v>37</v>
      </c>
      <c r="K71" s="35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>
      <c r="A72" s="35">
        <f t="shared" si="5"/>
        <v>23</v>
      </c>
      <c r="B72" s="4" t="s">
        <v>46</v>
      </c>
      <c r="C72" s="4">
        <v>2.0</v>
      </c>
      <c r="D72" s="4">
        <v>14.0</v>
      </c>
      <c r="E72" s="4">
        <v>7.0</v>
      </c>
      <c r="F72" s="4"/>
      <c r="G72" s="35"/>
      <c r="H72" s="35"/>
      <c r="I72" s="35"/>
      <c r="J72" s="35">
        <f t="shared" si="6"/>
        <v>51</v>
      </c>
      <c r="K72" s="35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>
      <c r="A73" s="35">
        <f t="shared" si="5"/>
        <v>23</v>
      </c>
      <c r="B73" s="4" t="s">
        <v>47</v>
      </c>
      <c r="C73" s="4">
        <v>2.0</v>
      </c>
      <c r="D73" s="4">
        <v>14.0</v>
      </c>
      <c r="E73" s="4">
        <v>7.0</v>
      </c>
      <c r="F73" s="35"/>
      <c r="G73" s="35"/>
      <c r="H73" s="35"/>
      <c r="I73" s="35"/>
      <c r="J73" s="35">
        <f t="shared" si="6"/>
        <v>51</v>
      </c>
      <c r="K73" s="35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>
      <c r="A74" s="35">
        <f t="shared" si="5"/>
        <v>23</v>
      </c>
      <c r="B74" s="4" t="s">
        <v>48</v>
      </c>
      <c r="C74" s="4">
        <v>2.0</v>
      </c>
      <c r="D74" s="4">
        <v>14.0</v>
      </c>
      <c r="E74" s="4">
        <v>7.0</v>
      </c>
      <c r="F74" s="4"/>
      <c r="G74" s="35"/>
      <c r="H74" s="35"/>
      <c r="I74" s="35"/>
      <c r="J74" s="35">
        <f t="shared" si="6"/>
        <v>51</v>
      </c>
      <c r="K74" s="35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>
      <c r="A75" s="35">
        <f t="shared" si="5"/>
        <v>23</v>
      </c>
      <c r="B75" s="4" t="s">
        <v>49</v>
      </c>
      <c r="C75" s="4">
        <v>13.0</v>
      </c>
      <c r="D75" s="4">
        <v>10.0</v>
      </c>
      <c r="E75" s="4"/>
      <c r="F75" s="35"/>
      <c r="G75" s="35"/>
      <c r="H75" s="35"/>
      <c r="I75" s="35"/>
      <c r="J75" s="35">
        <f t="shared" si="6"/>
        <v>33</v>
      </c>
      <c r="K75" s="35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>
      <c r="A76" s="35">
        <f t="shared" si="5"/>
        <v>23</v>
      </c>
      <c r="B76" s="4" t="s">
        <v>50</v>
      </c>
      <c r="C76" s="4">
        <v>1.0</v>
      </c>
      <c r="D76" s="4">
        <v>13.0</v>
      </c>
      <c r="E76" s="4">
        <v>9.0</v>
      </c>
      <c r="F76" s="4"/>
      <c r="G76" s="35"/>
      <c r="H76" s="35"/>
      <c r="I76" s="35"/>
      <c r="J76" s="35">
        <f t="shared" si="6"/>
        <v>54</v>
      </c>
      <c r="K76" s="35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>
      <c r="A77" s="35">
        <f t="shared" si="5"/>
        <v>23</v>
      </c>
      <c r="B77" s="4" t="s">
        <v>51</v>
      </c>
      <c r="C77" s="4">
        <v>2.0</v>
      </c>
      <c r="D77" s="4">
        <v>14.0</v>
      </c>
      <c r="E77" s="4">
        <v>7.0</v>
      </c>
      <c r="F77" s="4"/>
      <c r="G77" s="35"/>
      <c r="H77" s="35"/>
      <c r="I77" s="35"/>
      <c r="J77" s="35">
        <f t="shared" si="6"/>
        <v>51</v>
      </c>
      <c r="K77" s="35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>
      <c r="A78" s="35">
        <f t="shared" si="5"/>
        <v>23</v>
      </c>
      <c r="B78" s="4" t="s">
        <v>52</v>
      </c>
      <c r="C78" s="4">
        <v>1.0</v>
      </c>
      <c r="D78" s="4">
        <v>13.0</v>
      </c>
      <c r="E78" s="4">
        <v>9.0</v>
      </c>
      <c r="F78" s="35"/>
      <c r="G78" s="35"/>
      <c r="H78" s="35"/>
      <c r="I78" s="35"/>
      <c r="J78" s="35">
        <f t="shared" si="6"/>
        <v>54</v>
      </c>
      <c r="K78" s="35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>
      <c r="A79" s="35">
        <f t="shared" si="5"/>
        <v>23</v>
      </c>
      <c r="B79" s="4" t="s">
        <v>53</v>
      </c>
      <c r="C79" s="4">
        <v>1.0</v>
      </c>
      <c r="D79" s="4">
        <v>13.0</v>
      </c>
      <c r="E79" s="4">
        <v>9.0</v>
      </c>
      <c r="F79" s="4"/>
      <c r="G79" s="35"/>
      <c r="H79" s="35"/>
      <c r="I79" s="35"/>
      <c r="J79" s="35">
        <f t="shared" si="6"/>
        <v>54</v>
      </c>
      <c r="K79" s="35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>
      <c r="A80" s="35">
        <f t="shared" si="5"/>
        <v>23</v>
      </c>
      <c r="B80" s="4" t="s">
        <v>54</v>
      </c>
      <c r="C80" s="4">
        <v>1.0</v>
      </c>
      <c r="D80" s="4">
        <v>13.0</v>
      </c>
      <c r="E80" s="4">
        <v>9.0</v>
      </c>
      <c r="F80" s="4"/>
      <c r="G80" s="35"/>
      <c r="H80" s="35"/>
      <c r="I80" s="35"/>
      <c r="J80" s="35">
        <f t="shared" si="6"/>
        <v>54</v>
      </c>
      <c r="K80" s="35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>
      <c r="A81" s="35">
        <f t="shared" si="5"/>
        <v>23</v>
      </c>
      <c r="B81" s="4" t="s">
        <v>55</v>
      </c>
      <c r="C81" s="4">
        <v>1.0</v>
      </c>
      <c r="D81" s="4">
        <v>13.0</v>
      </c>
      <c r="E81" s="4">
        <v>9.0</v>
      </c>
      <c r="F81" s="4"/>
      <c r="G81" s="35"/>
      <c r="H81" s="35"/>
      <c r="I81" s="35"/>
      <c r="J81" s="35">
        <f t="shared" si="6"/>
        <v>54</v>
      </c>
      <c r="K81" s="35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>
      <c r="A82" s="35">
        <f t="shared" si="5"/>
        <v>23</v>
      </c>
      <c r="B82" s="4" t="s">
        <v>56</v>
      </c>
      <c r="C82" s="4">
        <v>1.0</v>
      </c>
      <c r="D82" s="4">
        <v>13.0</v>
      </c>
      <c r="E82" s="4">
        <v>9.0</v>
      </c>
      <c r="F82" s="4"/>
      <c r="G82" s="35"/>
      <c r="H82" s="35"/>
      <c r="I82" s="35"/>
      <c r="J82" s="35">
        <f t="shared" si="6"/>
        <v>54</v>
      </c>
      <c r="K82" s="35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>
      <c r="A85" s="5" t="s">
        <v>58</v>
      </c>
      <c r="B85" s="2"/>
      <c r="C85" s="2"/>
      <c r="D85" s="2"/>
      <c r="E85" s="2"/>
      <c r="F85" s="2"/>
      <c r="G85" s="2"/>
      <c r="H85" s="2"/>
      <c r="I85" s="2"/>
      <c r="J85" s="2"/>
      <c r="K85" s="3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>
      <c r="A86" s="35"/>
      <c r="B86" s="35"/>
      <c r="C86" s="4" t="s">
        <v>28</v>
      </c>
      <c r="D86" s="4" t="s">
        <v>29</v>
      </c>
      <c r="E86" s="4" t="s">
        <v>30</v>
      </c>
      <c r="F86" s="4" t="s">
        <v>31</v>
      </c>
      <c r="G86" s="4" t="s">
        <v>32</v>
      </c>
      <c r="H86" s="4" t="s">
        <v>59</v>
      </c>
      <c r="I86" s="4" t="s">
        <v>60</v>
      </c>
      <c r="J86" s="35"/>
      <c r="K86" s="35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>
      <c r="A87" s="35">
        <f t="shared" ref="A87:A110" si="7">sum(C87:I87)</f>
        <v>23</v>
      </c>
      <c r="B87" s="4" t="s">
        <v>33</v>
      </c>
      <c r="C87" s="4">
        <v>1.0</v>
      </c>
      <c r="D87" s="4">
        <v>9.0</v>
      </c>
      <c r="E87" s="4">
        <v>13.0</v>
      </c>
      <c r="F87" s="4"/>
      <c r="G87" s="35"/>
      <c r="H87" s="35"/>
      <c r="I87" s="35"/>
      <c r="J87" s="35">
        <f t="shared" ref="J87:J110" si="8">C87+D87*2+E87*3+F87*4+G87*5+H87*6+I87*7</f>
        <v>58</v>
      </c>
      <c r="K87" s="35">
        <f>sum(J87:J110)/((24*24)-24)</f>
        <v>2.128623188</v>
      </c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>
      <c r="A88" s="35">
        <f t="shared" si="7"/>
        <v>23</v>
      </c>
      <c r="B88" s="4" t="s">
        <v>34</v>
      </c>
      <c r="C88" s="4">
        <v>1.0</v>
      </c>
      <c r="D88" s="4">
        <v>9.0</v>
      </c>
      <c r="E88" s="4">
        <v>13.0</v>
      </c>
      <c r="F88" s="4"/>
      <c r="G88" s="35"/>
      <c r="H88" s="35"/>
      <c r="I88" s="35"/>
      <c r="J88" s="35">
        <f t="shared" si="8"/>
        <v>58</v>
      </c>
      <c r="K88" s="35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>
      <c r="A89" s="35">
        <f t="shared" si="7"/>
        <v>23</v>
      </c>
      <c r="B89" s="4" t="s">
        <v>35</v>
      </c>
      <c r="C89" s="4">
        <v>2.0</v>
      </c>
      <c r="D89" s="4">
        <v>11.0</v>
      </c>
      <c r="E89" s="4">
        <v>10.0</v>
      </c>
      <c r="F89" s="4"/>
      <c r="G89" s="35"/>
      <c r="H89" s="35"/>
      <c r="I89" s="35"/>
      <c r="J89" s="35">
        <f t="shared" si="8"/>
        <v>54</v>
      </c>
      <c r="K89" s="35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>
      <c r="A90" s="35">
        <f t="shared" si="7"/>
        <v>23</v>
      </c>
      <c r="B90" s="4" t="s">
        <v>36</v>
      </c>
      <c r="C90" s="4">
        <v>1.0</v>
      </c>
      <c r="D90" s="4">
        <v>9.0</v>
      </c>
      <c r="E90" s="4">
        <v>13.0</v>
      </c>
      <c r="F90" s="4"/>
      <c r="G90" s="35"/>
      <c r="H90" s="35"/>
      <c r="I90" s="35"/>
      <c r="J90" s="35">
        <f t="shared" si="8"/>
        <v>58</v>
      </c>
      <c r="K90" s="35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>
      <c r="A91" s="35">
        <f t="shared" si="7"/>
        <v>23</v>
      </c>
      <c r="B91" s="4" t="s">
        <v>37</v>
      </c>
      <c r="C91" s="4">
        <v>1.0</v>
      </c>
      <c r="D91" s="4">
        <v>9.0</v>
      </c>
      <c r="E91" s="4">
        <v>13.0</v>
      </c>
      <c r="F91" s="4"/>
      <c r="G91" s="35"/>
      <c r="H91" s="35"/>
      <c r="I91" s="35"/>
      <c r="J91" s="35">
        <f t="shared" si="8"/>
        <v>58</v>
      </c>
      <c r="K91" s="35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>
      <c r="A92" s="35">
        <f t="shared" si="7"/>
        <v>23</v>
      </c>
      <c r="B92" s="4" t="s">
        <v>38</v>
      </c>
      <c r="C92" s="4">
        <v>11.0</v>
      </c>
      <c r="D92" s="4">
        <v>12.0</v>
      </c>
      <c r="E92" s="4"/>
      <c r="F92" s="4"/>
      <c r="G92" s="35"/>
      <c r="H92" s="35"/>
      <c r="I92" s="35"/>
      <c r="J92" s="35">
        <f t="shared" si="8"/>
        <v>35</v>
      </c>
      <c r="K92" s="35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>
      <c r="A93" s="35">
        <f t="shared" si="7"/>
        <v>23</v>
      </c>
      <c r="B93" s="4" t="s">
        <v>39</v>
      </c>
      <c r="C93" s="4">
        <v>2.0</v>
      </c>
      <c r="D93" s="4">
        <v>12.0</v>
      </c>
      <c r="E93" s="4">
        <v>9.0</v>
      </c>
      <c r="F93" s="4"/>
      <c r="G93" s="35"/>
      <c r="H93" s="35"/>
      <c r="I93" s="35"/>
      <c r="J93" s="35">
        <f t="shared" si="8"/>
        <v>53</v>
      </c>
      <c r="K93" s="35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>
      <c r="A94" s="35">
        <f t="shared" si="7"/>
        <v>23</v>
      </c>
      <c r="B94" s="4" t="s">
        <v>40</v>
      </c>
      <c r="C94" s="4">
        <v>8.0</v>
      </c>
      <c r="D94" s="4">
        <v>15.0</v>
      </c>
      <c r="E94" s="4"/>
      <c r="F94" s="35"/>
      <c r="G94" s="35"/>
      <c r="H94" s="35"/>
      <c r="I94" s="35"/>
      <c r="J94" s="35">
        <f t="shared" si="8"/>
        <v>38</v>
      </c>
      <c r="K94" s="35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>
      <c r="A95" s="35">
        <f t="shared" si="7"/>
        <v>23</v>
      </c>
      <c r="B95" s="4" t="s">
        <v>41</v>
      </c>
      <c r="C95" s="4">
        <v>3.0</v>
      </c>
      <c r="D95" s="4">
        <v>12.0</v>
      </c>
      <c r="E95" s="4">
        <v>8.0</v>
      </c>
      <c r="F95" s="4"/>
      <c r="G95" s="35"/>
      <c r="H95" s="35"/>
      <c r="I95" s="35"/>
      <c r="J95" s="35">
        <f t="shared" si="8"/>
        <v>51</v>
      </c>
      <c r="K95" s="35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>
      <c r="A96" s="35">
        <f t="shared" si="7"/>
        <v>23</v>
      </c>
      <c r="B96" s="4" t="s">
        <v>42</v>
      </c>
      <c r="C96" s="4">
        <v>5.0</v>
      </c>
      <c r="D96" s="4">
        <v>18.0</v>
      </c>
      <c r="E96" s="4"/>
      <c r="F96" s="35"/>
      <c r="G96" s="35"/>
      <c r="H96" s="35"/>
      <c r="I96" s="35"/>
      <c r="J96" s="35">
        <f t="shared" si="8"/>
        <v>41</v>
      </c>
      <c r="K96" s="35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>
      <c r="A97" s="35">
        <f t="shared" si="7"/>
        <v>23</v>
      </c>
      <c r="B97" s="4" t="s">
        <v>43</v>
      </c>
      <c r="C97" s="4">
        <v>3.0</v>
      </c>
      <c r="D97" s="4">
        <v>12.0</v>
      </c>
      <c r="E97" s="4">
        <v>8.0</v>
      </c>
      <c r="F97" s="4"/>
      <c r="G97" s="35"/>
      <c r="H97" s="35"/>
      <c r="I97" s="35"/>
      <c r="J97" s="35">
        <f t="shared" si="8"/>
        <v>51</v>
      </c>
      <c r="K97" s="35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>
      <c r="A98" s="35">
        <f t="shared" si="7"/>
        <v>23</v>
      </c>
      <c r="B98" s="4" t="s">
        <v>44</v>
      </c>
      <c r="C98" s="4">
        <v>8.0</v>
      </c>
      <c r="D98" s="4">
        <v>15.0</v>
      </c>
      <c r="E98" s="4"/>
      <c r="F98" s="35"/>
      <c r="G98" s="35"/>
      <c r="H98" s="35"/>
      <c r="I98" s="35"/>
      <c r="J98" s="35">
        <f t="shared" si="8"/>
        <v>38</v>
      </c>
      <c r="K98" s="35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>
      <c r="A99" s="35">
        <f t="shared" si="7"/>
        <v>23</v>
      </c>
      <c r="B99" s="4" t="s">
        <v>45</v>
      </c>
      <c r="C99" s="4">
        <v>10.0</v>
      </c>
      <c r="D99" s="4">
        <v>13.0</v>
      </c>
      <c r="E99" s="4"/>
      <c r="F99" s="35"/>
      <c r="G99" s="35"/>
      <c r="H99" s="35"/>
      <c r="I99" s="35"/>
      <c r="J99" s="35">
        <f t="shared" si="8"/>
        <v>36</v>
      </c>
      <c r="K99" s="35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>
      <c r="A100" s="35">
        <f t="shared" si="7"/>
        <v>23</v>
      </c>
      <c r="B100" s="4" t="s">
        <v>46</v>
      </c>
      <c r="C100" s="4">
        <v>2.0</v>
      </c>
      <c r="D100" s="4">
        <v>15.0</v>
      </c>
      <c r="E100" s="4">
        <v>6.0</v>
      </c>
      <c r="F100" s="4"/>
      <c r="G100" s="35"/>
      <c r="H100" s="35"/>
      <c r="I100" s="35"/>
      <c r="J100" s="35">
        <f t="shared" si="8"/>
        <v>50</v>
      </c>
      <c r="K100" s="35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>
      <c r="A101" s="35">
        <f t="shared" si="7"/>
        <v>23</v>
      </c>
      <c r="B101" s="4" t="s">
        <v>47</v>
      </c>
      <c r="C101" s="4">
        <v>2.0</v>
      </c>
      <c r="D101" s="4">
        <v>15.0</v>
      </c>
      <c r="E101" s="4">
        <v>6.0</v>
      </c>
      <c r="F101" s="35"/>
      <c r="G101" s="35"/>
      <c r="H101" s="35"/>
      <c r="I101" s="35"/>
      <c r="J101" s="35">
        <f t="shared" si="8"/>
        <v>50</v>
      </c>
      <c r="K101" s="35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>
      <c r="A102" s="35">
        <f t="shared" si="7"/>
        <v>23</v>
      </c>
      <c r="B102" s="4" t="s">
        <v>48</v>
      </c>
      <c r="C102" s="4">
        <v>2.0</v>
      </c>
      <c r="D102" s="4">
        <v>15.0</v>
      </c>
      <c r="E102" s="4">
        <v>6.0</v>
      </c>
      <c r="F102" s="4"/>
      <c r="G102" s="35"/>
      <c r="H102" s="35"/>
      <c r="I102" s="35"/>
      <c r="J102" s="35">
        <f t="shared" si="8"/>
        <v>50</v>
      </c>
      <c r="K102" s="35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>
      <c r="A103" s="35">
        <f t="shared" si="7"/>
        <v>23</v>
      </c>
      <c r="B103" s="4" t="s">
        <v>49</v>
      </c>
      <c r="C103" s="4">
        <v>15.0</v>
      </c>
      <c r="D103" s="4">
        <v>8.0</v>
      </c>
      <c r="E103" s="4"/>
      <c r="F103" s="35"/>
      <c r="G103" s="35"/>
      <c r="H103" s="35"/>
      <c r="I103" s="35"/>
      <c r="J103" s="35">
        <f t="shared" si="8"/>
        <v>31</v>
      </c>
      <c r="K103" s="35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>
      <c r="A104" s="35">
        <f t="shared" si="7"/>
        <v>23</v>
      </c>
      <c r="B104" s="4" t="s">
        <v>50</v>
      </c>
      <c r="C104" s="4">
        <v>1.0</v>
      </c>
      <c r="D104" s="4">
        <v>14.0</v>
      </c>
      <c r="E104" s="4">
        <v>8.0</v>
      </c>
      <c r="F104" s="4"/>
      <c r="G104" s="35"/>
      <c r="H104" s="35"/>
      <c r="I104" s="35"/>
      <c r="J104" s="35">
        <f t="shared" si="8"/>
        <v>53</v>
      </c>
      <c r="K104" s="35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>
      <c r="A105" s="35">
        <f t="shared" si="7"/>
        <v>23</v>
      </c>
      <c r="B105" s="4" t="s">
        <v>51</v>
      </c>
      <c r="C105" s="4">
        <v>2.0</v>
      </c>
      <c r="D105" s="4">
        <v>15.0</v>
      </c>
      <c r="E105" s="4">
        <v>6.0</v>
      </c>
      <c r="F105" s="4"/>
      <c r="G105" s="35"/>
      <c r="H105" s="35"/>
      <c r="I105" s="35"/>
      <c r="J105" s="35">
        <f t="shared" si="8"/>
        <v>50</v>
      </c>
      <c r="K105" s="35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>
      <c r="A106" s="35">
        <f t="shared" si="7"/>
        <v>23</v>
      </c>
      <c r="B106" s="4" t="s">
        <v>52</v>
      </c>
      <c r="C106" s="4">
        <v>1.0</v>
      </c>
      <c r="D106" s="4">
        <v>14.0</v>
      </c>
      <c r="E106" s="4">
        <v>8.0</v>
      </c>
      <c r="F106" s="35"/>
      <c r="G106" s="35"/>
      <c r="H106" s="35"/>
      <c r="I106" s="35"/>
      <c r="J106" s="35">
        <f t="shared" si="8"/>
        <v>53</v>
      </c>
      <c r="K106" s="35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>
      <c r="A107" s="35">
        <f t="shared" si="7"/>
        <v>23</v>
      </c>
      <c r="B107" s="4" t="s">
        <v>53</v>
      </c>
      <c r="C107" s="4">
        <v>2.0</v>
      </c>
      <c r="D107" s="4">
        <v>15.0</v>
      </c>
      <c r="E107" s="4">
        <v>6.0</v>
      </c>
      <c r="F107" s="4"/>
      <c r="G107" s="35"/>
      <c r="H107" s="35"/>
      <c r="I107" s="35"/>
      <c r="J107" s="35">
        <f t="shared" si="8"/>
        <v>50</v>
      </c>
      <c r="K107" s="35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>
      <c r="A108" s="35">
        <f t="shared" si="7"/>
        <v>23</v>
      </c>
      <c r="B108" s="4" t="s">
        <v>54</v>
      </c>
      <c r="C108" s="4">
        <v>1.0</v>
      </c>
      <c r="D108" s="4">
        <v>14.0</v>
      </c>
      <c r="E108" s="4">
        <v>8.0</v>
      </c>
      <c r="F108" s="4"/>
      <c r="G108" s="35"/>
      <c r="H108" s="35"/>
      <c r="I108" s="35"/>
      <c r="J108" s="35">
        <f t="shared" si="8"/>
        <v>53</v>
      </c>
      <c r="K108" s="35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>
      <c r="A109" s="35">
        <f t="shared" si="7"/>
        <v>23</v>
      </c>
      <c r="B109" s="4" t="s">
        <v>55</v>
      </c>
      <c r="C109" s="4">
        <v>1.0</v>
      </c>
      <c r="D109" s="4">
        <v>14.0</v>
      </c>
      <c r="E109" s="4">
        <v>8.0</v>
      </c>
      <c r="F109" s="4"/>
      <c r="G109" s="35"/>
      <c r="H109" s="35"/>
      <c r="I109" s="35"/>
      <c r="J109" s="35">
        <f t="shared" si="8"/>
        <v>53</v>
      </c>
      <c r="K109" s="35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>
      <c r="A110" s="35">
        <f t="shared" si="7"/>
        <v>23</v>
      </c>
      <c r="B110" s="4" t="s">
        <v>56</v>
      </c>
      <c r="C110" s="4">
        <v>1.0</v>
      </c>
      <c r="D110" s="4">
        <v>14.0</v>
      </c>
      <c r="E110" s="4">
        <v>8.0</v>
      </c>
      <c r="F110" s="4"/>
      <c r="G110" s="35"/>
      <c r="H110" s="35"/>
      <c r="I110" s="35"/>
      <c r="J110" s="35">
        <f t="shared" si="8"/>
        <v>53</v>
      </c>
      <c r="K110" s="35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</row>
  </sheetData>
  <mergeCells count="4">
    <mergeCell ref="A1:K1"/>
    <mergeCell ref="A29:K29"/>
    <mergeCell ref="A57:K57"/>
    <mergeCell ref="A85:K8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27</v>
      </c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>
      <c r="A2" s="35"/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59</v>
      </c>
      <c r="H2" s="4" t="s">
        <v>60</v>
      </c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>
      <c r="A3" s="4" t="s">
        <v>33</v>
      </c>
      <c r="B3" s="4">
        <v>1.0</v>
      </c>
      <c r="C3" s="4">
        <v>7.0</v>
      </c>
      <c r="D3" s="4">
        <v>6.0</v>
      </c>
      <c r="E3" s="4">
        <v>9.0</v>
      </c>
      <c r="F3" s="4"/>
      <c r="G3" s="35"/>
      <c r="H3" s="35"/>
      <c r="I3" s="35">
        <f t="shared" ref="I3:I26" si="1">sum(B3:H3)</f>
        <v>23</v>
      </c>
      <c r="J3" s="35">
        <f t="shared" ref="J3:J26" si="2">B3+C3*2+D3*3+E3*4+F3*5+G3*6+H3*7</f>
        <v>69</v>
      </c>
      <c r="K3" s="35">
        <f>sum(J3:J26)/(24*24)</f>
        <v>2.666666667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>
      <c r="A4" s="4" t="s">
        <v>34</v>
      </c>
      <c r="B4" s="4">
        <v>1.0</v>
      </c>
      <c r="C4" s="4">
        <v>7.0</v>
      </c>
      <c r="D4" s="4">
        <v>6.0</v>
      </c>
      <c r="E4" s="4">
        <v>9.0</v>
      </c>
      <c r="F4" s="4"/>
      <c r="G4" s="35"/>
      <c r="H4" s="35"/>
      <c r="I4" s="35">
        <f t="shared" si="1"/>
        <v>23</v>
      </c>
      <c r="J4" s="35">
        <f t="shared" si="2"/>
        <v>69</v>
      </c>
      <c r="K4" s="35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>
      <c r="A5" s="4" t="s">
        <v>35</v>
      </c>
      <c r="B5" s="4">
        <v>1.0</v>
      </c>
      <c r="C5" s="4">
        <v>7.0</v>
      </c>
      <c r="D5" s="4">
        <v>6.0</v>
      </c>
      <c r="E5" s="4">
        <v>9.0</v>
      </c>
      <c r="F5" s="4"/>
      <c r="G5" s="35"/>
      <c r="H5" s="35"/>
      <c r="I5" s="35">
        <f t="shared" si="1"/>
        <v>23</v>
      </c>
      <c r="J5" s="35">
        <f t="shared" si="2"/>
        <v>69</v>
      </c>
      <c r="K5" s="35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>
      <c r="A6" s="4" t="s">
        <v>36</v>
      </c>
      <c r="B6" s="4">
        <v>1.0</v>
      </c>
      <c r="C6" s="4">
        <v>7.0</v>
      </c>
      <c r="D6" s="4">
        <v>6.0</v>
      </c>
      <c r="E6" s="4">
        <v>9.0</v>
      </c>
      <c r="F6" s="4"/>
      <c r="G6" s="35"/>
      <c r="H6" s="35"/>
      <c r="I6" s="35">
        <f t="shared" si="1"/>
        <v>23</v>
      </c>
      <c r="J6" s="35">
        <f t="shared" si="2"/>
        <v>69</v>
      </c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>
      <c r="A7" s="4" t="s">
        <v>37</v>
      </c>
      <c r="B7" s="4">
        <v>1.0</v>
      </c>
      <c r="C7" s="4">
        <v>7.0</v>
      </c>
      <c r="D7" s="4">
        <v>6.0</v>
      </c>
      <c r="E7" s="4">
        <v>9.0</v>
      </c>
      <c r="F7" s="4"/>
      <c r="G7" s="35"/>
      <c r="H7" s="35"/>
      <c r="I7" s="35">
        <f t="shared" si="1"/>
        <v>23</v>
      </c>
      <c r="J7" s="35">
        <f t="shared" si="2"/>
        <v>69</v>
      </c>
      <c r="K7" s="35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>
      <c r="A8" s="4" t="s">
        <v>38</v>
      </c>
      <c r="B8" s="37">
        <v>8.0</v>
      </c>
      <c r="C8" s="37">
        <v>6.0</v>
      </c>
      <c r="D8" s="37">
        <v>9.0</v>
      </c>
      <c r="E8" s="4"/>
      <c r="F8" s="35"/>
      <c r="G8" s="35"/>
      <c r="H8" s="35"/>
      <c r="I8" s="35">
        <f t="shared" si="1"/>
        <v>23</v>
      </c>
      <c r="J8" s="35">
        <f t="shared" si="2"/>
        <v>47</v>
      </c>
      <c r="K8" s="35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>
      <c r="A9" s="4" t="s">
        <v>39</v>
      </c>
      <c r="B9" s="4">
        <v>1.0</v>
      </c>
      <c r="C9" s="4">
        <v>3.0</v>
      </c>
      <c r="D9" s="4">
        <v>10.0</v>
      </c>
      <c r="E9" s="4">
        <v>9.0</v>
      </c>
      <c r="F9" s="4"/>
      <c r="G9" s="35"/>
      <c r="H9" s="35"/>
      <c r="I9" s="35">
        <f t="shared" si="1"/>
        <v>23</v>
      </c>
      <c r="J9" s="35">
        <f t="shared" si="2"/>
        <v>73</v>
      </c>
      <c r="K9" s="35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>
      <c r="A10" s="4" t="s">
        <v>40</v>
      </c>
      <c r="B10" s="37">
        <v>4.0</v>
      </c>
      <c r="C10" s="37">
        <v>9.0</v>
      </c>
      <c r="D10" s="37">
        <v>9.0</v>
      </c>
      <c r="E10" s="4"/>
      <c r="F10" s="35"/>
      <c r="G10" s="35"/>
      <c r="H10" s="35"/>
      <c r="I10" s="35">
        <f t="shared" si="1"/>
        <v>22</v>
      </c>
      <c r="J10" s="35">
        <f t="shared" si="2"/>
        <v>49</v>
      </c>
      <c r="K10" s="35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>
      <c r="A11" s="4" t="s">
        <v>41</v>
      </c>
      <c r="B11" s="4">
        <v>1.0</v>
      </c>
      <c r="C11" s="4">
        <v>3.0</v>
      </c>
      <c r="D11" s="4">
        <v>10.0</v>
      </c>
      <c r="E11" s="4">
        <v>9.0</v>
      </c>
      <c r="F11" s="4"/>
      <c r="G11" s="35"/>
      <c r="H11" s="35"/>
      <c r="I11" s="35">
        <f t="shared" si="1"/>
        <v>23</v>
      </c>
      <c r="J11" s="35">
        <f t="shared" si="2"/>
        <v>73</v>
      </c>
      <c r="K11" s="35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>
      <c r="A12" s="4" t="s">
        <v>42</v>
      </c>
      <c r="B12" s="4">
        <v>1.0</v>
      </c>
      <c r="C12" s="37">
        <v>5.0</v>
      </c>
      <c r="D12" s="37">
        <v>17.0</v>
      </c>
      <c r="E12" s="4"/>
      <c r="F12" s="35"/>
      <c r="G12" s="35"/>
      <c r="H12" s="35"/>
      <c r="I12" s="35">
        <f t="shared" si="1"/>
        <v>23</v>
      </c>
      <c r="J12" s="35">
        <f t="shared" si="2"/>
        <v>62</v>
      </c>
      <c r="K12" s="35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>
      <c r="A13" s="4" t="s">
        <v>43</v>
      </c>
      <c r="B13" s="4">
        <v>1.0</v>
      </c>
      <c r="C13" s="4">
        <v>7.0</v>
      </c>
      <c r="D13" s="4">
        <v>6.0</v>
      </c>
      <c r="E13" s="4">
        <v>9.0</v>
      </c>
      <c r="F13" s="35"/>
      <c r="G13" s="35"/>
      <c r="H13" s="35"/>
      <c r="I13" s="35">
        <f t="shared" si="1"/>
        <v>23</v>
      </c>
      <c r="J13" s="35">
        <f t="shared" si="2"/>
        <v>69</v>
      </c>
      <c r="K13" s="35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>
      <c r="A14" s="4" t="s">
        <v>44</v>
      </c>
      <c r="B14" s="4">
        <v>1.0</v>
      </c>
      <c r="C14" s="37">
        <v>5.0</v>
      </c>
      <c r="D14" s="37">
        <v>17.0</v>
      </c>
      <c r="E14" s="35"/>
      <c r="F14" s="35"/>
      <c r="G14" s="35"/>
      <c r="H14" s="35"/>
      <c r="I14" s="35">
        <f t="shared" si="1"/>
        <v>23</v>
      </c>
      <c r="J14" s="35">
        <f t="shared" si="2"/>
        <v>62</v>
      </c>
      <c r="K14" s="35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>
      <c r="A15" s="4" t="s">
        <v>45</v>
      </c>
      <c r="B15" s="4">
        <v>6.0</v>
      </c>
      <c r="C15" s="4">
        <v>17.0</v>
      </c>
      <c r="D15" s="4"/>
      <c r="E15" s="35"/>
      <c r="F15" s="35"/>
      <c r="G15" s="35"/>
      <c r="H15" s="35"/>
      <c r="I15" s="35">
        <f t="shared" si="1"/>
        <v>23</v>
      </c>
      <c r="J15" s="35">
        <f t="shared" si="2"/>
        <v>40</v>
      </c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4" t="s">
        <v>46</v>
      </c>
      <c r="B16" s="4">
        <v>1.0</v>
      </c>
      <c r="C16" s="4">
        <v>4.0</v>
      </c>
      <c r="D16" s="4">
        <v>10.0</v>
      </c>
      <c r="E16" s="4">
        <v>8.0</v>
      </c>
      <c r="F16" s="35"/>
      <c r="G16" s="35"/>
      <c r="H16" s="35"/>
      <c r="I16" s="35">
        <f t="shared" si="1"/>
        <v>23</v>
      </c>
      <c r="J16" s="35">
        <f t="shared" si="2"/>
        <v>71</v>
      </c>
      <c r="K16" s="35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4" t="s">
        <v>47</v>
      </c>
      <c r="B17" s="4">
        <v>5.0</v>
      </c>
      <c r="C17" s="4">
        <v>10.0</v>
      </c>
      <c r="D17" s="4">
        <v>8.0</v>
      </c>
      <c r="E17" s="4"/>
      <c r="F17" s="35"/>
      <c r="G17" s="35"/>
      <c r="H17" s="35"/>
      <c r="I17" s="35">
        <f t="shared" si="1"/>
        <v>23</v>
      </c>
      <c r="J17" s="35">
        <f t="shared" si="2"/>
        <v>49</v>
      </c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4" t="s">
        <v>48</v>
      </c>
      <c r="B18" s="4">
        <v>1.0</v>
      </c>
      <c r="C18" s="4">
        <v>4.0</v>
      </c>
      <c r="D18" s="4">
        <v>10.0</v>
      </c>
      <c r="E18" s="4">
        <v>8.0</v>
      </c>
      <c r="F18" s="4"/>
      <c r="G18" s="35"/>
      <c r="H18" s="35"/>
      <c r="I18" s="35">
        <f t="shared" si="1"/>
        <v>23</v>
      </c>
      <c r="J18" s="35">
        <f t="shared" si="2"/>
        <v>71</v>
      </c>
      <c r="K18" s="35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4" t="s">
        <v>49</v>
      </c>
      <c r="B19" s="4">
        <v>8.0</v>
      </c>
      <c r="C19" s="4">
        <v>7.0</v>
      </c>
      <c r="D19" s="4">
        <v>8.0</v>
      </c>
      <c r="E19" s="35"/>
      <c r="F19" s="35"/>
      <c r="G19" s="35"/>
      <c r="H19" s="35"/>
      <c r="I19" s="35">
        <f t="shared" si="1"/>
        <v>23</v>
      </c>
      <c r="J19" s="35">
        <f t="shared" si="2"/>
        <v>46</v>
      </c>
      <c r="K19" s="35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>
      <c r="A20" s="4" t="s">
        <v>50</v>
      </c>
      <c r="B20" s="4">
        <v>1.0</v>
      </c>
      <c r="C20" s="4">
        <v>7.0</v>
      </c>
      <c r="D20" s="4">
        <v>7.0</v>
      </c>
      <c r="E20" s="4">
        <v>8.0</v>
      </c>
      <c r="F20" s="4"/>
      <c r="G20" s="35"/>
      <c r="H20" s="35"/>
      <c r="I20" s="35">
        <f t="shared" si="1"/>
        <v>23</v>
      </c>
      <c r="J20" s="35">
        <f t="shared" si="2"/>
        <v>68</v>
      </c>
      <c r="K20" s="35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>
      <c r="A21" s="4" t="s">
        <v>51</v>
      </c>
      <c r="B21" s="4">
        <v>1.0</v>
      </c>
      <c r="C21" s="4">
        <v>4.0</v>
      </c>
      <c r="D21" s="4">
        <v>10.0</v>
      </c>
      <c r="E21" s="4">
        <v>8.0</v>
      </c>
      <c r="F21" s="4"/>
      <c r="G21" s="35"/>
      <c r="H21" s="35"/>
      <c r="I21" s="35">
        <f t="shared" si="1"/>
        <v>23</v>
      </c>
      <c r="J21" s="35">
        <f t="shared" si="2"/>
        <v>71</v>
      </c>
      <c r="K21" s="35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>
      <c r="A22" s="4" t="s">
        <v>52</v>
      </c>
      <c r="B22" s="4">
        <v>1.0</v>
      </c>
      <c r="C22" s="4">
        <v>7.0</v>
      </c>
      <c r="D22" s="4">
        <v>7.0</v>
      </c>
      <c r="E22" s="4">
        <v>8.0</v>
      </c>
      <c r="F22" s="4"/>
      <c r="G22" s="35"/>
      <c r="H22" s="35"/>
      <c r="I22" s="35">
        <f t="shared" si="1"/>
        <v>23</v>
      </c>
      <c r="J22" s="35">
        <f t="shared" si="2"/>
        <v>68</v>
      </c>
      <c r="K22" s="35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4" t="s">
        <v>53</v>
      </c>
      <c r="B23" s="4">
        <v>1.0</v>
      </c>
      <c r="C23" s="4">
        <v>7.0</v>
      </c>
      <c r="D23" s="4">
        <v>7.0</v>
      </c>
      <c r="E23" s="4">
        <v>8.0</v>
      </c>
      <c r="F23" s="4"/>
      <c r="G23" s="35"/>
      <c r="H23" s="35"/>
      <c r="I23" s="35">
        <f t="shared" si="1"/>
        <v>23</v>
      </c>
      <c r="J23" s="35">
        <f t="shared" si="2"/>
        <v>68</v>
      </c>
      <c r="K23" s="35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4" t="s">
        <v>54</v>
      </c>
      <c r="B24" s="4">
        <v>1.0</v>
      </c>
      <c r="C24" s="4">
        <v>7.0</v>
      </c>
      <c r="D24" s="4">
        <v>7.0</v>
      </c>
      <c r="E24" s="4">
        <v>8.0</v>
      </c>
      <c r="F24" s="4"/>
      <c r="G24" s="35"/>
      <c r="H24" s="35"/>
      <c r="I24" s="35">
        <f t="shared" si="1"/>
        <v>23</v>
      </c>
      <c r="J24" s="35">
        <f t="shared" si="2"/>
        <v>68</v>
      </c>
      <c r="K24" s="35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>
      <c r="A25" s="4" t="s">
        <v>55</v>
      </c>
      <c r="B25" s="4">
        <v>1.0</v>
      </c>
      <c r="C25" s="4">
        <v>7.0</v>
      </c>
      <c r="D25" s="4">
        <v>7.0</v>
      </c>
      <c r="E25" s="4">
        <v>8.0</v>
      </c>
      <c r="F25" s="4"/>
      <c r="G25" s="35"/>
      <c r="H25" s="35"/>
      <c r="I25" s="35">
        <f t="shared" si="1"/>
        <v>23</v>
      </c>
      <c r="J25" s="35">
        <f t="shared" si="2"/>
        <v>68</v>
      </c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4" t="s">
        <v>56</v>
      </c>
      <c r="B26" s="4">
        <v>1.0</v>
      </c>
      <c r="C26" s="4">
        <v>7.0</v>
      </c>
      <c r="D26" s="4">
        <v>7.0</v>
      </c>
      <c r="E26" s="4">
        <v>8.0</v>
      </c>
      <c r="F26" s="4"/>
      <c r="G26" s="35"/>
      <c r="H26" s="35"/>
      <c r="I26" s="35">
        <f t="shared" si="1"/>
        <v>23</v>
      </c>
      <c r="J26" s="35">
        <f t="shared" si="2"/>
        <v>68</v>
      </c>
      <c r="K26" s="35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39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39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>
      <c r="A29" s="5" t="s">
        <v>61</v>
      </c>
      <c r="B29" s="2"/>
      <c r="C29" s="2"/>
      <c r="D29" s="2"/>
      <c r="E29" s="2"/>
      <c r="F29" s="2"/>
      <c r="G29" s="2"/>
      <c r="H29" s="2"/>
      <c r="I29" s="2"/>
      <c r="J29" s="2"/>
      <c r="K29" s="3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35"/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59</v>
      </c>
      <c r="H30" s="4" t="s">
        <v>60</v>
      </c>
      <c r="I30" s="35"/>
      <c r="J30" s="35"/>
      <c r="K30" s="35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>
      <c r="A31" s="4" t="s">
        <v>33</v>
      </c>
      <c r="B31" s="4">
        <v>1.0</v>
      </c>
      <c r="C31" s="4">
        <v>6.0</v>
      </c>
      <c r="D31" s="4">
        <v>6.0</v>
      </c>
      <c r="E31" s="4">
        <v>2.0</v>
      </c>
      <c r="F31" s="4">
        <v>8.0</v>
      </c>
      <c r="G31" s="35"/>
      <c r="H31" s="35"/>
      <c r="I31" s="35">
        <f t="shared" ref="I31:I54" si="3">sum(B31:H31)</f>
        <v>23</v>
      </c>
      <c r="J31" s="35">
        <f t="shared" ref="J31:J54" si="4">B31+C31*2+D31*3+E31*4+F31*5+G31*6+H31*7</f>
        <v>79</v>
      </c>
      <c r="K31" s="35">
        <f>sum(J31:J54)/(24*24)</f>
        <v>3.006944444</v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>
      <c r="A32" s="4" t="s">
        <v>34</v>
      </c>
      <c r="B32" s="4">
        <v>1.0</v>
      </c>
      <c r="C32" s="4">
        <v>6.0</v>
      </c>
      <c r="D32" s="4">
        <v>6.0</v>
      </c>
      <c r="E32" s="4">
        <v>2.0</v>
      </c>
      <c r="F32" s="4">
        <v>8.0</v>
      </c>
      <c r="G32" s="35"/>
      <c r="H32" s="35"/>
      <c r="I32" s="35">
        <f t="shared" si="3"/>
        <v>23</v>
      </c>
      <c r="J32" s="35">
        <f t="shared" si="4"/>
        <v>79</v>
      </c>
      <c r="K32" s="35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>
      <c r="A33" s="4" t="s">
        <v>35</v>
      </c>
      <c r="B33" s="4">
        <v>1.0</v>
      </c>
      <c r="C33" s="4">
        <v>6.0</v>
      </c>
      <c r="D33" s="4">
        <v>6.0</v>
      </c>
      <c r="E33" s="4">
        <v>2.0</v>
      </c>
      <c r="F33" s="4">
        <v>8.0</v>
      </c>
      <c r="G33" s="35"/>
      <c r="H33" s="35"/>
      <c r="I33" s="35">
        <f t="shared" si="3"/>
        <v>23</v>
      </c>
      <c r="J33" s="35">
        <f t="shared" si="4"/>
        <v>79</v>
      </c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>
      <c r="A34" s="4" t="s">
        <v>36</v>
      </c>
      <c r="B34" s="4">
        <v>1.0</v>
      </c>
      <c r="C34" s="4">
        <v>6.0</v>
      </c>
      <c r="D34" s="4">
        <v>6.0</v>
      </c>
      <c r="E34" s="4">
        <v>2.0</v>
      </c>
      <c r="F34" s="4">
        <v>8.0</v>
      </c>
      <c r="G34" s="35"/>
      <c r="H34" s="35"/>
      <c r="I34" s="35">
        <f t="shared" si="3"/>
        <v>23</v>
      </c>
      <c r="J34" s="35">
        <f t="shared" si="4"/>
        <v>79</v>
      </c>
      <c r="K34" s="35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>
      <c r="A35" s="4" t="s">
        <v>37</v>
      </c>
      <c r="B35" s="4">
        <v>1.0</v>
      </c>
      <c r="C35" s="4">
        <v>6.0</v>
      </c>
      <c r="D35" s="4">
        <v>6.0</v>
      </c>
      <c r="E35" s="4">
        <v>2.0</v>
      </c>
      <c r="F35" s="4">
        <v>8.0</v>
      </c>
      <c r="G35" s="35"/>
      <c r="H35" s="35"/>
      <c r="I35" s="35">
        <f t="shared" si="3"/>
        <v>23</v>
      </c>
      <c r="J35" s="35">
        <f t="shared" si="4"/>
        <v>79</v>
      </c>
      <c r="K35" s="35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>
      <c r="A36" s="4" t="s">
        <v>38</v>
      </c>
      <c r="B36" s="37">
        <v>7.0</v>
      </c>
      <c r="C36" s="37">
        <v>6.0</v>
      </c>
      <c r="D36" s="37">
        <v>2.0</v>
      </c>
      <c r="E36" s="4">
        <v>8.0</v>
      </c>
      <c r="F36" s="35"/>
      <c r="G36" s="35"/>
      <c r="H36" s="35"/>
      <c r="I36" s="35">
        <f t="shared" si="3"/>
        <v>23</v>
      </c>
      <c r="J36" s="35">
        <f t="shared" si="4"/>
        <v>57</v>
      </c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>
      <c r="A37" s="4" t="s">
        <v>39</v>
      </c>
      <c r="B37" s="4">
        <v>1.0</v>
      </c>
      <c r="C37" s="4">
        <v>3.0</v>
      </c>
      <c r="D37" s="4">
        <v>8.0</v>
      </c>
      <c r="E37" s="4">
        <v>3.0</v>
      </c>
      <c r="F37" s="4">
        <v>8.0</v>
      </c>
      <c r="G37" s="35"/>
      <c r="H37" s="35"/>
      <c r="I37" s="35">
        <f t="shared" si="3"/>
        <v>23</v>
      </c>
      <c r="J37" s="35">
        <f t="shared" si="4"/>
        <v>83</v>
      </c>
      <c r="K37" s="35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>
      <c r="A38" s="4" t="s">
        <v>40</v>
      </c>
      <c r="B38" s="37">
        <v>4.0</v>
      </c>
      <c r="C38" s="4">
        <v>8.0</v>
      </c>
      <c r="D38" s="4">
        <v>3.0</v>
      </c>
      <c r="E38" s="4">
        <v>8.0</v>
      </c>
      <c r="F38" s="35"/>
      <c r="G38" s="35"/>
      <c r="H38" s="35"/>
      <c r="I38" s="35">
        <f t="shared" si="3"/>
        <v>23</v>
      </c>
      <c r="J38" s="35">
        <f t="shared" si="4"/>
        <v>61</v>
      </c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>
      <c r="A39" s="4" t="s">
        <v>41</v>
      </c>
      <c r="B39" s="4">
        <v>1.0</v>
      </c>
      <c r="C39" s="4">
        <v>3.0</v>
      </c>
      <c r="D39" s="4">
        <v>8.0</v>
      </c>
      <c r="E39" s="4">
        <v>3.0</v>
      </c>
      <c r="F39" s="4">
        <v>8.0</v>
      </c>
      <c r="G39" s="35"/>
      <c r="H39" s="35"/>
      <c r="I39" s="35">
        <f t="shared" si="3"/>
        <v>23</v>
      </c>
      <c r="J39" s="35">
        <f t="shared" si="4"/>
        <v>83</v>
      </c>
      <c r="K39" s="35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>
      <c r="A40" s="4" t="s">
        <v>42</v>
      </c>
      <c r="B40" s="4">
        <v>1.0</v>
      </c>
      <c r="C40" s="4">
        <v>4.0</v>
      </c>
      <c r="D40" s="4">
        <v>10.0</v>
      </c>
      <c r="E40" s="4">
        <v>8.0</v>
      </c>
      <c r="F40" s="35"/>
      <c r="G40" s="35"/>
      <c r="H40" s="35"/>
      <c r="I40" s="35">
        <f t="shared" si="3"/>
        <v>23</v>
      </c>
      <c r="J40" s="35">
        <f t="shared" si="4"/>
        <v>71</v>
      </c>
      <c r="K40" s="35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>
      <c r="A41" s="4" t="s">
        <v>43</v>
      </c>
      <c r="B41" s="4">
        <v>1.0</v>
      </c>
      <c r="C41" s="4">
        <v>4.0</v>
      </c>
      <c r="D41" s="4">
        <v>10.0</v>
      </c>
      <c r="E41" s="4">
        <v>8.0</v>
      </c>
      <c r="F41" s="35"/>
      <c r="G41" s="35"/>
      <c r="H41" s="35"/>
      <c r="I41" s="35">
        <f t="shared" si="3"/>
        <v>23</v>
      </c>
      <c r="J41" s="35">
        <f t="shared" si="4"/>
        <v>71</v>
      </c>
      <c r="K41" s="35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>
      <c r="A42" s="4" t="s">
        <v>44</v>
      </c>
      <c r="B42" s="4">
        <v>5.0</v>
      </c>
      <c r="C42" s="4">
        <v>10.0</v>
      </c>
      <c r="D42" s="4">
        <v>8.0</v>
      </c>
      <c r="E42" s="35"/>
      <c r="F42" s="35"/>
      <c r="G42" s="35"/>
      <c r="H42" s="35"/>
      <c r="I42" s="35">
        <f t="shared" si="3"/>
        <v>23</v>
      </c>
      <c r="J42" s="35">
        <f t="shared" si="4"/>
        <v>49</v>
      </c>
      <c r="K42" s="35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>
      <c r="A43" s="4" t="s">
        <v>45</v>
      </c>
      <c r="B43" s="4">
        <v>4.0</v>
      </c>
      <c r="C43" s="4">
        <v>12.0</v>
      </c>
      <c r="D43" s="4">
        <v>7.0</v>
      </c>
      <c r="E43" s="35"/>
      <c r="F43" s="35"/>
      <c r="G43" s="35"/>
      <c r="H43" s="35"/>
      <c r="I43" s="35">
        <f t="shared" si="3"/>
        <v>23</v>
      </c>
      <c r="J43" s="35">
        <f t="shared" si="4"/>
        <v>49</v>
      </c>
      <c r="K43" s="35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>
      <c r="A44" s="4" t="s">
        <v>46</v>
      </c>
      <c r="B44" s="4">
        <v>1.0</v>
      </c>
      <c r="C44" s="4">
        <v>3.0</v>
      </c>
      <c r="D44" s="4">
        <v>12.0</v>
      </c>
      <c r="E44" s="4">
        <v>7.0</v>
      </c>
      <c r="F44" s="35"/>
      <c r="G44" s="35"/>
      <c r="H44" s="35"/>
      <c r="I44" s="35">
        <f t="shared" si="3"/>
        <v>23</v>
      </c>
      <c r="J44" s="35">
        <f t="shared" si="4"/>
        <v>71</v>
      </c>
      <c r="K44" s="35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>
      <c r="A45" s="4" t="s">
        <v>47</v>
      </c>
      <c r="B45" s="4">
        <v>1.0</v>
      </c>
      <c r="C45" s="4">
        <v>3.0</v>
      </c>
      <c r="D45" s="4">
        <v>12.0</v>
      </c>
      <c r="E45" s="4">
        <v>7.0</v>
      </c>
      <c r="F45" s="35"/>
      <c r="G45" s="35"/>
      <c r="H45" s="35"/>
      <c r="I45" s="35">
        <f t="shared" si="3"/>
        <v>23</v>
      </c>
      <c r="J45" s="35">
        <f t="shared" si="4"/>
        <v>71</v>
      </c>
      <c r="K45" s="35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>
      <c r="A46" s="4" t="s">
        <v>48</v>
      </c>
      <c r="B46" s="4">
        <v>1.0</v>
      </c>
      <c r="C46" s="4">
        <v>8.0</v>
      </c>
      <c r="D46" s="4">
        <v>3.0</v>
      </c>
      <c r="E46" s="4">
        <v>4.0</v>
      </c>
      <c r="F46" s="4">
        <v>7.0</v>
      </c>
      <c r="G46" s="35"/>
      <c r="H46" s="35"/>
      <c r="I46" s="35">
        <f t="shared" si="3"/>
        <v>23</v>
      </c>
      <c r="J46" s="35">
        <f t="shared" si="4"/>
        <v>77</v>
      </c>
      <c r="K46" s="35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>
      <c r="A47" s="4" t="s">
        <v>49</v>
      </c>
      <c r="B47" s="4">
        <v>9.0</v>
      </c>
      <c r="C47" s="4">
        <v>3.0</v>
      </c>
      <c r="D47" s="4">
        <v>4.0</v>
      </c>
      <c r="E47" s="4">
        <v>7.0</v>
      </c>
      <c r="F47" s="35"/>
      <c r="G47" s="35"/>
      <c r="H47" s="35"/>
      <c r="I47" s="35">
        <f t="shared" si="3"/>
        <v>23</v>
      </c>
      <c r="J47" s="35">
        <f t="shared" si="4"/>
        <v>55</v>
      </c>
      <c r="K47" s="35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>
      <c r="A48" s="4" t="s">
        <v>50</v>
      </c>
      <c r="B48" s="4">
        <v>1.0</v>
      </c>
      <c r="C48" s="4">
        <v>8.0</v>
      </c>
      <c r="D48" s="4">
        <v>3.0</v>
      </c>
      <c r="E48" s="4">
        <v>4.0</v>
      </c>
      <c r="F48" s="4">
        <v>7.0</v>
      </c>
      <c r="G48" s="35"/>
      <c r="H48" s="35"/>
      <c r="I48" s="35">
        <f t="shared" si="3"/>
        <v>23</v>
      </c>
      <c r="J48" s="35">
        <f t="shared" si="4"/>
        <v>77</v>
      </c>
      <c r="K48" s="35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>
      <c r="A49" s="4" t="s">
        <v>51</v>
      </c>
      <c r="B49" s="4">
        <v>1.0</v>
      </c>
      <c r="C49" s="4">
        <v>8.0</v>
      </c>
      <c r="D49" s="4">
        <v>3.0</v>
      </c>
      <c r="E49" s="4">
        <v>4.0</v>
      </c>
      <c r="F49" s="4">
        <v>7.0</v>
      </c>
      <c r="G49" s="35"/>
      <c r="H49" s="35"/>
      <c r="I49" s="35">
        <f t="shared" si="3"/>
        <v>23</v>
      </c>
      <c r="J49" s="35">
        <f t="shared" si="4"/>
        <v>77</v>
      </c>
      <c r="K49" s="35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>
      <c r="A50" s="4" t="s">
        <v>52</v>
      </c>
      <c r="B50" s="4">
        <v>1.0</v>
      </c>
      <c r="C50" s="4">
        <v>8.0</v>
      </c>
      <c r="D50" s="4">
        <v>3.0</v>
      </c>
      <c r="E50" s="4">
        <v>4.0</v>
      </c>
      <c r="F50" s="4">
        <v>7.0</v>
      </c>
      <c r="G50" s="35"/>
      <c r="H50" s="35"/>
      <c r="I50" s="35">
        <f t="shared" si="3"/>
        <v>23</v>
      </c>
      <c r="J50" s="35">
        <f t="shared" si="4"/>
        <v>77</v>
      </c>
      <c r="K50" s="35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>
      <c r="A51" s="4" t="s">
        <v>53</v>
      </c>
      <c r="B51" s="4">
        <v>1.0</v>
      </c>
      <c r="C51" s="4">
        <v>8.0</v>
      </c>
      <c r="D51" s="4">
        <v>3.0</v>
      </c>
      <c r="E51" s="4">
        <v>4.0</v>
      </c>
      <c r="F51" s="4">
        <v>7.0</v>
      </c>
      <c r="G51" s="35"/>
      <c r="H51" s="35"/>
      <c r="I51" s="35">
        <f t="shared" si="3"/>
        <v>23</v>
      </c>
      <c r="J51" s="35">
        <f t="shared" si="4"/>
        <v>77</v>
      </c>
      <c r="K51" s="35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>
      <c r="A52" s="4" t="s">
        <v>54</v>
      </c>
      <c r="B52" s="4">
        <v>1.0</v>
      </c>
      <c r="C52" s="4">
        <v>8.0</v>
      </c>
      <c r="D52" s="4">
        <v>3.0</v>
      </c>
      <c r="E52" s="4">
        <v>4.0</v>
      </c>
      <c r="F52" s="4">
        <v>7.0</v>
      </c>
      <c r="G52" s="35"/>
      <c r="H52" s="35"/>
      <c r="I52" s="35">
        <f t="shared" si="3"/>
        <v>23</v>
      </c>
      <c r="J52" s="35">
        <f t="shared" si="4"/>
        <v>77</v>
      </c>
      <c r="K52" s="35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>
      <c r="A53" s="4" t="s">
        <v>55</v>
      </c>
      <c r="B53" s="4">
        <v>1.0</v>
      </c>
      <c r="C53" s="4">
        <v>8.0</v>
      </c>
      <c r="D53" s="4">
        <v>3.0</v>
      </c>
      <c r="E53" s="4">
        <v>4.0</v>
      </c>
      <c r="F53" s="4">
        <v>7.0</v>
      </c>
      <c r="G53" s="35"/>
      <c r="H53" s="35"/>
      <c r="I53" s="35">
        <f t="shared" si="3"/>
        <v>23</v>
      </c>
      <c r="J53" s="35">
        <f t="shared" si="4"/>
        <v>77</v>
      </c>
      <c r="K53" s="35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>
      <c r="A54" s="4" t="s">
        <v>56</v>
      </c>
      <c r="B54" s="4">
        <v>1.0</v>
      </c>
      <c r="C54" s="4">
        <v>8.0</v>
      </c>
      <c r="D54" s="4">
        <v>3.0</v>
      </c>
      <c r="E54" s="4">
        <v>4.0</v>
      </c>
      <c r="F54" s="4">
        <v>7.0</v>
      </c>
      <c r="G54" s="35"/>
      <c r="H54" s="35"/>
      <c r="I54" s="35">
        <f t="shared" si="3"/>
        <v>23</v>
      </c>
      <c r="J54" s="35">
        <f t="shared" si="4"/>
        <v>77</v>
      </c>
      <c r="K54" s="35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>
      <c r="A57" s="5" t="s">
        <v>62</v>
      </c>
      <c r="B57" s="2"/>
      <c r="C57" s="2"/>
      <c r="D57" s="2"/>
      <c r="E57" s="2"/>
      <c r="F57" s="2"/>
      <c r="G57" s="2"/>
      <c r="H57" s="2"/>
      <c r="I57" s="2"/>
      <c r="J57" s="2"/>
      <c r="K57" s="3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>
      <c r="A58" s="35"/>
      <c r="B58" s="4" t="s">
        <v>28</v>
      </c>
      <c r="C58" s="4" t="s">
        <v>29</v>
      </c>
      <c r="D58" s="4" t="s">
        <v>30</v>
      </c>
      <c r="E58" s="4" t="s">
        <v>31</v>
      </c>
      <c r="F58" s="4" t="s">
        <v>32</v>
      </c>
      <c r="G58" s="4" t="s">
        <v>59</v>
      </c>
      <c r="H58" s="4" t="s">
        <v>60</v>
      </c>
      <c r="I58" s="35"/>
      <c r="J58" s="35"/>
      <c r="K58" s="35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>
      <c r="A59" s="4" t="s">
        <v>33</v>
      </c>
      <c r="B59" s="4">
        <v>1.0</v>
      </c>
      <c r="C59" s="4">
        <v>6.0</v>
      </c>
      <c r="D59" s="4">
        <v>6.0</v>
      </c>
      <c r="E59" s="4">
        <v>2.0</v>
      </c>
      <c r="F59" s="4">
        <v>8.0</v>
      </c>
      <c r="G59" s="35"/>
      <c r="H59" s="35"/>
      <c r="I59" s="35">
        <f t="shared" ref="I59:I82" si="5">sum(B59:H59)</f>
        <v>23</v>
      </c>
      <c r="J59" s="35">
        <f t="shared" ref="J59:J82" si="6">B59+C59*2+D59*3+E59*4+F59*5+G59*6+H59*7</f>
        <v>79</v>
      </c>
      <c r="K59" s="35">
        <f>sum(J59:J82)/(24*24)</f>
        <v>3.006944444</v>
      </c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>
      <c r="A60" s="4" t="s">
        <v>34</v>
      </c>
      <c r="B60" s="4">
        <v>1.0</v>
      </c>
      <c r="C60" s="4">
        <v>6.0</v>
      </c>
      <c r="D60" s="4">
        <v>6.0</v>
      </c>
      <c r="E60" s="4">
        <v>2.0</v>
      </c>
      <c r="F60" s="4">
        <v>8.0</v>
      </c>
      <c r="G60" s="35"/>
      <c r="H60" s="35"/>
      <c r="I60" s="35">
        <f t="shared" si="5"/>
        <v>23</v>
      </c>
      <c r="J60" s="35">
        <f t="shared" si="6"/>
        <v>79</v>
      </c>
      <c r="K60" s="35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>
      <c r="A61" s="4" t="s">
        <v>35</v>
      </c>
      <c r="B61" s="4">
        <v>1.0</v>
      </c>
      <c r="C61" s="4">
        <v>6.0</v>
      </c>
      <c r="D61" s="4">
        <v>6.0</v>
      </c>
      <c r="E61" s="4">
        <v>2.0</v>
      </c>
      <c r="F61" s="4">
        <v>8.0</v>
      </c>
      <c r="G61" s="35"/>
      <c r="H61" s="35"/>
      <c r="I61" s="35">
        <f t="shared" si="5"/>
        <v>23</v>
      </c>
      <c r="J61" s="35">
        <f t="shared" si="6"/>
        <v>79</v>
      </c>
      <c r="K61" s="35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>
      <c r="A62" s="4" t="s">
        <v>36</v>
      </c>
      <c r="B62" s="4">
        <v>1.0</v>
      </c>
      <c r="C62" s="4">
        <v>6.0</v>
      </c>
      <c r="D62" s="4">
        <v>6.0</v>
      </c>
      <c r="E62" s="4">
        <v>2.0</v>
      </c>
      <c r="F62" s="4">
        <v>8.0</v>
      </c>
      <c r="G62" s="35"/>
      <c r="H62" s="35"/>
      <c r="I62" s="35">
        <f t="shared" si="5"/>
        <v>23</v>
      </c>
      <c r="J62" s="35">
        <f t="shared" si="6"/>
        <v>79</v>
      </c>
      <c r="K62" s="35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>
      <c r="A63" s="4" t="s">
        <v>37</v>
      </c>
      <c r="B63" s="4">
        <v>1.0</v>
      </c>
      <c r="C63" s="4">
        <v>6.0</v>
      </c>
      <c r="D63" s="4">
        <v>6.0</v>
      </c>
      <c r="E63" s="4">
        <v>2.0</v>
      </c>
      <c r="F63" s="4">
        <v>8.0</v>
      </c>
      <c r="G63" s="35"/>
      <c r="H63" s="35"/>
      <c r="I63" s="35">
        <f t="shared" si="5"/>
        <v>23</v>
      </c>
      <c r="J63" s="35">
        <f t="shared" si="6"/>
        <v>79</v>
      </c>
      <c r="K63" s="35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>
      <c r="A64" s="4" t="s">
        <v>38</v>
      </c>
      <c r="B64" s="37">
        <v>7.0</v>
      </c>
      <c r="C64" s="37">
        <v>6.0</v>
      </c>
      <c r="D64" s="37">
        <v>2.0</v>
      </c>
      <c r="E64" s="4">
        <v>8.0</v>
      </c>
      <c r="F64" s="35"/>
      <c r="G64" s="35"/>
      <c r="H64" s="35"/>
      <c r="I64" s="35">
        <f t="shared" si="5"/>
        <v>23</v>
      </c>
      <c r="J64" s="35">
        <f t="shared" si="6"/>
        <v>57</v>
      </c>
      <c r="K64" s="35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>
      <c r="A65" s="4" t="s">
        <v>39</v>
      </c>
      <c r="B65" s="4">
        <v>1.0</v>
      </c>
      <c r="C65" s="4">
        <v>3.0</v>
      </c>
      <c r="D65" s="4">
        <v>8.0</v>
      </c>
      <c r="E65" s="4">
        <v>3.0</v>
      </c>
      <c r="F65" s="4">
        <v>8.0</v>
      </c>
      <c r="G65" s="35"/>
      <c r="H65" s="35"/>
      <c r="I65" s="35">
        <f t="shared" si="5"/>
        <v>23</v>
      </c>
      <c r="J65" s="35">
        <f t="shared" si="6"/>
        <v>83</v>
      </c>
      <c r="K65" s="35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>
      <c r="A66" s="4" t="s">
        <v>40</v>
      </c>
      <c r="B66" s="37">
        <v>4.0</v>
      </c>
      <c r="C66" s="4">
        <v>8.0</v>
      </c>
      <c r="D66" s="4">
        <v>3.0</v>
      </c>
      <c r="E66" s="4">
        <v>8.0</v>
      </c>
      <c r="F66" s="35"/>
      <c r="G66" s="35"/>
      <c r="H66" s="35"/>
      <c r="I66" s="35">
        <f t="shared" si="5"/>
        <v>23</v>
      </c>
      <c r="J66" s="35">
        <f t="shared" si="6"/>
        <v>61</v>
      </c>
      <c r="K66" s="35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>
      <c r="A67" s="4" t="s">
        <v>41</v>
      </c>
      <c r="B67" s="4">
        <v>1.0</v>
      </c>
      <c r="C67" s="4">
        <v>3.0</v>
      </c>
      <c r="D67" s="4">
        <v>8.0</v>
      </c>
      <c r="E67" s="4">
        <v>3.0</v>
      </c>
      <c r="F67" s="4">
        <v>8.0</v>
      </c>
      <c r="G67" s="35"/>
      <c r="H67" s="35"/>
      <c r="I67" s="35">
        <f t="shared" si="5"/>
        <v>23</v>
      </c>
      <c r="J67" s="35">
        <f t="shared" si="6"/>
        <v>83</v>
      </c>
      <c r="K67" s="35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>
      <c r="A68" s="4" t="s">
        <v>42</v>
      </c>
      <c r="B68" s="4">
        <v>1.0</v>
      </c>
      <c r="C68" s="4">
        <v>4.0</v>
      </c>
      <c r="D68" s="4">
        <v>10.0</v>
      </c>
      <c r="E68" s="4">
        <v>8.0</v>
      </c>
      <c r="F68" s="35"/>
      <c r="G68" s="35"/>
      <c r="H68" s="35"/>
      <c r="I68" s="35">
        <f t="shared" si="5"/>
        <v>23</v>
      </c>
      <c r="J68" s="35">
        <f t="shared" si="6"/>
        <v>71</v>
      </c>
      <c r="K68" s="35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>
      <c r="A69" s="4" t="s">
        <v>43</v>
      </c>
      <c r="B69" s="4">
        <v>1.0</v>
      </c>
      <c r="C69" s="4">
        <v>4.0</v>
      </c>
      <c r="D69" s="4">
        <v>10.0</v>
      </c>
      <c r="E69" s="4">
        <v>8.0</v>
      </c>
      <c r="F69" s="35"/>
      <c r="G69" s="35"/>
      <c r="H69" s="35"/>
      <c r="I69" s="35">
        <f t="shared" si="5"/>
        <v>23</v>
      </c>
      <c r="J69" s="35">
        <f t="shared" si="6"/>
        <v>71</v>
      </c>
      <c r="K69" s="35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>
      <c r="A70" s="4" t="s">
        <v>44</v>
      </c>
      <c r="B70" s="4">
        <v>5.0</v>
      </c>
      <c r="C70" s="4">
        <v>10.0</v>
      </c>
      <c r="D70" s="4">
        <v>8.0</v>
      </c>
      <c r="E70" s="35"/>
      <c r="F70" s="35"/>
      <c r="G70" s="35"/>
      <c r="H70" s="35"/>
      <c r="I70" s="35">
        <f t="shared" si="5"/>
        <v>23</v>
      </c>
      <c r="J70" s="35">
        <f t="shared" si="6"/>
        <v>49</v>
      </c>
      <c r="K70" s="35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>
      <c r="A71" s="4" t="s">
        <v>45</v>
      </c>
      <c r="B71" s="4">
        <v>4.0</v>
      </c>
      <c r="C71" s="4">
        <v>12.0</v>
      </c>
      <c r="D71" s="4">
        <v>7.0</v>
      </c>
      <c r="E71" s="35"/>
      <c r="F71" s="35"/>
      <c r="G71" s="35"/>
      <c r="H71" s="35"/>
      <c r="I71" s="35">
        <f t="shared" si="5"/>
        <v>23</v>
      </c>
      <c r="J71" s="35">
        <f t="shared" si="6"/>
        <v>49</v>
      </c>
      <c r="K71" s="35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>
      <c r="A72" s="4" t="s">
        <v>46</v>
      </c>
      <c r="B72" s="4">
        <v>1.0</v>
      </c>
      <c r="C72" s="4">
        <v>3.0</v>
      </c>
      <c r="D72" s="4">
        <v>12.0</v>
      </c>
      <c r="E72" s="4">
        <v>7.0</v>
      </c>
      <c r="F72" s="35"/>
      <c r="G72" s="35"/>
      <c r="H72" s="35"/>
      <c r="I72" s="35">
        <f t="shared" si="5"/>
        <v>23</v>
      </c>
      <c r="J72" s="35">
        <f t="shared" si="6"/>
        <v>71</v>
      </c>
      <c r="K72" s="35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>
      <c r="A73" s="4" t="s">
        <v>47</v>
      </c>
      <c r="B73" s="4">
        <v>1.0</v>
      </c>
      <c r="C73" s="4">
        <v>3.0</v>
      </c>
      <c r="D73" s="4">
        <v>12.0</v>
      </c>
      <c r="E73" s="4">
        <v>7.0</v>
      </c>
      <c r="F73" s="35"/>
      <c r="G73" s="35"/>
      <c r="H73" s="35"/>
      <c r="I73" s="35">
        <f t="shared" si="5"/>
        <v>23</v>
      </c>
      <c r="J73" s="35">
        <f t="shared" si="6"/>
        <v>71</v>
      </c>
      <c r="K73" s="35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>
      <c r="A74" s="4" t="s">
        <v>48</v>
      </c>
      <c r="B74" s="4">
        <v>1.0</v>
      </c>
      <c r="C74" s="4">
        <v>8.0</v>
      </c>
      <c r="D74" s="4">
        <v>3.0</v>
      </c>
      <c r="E74" s="4">
        <v>4.0</v>
      </c>
      <c r="F74" s="4">
        <v>7.0</v>
      </c>
      <c r="G74" s="35"/>
      <c r="H74" s="35"/>
      <c r="I74" s="35">
        <f t="shared" si="5"/>
        <v>23</v>
      </c>
      <c r="J74" s="35">
        <f t="shared" si="6"/>
        <v>77</v>
      </c>
      <c r="K74" s="35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>
      <c r="A75" s="4" t="s">
        <v>49</v>
      </c>
      <c r="B75" s="4">
        <v>9.0</v>
      </c>
      <c r="C75" s="4">
        <v>3.0</v>
      </c>
      <c r="D75" s="4">
        <v>4.0</v>
      </c>
      <c r="E75" s="4">
        <v>7.0</v>
      </c>
      <c r="F75" s="35"/>
      <c r="G75" s="35"/>
      <c r="H75" s="35"/>
      <c r="I75" s="35">
        <f t="shared" si="5"/>
        <v>23</v>
      </c>
      <c r="J75" s="35">
        <f t="shared" si="6"/>
        <v>55</v>
      </c>
      <c r="K75" s="35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>
      <c r="A76" s="4" t="s">
        <v>50</v>
      </c>
      <c r="B76" s="4">
        <v>1.0</v>
      </c>
      <c r="C76" s="4">
        <v>8.0</v>
      </c>
      <c r="D76" s="4">
        <v>3.0</v>
      </c>
      <c r="E76" s="4">
        <v>4.0</v>
      </c>
      <c r="F76" s="4">
        <v>7.0</v>
      </c>
      <c r="G76" s="35"/>
      <c r="H76" s="35"/>
      <c r="I76" s="35">
        <f t="shared" si="5"/>
        <v>23</v>
      </c>
      <c r="J76" s="35">
        <f t="shared" si="6"/>
        <v>77</v>
      </c>
      <c r="K76" s="35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>
      <c r="A77" s="4" t="s">
        <v>51</v>
      </c>
      <c r="B77" s="4">
        <v>1.0</v>
      </c>
      <c r="C77" s="4">
        <v>8.0</v>
      </c>
      <c r="D77" s="4">
        <v>3.0</v>
      </c>
      <c r="E77" s="4">
        <v>4.0</v>
      </c>
      <c r="F77" s="4">
        <v>7.0</v>
      </c>
      <c r="G77" s="35"/>
      <c r="H77" s="35"/>
      <c r="I77" s="35">
        <f t="shared" si="5"/>
        <v>23</v>
      </c>
      <c r="J77" s="35">
        <f t="shared" si="6"/>
        <v>77</v>
      </c>
      <c r="K77" s="35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>
      <c r="A78" s="4" t="s">
        <v>52</v>
      </c>
      <c r="B78" s="4">
        <v>1.0</v>
      </c>
      <c r="C78" s="4">
        <v>8.0</v>
      </c>
      <c r="D78" s="4">
        <v>3.0</v>
      </c>
      <c r="E78" s="4">
        <v>4.0</v>
      </c>
      <c r="F78" s="4">
        <v>7.0</v>
      </c>
      <c r="G78" s="35"/>
      <c r="H78" s="35"/>
      <c r="I78" s="35">
        <f t="shared" si="5"/>
        <v>23</v>
      </c>
      <c r="J78" s="35">
        <f t="shared" si="6"/>
        <v>77</v>
      </c>
      <c r="K78" s="35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>
      <c r="A79" s="4" t="s">
        <v>53</v>
      </c>
      <c r="B79" s="4">
        <v>1.0</v>
      </c>
      <c r="C79" s="4">
        <v>8.0</v>
      </c>
      <c r="D79" s="4">
        <v>3.0</v>
      </c>
      <c r="E79" s="4">
        <v>4.0</v>
      </c>
      <c r="F79" s="4">
        <v>7.0</v>
      </c>
      <c r="G79" s="35"/>
      <c r="H79" s="35"/>
      <c r="I79" s="35">
        <f t="shared" si="5"/>
        <v>23</v>
      </c>
      <c r="J79" s="35">
        <f t="shared" si="6"/>
        <v>77</v>
      </c>
      <c r="K79" s="35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>
      <c r="A80" s="4" t="s">
        <v>54</v>
      </c>
      <c r="B80" s="4">
        <v>1.0</v>
      </c>
      <c r="C80" s="4">
        <v>8.0</v>
      </c>
      <c r="D80" s="4">
        <v>3.0</v>
      </c>
      <c r="E80" s="4">
        <v>4.0</v>
      </c>
      <c r="F80" s="4">
        <v>7.0</v>
      </c>
      <c r="G80" s="35"/>
      <c r="H80" s="35"/>
      <c r="I80" s="35">
        <f t="shared" si="5"/>
        <v>23</v>
      </c>
      <c r="J80" s="35">
        <f t="shared" si="6"/>
        <v>77</v>
      </c>
      <c r="K80" s="35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>
      <c r="A81" s="4" t="s">
        <v>55</v>
      </c>
      <c r="B81" s="4">
        <v>1.0</v>
      </c>
      <c r="C81" s="4">
        <v>8.0</v>
      </c>
      <c r="D81" s="4">
        <v>3.0</v>
      </c>
      <c r="E81" s="4">
        <v>4.0</v>
      </c>
      <c r="F81" s="4">
        <v>7.0</v>
      </c>
      <c r="G81" s="35"/>
      <c r="H81" s="35"/>
      <c r="I81" s="35">
        <f t="shared" si="5"/>
        <v>23</v>
      </c>
      <c r="J81" s="35">
        <f t="shared" si="6"/>
        <v>77</v>
      </c>
      <c r="K81" s="35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>
      <c r="A82" s="4" t="s">
        <v>56</v>
      </c>
      <c r="B82" s="4">
        <v>1.0</v>
      </c>
      <c r="C82" s="4">
        <v>8.0</v>
      </c>
      <c r="D82" s="4">
        <v>3.0</v>
      </c>
      <c r="E82" s="4">
        <v>4.0</v>
      </c>
      <c r="F82" s="4">
        <v>7.0</v>
      </c>
      <c r="G82" s="35"/>
      <c r="H82" s="35"/>
      <c r="I82" s="35">
        <f t="shared" si="5"/>
        <v>23</v>
      </c>
      <c r="J82" s="35">
        <f t="shared" si="6"/>
        <v>77</v>
      </c>
      <c r="K82" s="35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>
      <c r="A85" s="5" t="s">
        <v>58</v>
      </c>
      <c r="B85" s="2"/>
      <c r="C85" s="2"/>
      <c r="D85" s="2"/>
      <c r="E85" s="2"/>
      <c r="F85" s="2"/>
      <c r="G85" s="2"/>
      <c r="H85" s="2"/>
      <c r="I85" s="2"/>
      <c r="J85" s="2"/>
      <c r="K85" s="3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>
      <c r="A86" s="35"/>
      <c r="B86" s="4" t="s">
        <v>28</v>
      </c>
      <c r="C86" s="4" t="s">
        <v>29</v>
      </c>
      <c r="D86" s="4" t="s">
        <v>30</v>
      </c>
      <c r="E86" s="4" t="s">
        <v>31</v>
      </c>
      <c r="F86" s="4" t="s">
        <v>32</v>
      </c>
      <c r="G86" s="4" t="s">
        <v>59</v>
      </c>
      <c r="H86" s="4" t="s">
        <v>60</v>
      </c>
      <c r="I86" s="35"/>
      <c r="J86" s="35"/>
      <c r="K86" s="35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>
      <c r="A87" s="4" t="s">
        <v>33</v>
      </c>
      <c r="B87" s="4">
        <v>1.0</v>
      </c>
      <c r="C87" s="4">
        <v>6.0</v>
      </c>
      <c r="D87" s="4">
        <v>5.0</v>
      </c>
      <c r="E87" s="4">
        <v>3.0</v>
      </c>
      <c r="F87" s="4">
        <v>8.0</v>
      </c>
      <c r="G87" s="35"/>
      <c r="H87" s="35"/>
      <c r="I87" s="35">
        <f t="shared" ref="I87:I110" si="7">sum(B87:H87)</f>
        <v>23</v>
      </c>
      <c r="J87" s="35">
        <f t="shared" ref="J87:J110" si="8">B87+C87*2+D87*3+E87*4+F87*5+G87*6+H87*7</f>
        <v>80</v>
      </c>
      <c r="K87" s="35">
        <f>sum(J87:J110)/(24*24)</f>
        <v>2.972222222</v>
      </c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>
      <c r="A88" s="4" t="s">
        <v>34</v>
      </c>
      <c r="B88" s="4">
        <v>1.0</v>
      </c>
      <c r="C88" s="4">
        <v>6.0</v>
      </c>
      <c r="D88" s="4">
        <v>5.0</v>
      </c>
      <c r="E88" s="4">
        <v>3.0</v>
      </c>
      <c r="F88" s="4">
        <v>8.0</v>
      </c>
      <c r="G88" s="35"/>
      <c r="H88" s="35"/>
      <c r="I88" s="35">
        <f t="shared" si="7"/>
        <v>23</v>
      </c>
      <c r="J88" s="35">
        <f t="shared" si="8"/>
        <v>80</v>
      </c>
      <c r="K88" s="35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>
      <c r="A89" s="4" t="s">
        <v>35</v>
      </c>
      <c r="B89" s="4">
        <v>1.0</v>
      </c>
      <c r="C89" s="4">
        <v>6.0</v>
      </c>
      <c r="D89" s="4">
        <v>5.0</v>
      </c>
      <c r="E89" s="4">
        <v>3.0</v>
      </c>
      <c r="F89" s="4">
        <v>8.0</v>
      </c>
      <c r="G89" s="35"/>
      <c r="H89" s="35"/>
      <c r="I89" s="35">
        <f t="shared" si="7"/>
        <v>23</v>
      </c>
      <c r="J89" s="35">
        <f t="shared" si="8"/>
        <v>80</v>
      </c>
      <c r="K89" s="35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>
      <c r="A90" s="4" t="s">
        <v>36</v>
      </c>
      <c r="B90" s="4">
        <v>1.0</v>
      </c>
      <c r="C90" s="4">
        <v>6.0</v>
      </c>
      <c r="D90" s="4">
        <v>5.0</v>
      </c>
      <c r="E90" s="4">
        <v>3.0</v>
      </c>
      <c r="F90" s="4">
        <v>8.0</v>
      </c>
      <c r="G90" s="35"/>
      <c r="H90" s="35"/>
      <c r="I90" s="35">
        <f t="shared" si="7"/>
        <v>23</v>
      </c>
      <c r="J90" s="35">
        <f t="shared" si="8"/>
        <v>80</v>
      </c>
      <c r="K90" s="35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>
      <c r="A91" s="4" t="s">
        <v>37</v>
      </c>
      <c r="B91" s="4">
        <v>1.0</v>
      </c>
      <c r="C91" s="4">
        <v>6.0</v>
      </c>
      <c r="D91" s="4">
        <v>5.0</v>
      </c>
      <c r="E91" s="4">
        <v>3.0</v>
      </c>
      <c r="F91" s="4">
        <v>8.0</v>
      </c>
      <c r="G91" s="35"/>
      <c r="H91" s="35"/>
      <c r="I91" s="35">
        <f t="shared" si="7"/>
        <v>23</v>
      </c>
      <c r="J91" s="35">
        <f t="shared" si="8"/>
        <v>80</v>
      </c>
      <c r="K91" s="35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>
      <c r="A92" s="4" t="s">
        <v>38</v>
      </c>
      <c r="B92" s="37">
        <v>7.0</v>
      </c>
      <c r="C92" s="37">
        <v>5.0</v>
      </c>
      <c r="D92" s="37">
        <v>3.0</v>
      </c>
      <c r="E92" s="4">
        <v>8.0</v>
      </c>
      <c r="F92" s="35"/>
      <c r="G92" s="35"/>
      <c r="H92" s="35"/>
      <c r="I92" s="35">
        <f t="shared" si="7"/>
        <v>23</v>
      </c>
      <c r="J92" s="35">
        <f t="shared" si="8"/>
        <v>58</v>
      </c>
      <c r="K92" s="35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>
      <c r="A93" s="4" t="s">
        <v>39</v>
      </c>
      <c r="B93" s="4">
        <v>1.0</v>
      </c>
      <c r="C93" s="4">
        <v>2.0</v>
      </c>
      <c r="D93" s="4">
        <v>9.0</v>
      </c>
      <c r="E93" s="4">
        <v>3.0</v>
      </c>
      <c r="F93" s="4">
        <v>8.0</v>
      </c>
      <c r="G93" s="35"/>
      <c r="H93" s="35"/>
      <c r="I93" s="35">
        <f t="shared" si="7"/>
        <v>23</v>
      </c>
      <c r="J93" s="35">
        <f t="shared" si="8"/>
        <v>84</v>
      </c>
      <c r="K93" s="35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>
      <c r="A94" s="4" t="s">
        <v>40</v>
      </c>
      <c r="B94" s="37">
        <v>3.0</v>
      </c>
      <c r="C94" s="4">
        <v>9.0</v>
      </c>
      <c r="D94" s="4">
        <v>3.0</v>
      </c>
      <c r="E94" s="4">
        <v>8.0</v>
      </c>
      <c r="F94" s="35"/>
      <c r="G94" s="35"/>
      <c r="H94" s="35"/>
      <c r="I94" s="35">
        <f t="shared" si="7"/>
        <v>23</v>
      </c>
      <c r="J94" s="35">
        <f t="shared" si="8"/>
        <v>62</v>
      </c>
      <c r="K94" s="35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>
      <c r="A95" s="4" t="s">
        <v>41</v>
      </c>
      <c r="B95" s="4">
        <v>1.0</v>
      </c>
      <c r="C95" s="4">
        <v>5.0</v>
      </c>
      <c r="D95" s="4">
        <v>9.0</v>
      </c>
      <c r="E95" s="4">
        <v>8.0</v>
      </c>
      <c r="F95" s="4"/>
      <c r="G95" s="35"/>
      <c r="H95" s="35"/>
      <c r="I95" s="35">
        <f t="shared" si="7"/>
        <v>23</v>
      </c>
      <c r="J95" s="35">
        <f t="shared" si="8"/>
        <v>70</v>
      </c>
      <c r="K95" s="35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>
      <c r="A96" s="4" t="s">
        <v>42</v>
      </c>
      <c r="B96" s="4">
        <v>1.0</v>
      </c>
      <c r="C96" s="4">
        <v>5.0</v>
      </c>
      <c r="D96" s="4">
        <v>9.0</v>
      </c>
      <c r="E96" s="4">
        <v>8.0</v>
      </c>
      <c r="F96" s="35"/>
      <c r="G96" s="35"/>
      <c r="H96" s="35"/>
      <c r="I96" s="35">
        <f t="shared" si="7"/>
        <v>23</v>
      </c>
      <c r="J96" s="35">
        <f t="shared" si="8"/>
        <v>70</v>
      </c>
      <c r="K96" s="35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>
      <c r="A97" s="4" t="s">
        <v>43</v>
      </c>
      <c r="B97" s="4">
        <v>1.0</v>
      </c>
      <c r="C97" s="4">
        <v>5.0</v>
      </c>
      <c r="D97" s="4">
        <v>9.0</v>
      </c>
      <c r="E97" s="4">
        <v>8.0</v>
      </c>
      <c r="F97" s="35"/>
      <c r="G97" s="35"/>
      <c r="H97" s="35"/>
      <c r="I97" s="35">
        <f t="shared" si="7"/>
        <v>23</v>
      </c>
      <c r="J97" s="35">
        <f t="shared" si="8"/>
        <v>70</v>
      </c>
      <c r="K97" s="35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>
      <c r="A98" s="4" t="s">
        <v>44</v>
      </c>
      <c r="B98" s="4">
        <v>6.0</v>
      </c>
      <c r="C98" s="4">
        <v>9.0</v>
      </c>
      <c r="D98" s="4">
        <v>8.0</v>
      </c>
      <c r="E98" s="35"/>
      <c r="F98" s="35"/>
      <c r="G98" s="35"/>
      <c r="H98" s="35"/>
      <c r="I98" s="35">
        <f t="shared" si="7"/>
        <v>23</v>
      </c>
      <c r="J98" s="35">
        <f t="shared" si="8"/>
        <v>48</v>
      </c>
      <c r="K98" s="35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>
      <c r="A99" s="4" t="s">
        <v>45</v>
      </c>
      <c r="B99" s="4">
        <v>4.0</v>
      </c>
      <c r="C99" s="4">
        <v>13.0</v>
      </c>
      <c r="D99" s="4">
        <v>6.0</v>
      </c>
      <c r="E99" s="35"/>
      <c r="F99" s="35"/>
      <c r="G99" s="35"/>
      <c r="H99" s="35"/>
      <c r="I99" s="35">
        <f t="shared" si="7"/>
        <v>23</v>
      </c>
      <c r="J99" s="35">
        <f t="shared" si="8"/>
        <v>48</v>
      </c>
      <c r="K99" s="35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>
      <c r="A100" s="4" t="s">
        <v>46</v>
      </c>
      <c r="B100" s="4">
        <v>1.0</v>
      </c>
      <c r="C100" s="4">
        <v>3.0</v>
      </c>
      <c r="D100" s="4">
        <v>13.0</v>
      </c>
      <c r="E100" s="4">
        <v>6.0</v>
      </c>
      <c r="F100" s="35"/>
      <c r="G100" s="35"/>
      <c r="H100" s="35"/>
      <c r="I100" s="35">
        <f t="shared" si="7"/>
        <v>23</v>
      </c>
      <c r="J100" s="35">
        <f t="shared" si="8"/>
        <v>70</v>
      </c>
      <c r="K100" s="35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>
      <c r="A101" s="4" t="s">
        <v>47</v>
      </c>
      <c r="B101" s="4">
        <v>1.0</v>
      </c>
      <c r="C101" s="4">
        <v>3.0</v>
      </c>
      <c r="D101" s="4">
        <v>13.0</v>
      </c>
      <c r="E101" s="4">
        <v>6.0</v>
      </c>
      <c r="F101" s="35"/>
      <c r="G101" s="35"/>
      <c r="H101" s="35"/>
      <c r="I101" s="35">
        <f t="shared" si="7"/>
        <v>23</v>
      </c>
      <c r="J101" s="35">
        <f t="shared" si="8"/>
        <v>70</v>
      </c>
      <c r="K101" s="35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>
      <c r="A102" s="4" t="s">
        <v>48</v>
      </c>
      <c r="B102" s="4">
        <v>1.0</v>
      </c>
      <c r="C102" s="4">
        <v>8.0</v>
      </c>
      <c r="D102" s="4">
        <v>3.0</v>
      </c>
      <c r="E102" s="4">
        <v>5.0</v>
      </c>
      <c r="F102" s="4">
        <v>6.0</v>
      </c>
      <c r="G102" s="35"/>
      <c r="H102" s="35"/>
      <c r="I102" s="35">
        <f t="shared" si="7"/>
        <v>23</v>
      </c>
      <c r="J102" s="35">
        <f t="shared" si="8"/>
        <v>76</v>
      </c>
      <c r="K102" s="35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>
      <c r="A103" s="4" t="s">
        <v>49</v>
      </c>
      <c r="B103" s="4">
        <v>9.0</v>
      </c>
      <c r="C103" s="4">
        <v>3.0</v>
      </c>
      <c r="D103" s="4">
        <v>5.0</v>
      </c>
      <c r="E103" s="4">
        <v>6.0</v>
      </c>
      <c r="F103" s="35"/>
      <c r="G103" s="35"/>
      <c r="H103" s="35"/>
      <c r="I103" s="35">
        <f t="shared" si="7"/>
        <v>23</v>
      </c>
      <c r="J103" s="35">
        <f t="shared" si="8"/>
        <v>54</v>
      </c>
      <c r="K103" s="35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>
      <c r="A104" s="4" t="s">
        <v>50</v>
      </c>
      <c r="B104" s="4">
        <v>1.0</v>
      </c>
      <c r="C104" s="4">
        <v>8.0</v>
      </c>
      <c r="D104" s="4">
        <v>3.0</v>
      </c>
      <c r="E104" s="4">
        <v>5.0</v>
      </c>
      <c r="F104" s="4">
        <v>6.0</v>
      </c>
      <c r="G104" s="35"/>
      <c r="H104" s="35"/>
      <c r="I104" s="35">
        <f t="shared" si="7"/>
        <v>23</v>
      </c>
      <c r="J104" s="35">
        <f t="shared" si="8"/>
        <v>76</v>
      </c>
      <c r="K104" s="35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>
      <c r="A105" s="4" t="s">
        <v>51</v>
      </c>
      <c r="B105" s="4">
        <v>1.0</v>
      </c>
      <c r="C105" s="4">
        <v>8.0</v>
      </c>
      <c r="D105" s="4">
        <v>3.0</v>
      </c>
      <c r="E105" s="4">
        <v>5.0</v>
      </c>
      <c r="F105" s="4">
        <v>6.0</v>
      </c>
      <c r="G105" s="35"/>
      <c r="H105" s="35"/>
      <c r="I105" s="35">
        <f t="shared" si="7"/>
        <v>23</v>
      </c>
      <c r="J105" s="35">
        <f t="shared" si="8"/>
        <v>76</v>
      </c>
      <c r="K105" s="35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>
      <c r="A106" s="4" t="s">
        <v>52</v>
      </c>
      <c r="B106" s="4">
        <v>1.0</v>
      </c>
      <c r="C106" s="4">
        <v>8.0</v>
      </c>
      <c r="D106" s="4">
        <v>3.0</v>
      </c>
      <c r="E106" s="4">
        <v>5.0</v>
      </c>
      <c r="F106" s="4">
        <v>6.0</v>
      </c>
      <c r="G106" s="35"/>
      <c r="H106" s="35"/>
      <c r="I106" s="35">
        <f t="shared" si="7"/>
        <v>23</v>
      </c>
      <c r="J106" s="35">
        <f t="shared" si="8"/>
        <v>76</v>
      </c>
      <c r="K106" s="35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>
      <c r="A107" s="4" t="s">
        <v>53</v>
      </c>
      <c r="B107" s="4">
        <v>1.0</v>
      </c>
      <c r="C107" s="4">
        <v>8.0</v>
      </c>
      <c r="D107" s="4">
        <v>3.0</v>
      </c>
      <c r="E107" s="4">
        <v>5.0</v>
      </c>
      <c r="F107" s="4">
        <v>6.0</v>
      </c>
      <c r="G107" s="35"/>
      <c r="H107" s="35"/>
      <c r="I107" s="35">
        <f t="shared" si="7"/>
        <v>23</v>
      </c>
      <c r="J107" s="35">
        <f t="shared" si="8"/>
        <v>76</v>
      </c>
      <c r="K107" s="35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>
      <c r="A108" s="4" t="s">
        <v>54</v>
      </c>
      <c r="B108" s="4">
        <v>1.0</v>
      </c>
      <c r="C108" s="4">
        <v>8.0</v>
      </c>
      <c r="D108" s="4">
        <v>3.0</v>
      </c>
      <c r="E108" s="4">
        <v>5.0</v>
      </c>
      <c r="F108" s="4">
        <v>6.0</v>
      </c>
      <c r="G108" s="35"/>
      <c r="H108" s="35"/>
      <c r="I108" s="35">
        <f t="shared" si="7"/>
        <v>23</v>
      </c>
      <c r="J108" s="35">
        <f t="shared" si="8"/>
        <v>76</v>
      </c>
      <c r="K108" s="35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>
      <c r="A109" s="4" t="s">
        <v>55</v>
      </c>
      <c r="B109" s="4">
        <v>1.0</v>
      </c>
      <c r="C109" s="4">
        <v>8.0</v>
      </c>
      <c r="D109" s="4">
        <v>3.0</v>
      </c>
      <c r="E109" s="4">
        <v>5.0</v>
      </c>
      <c r="F109" s="4">
        <v>6.0</v>
      </c>
      <c r="G109" s="35"/>
      <c r="H109" s="35"/>
      <c r="I109" s="35">
        <f t="shared" si="7"/>
        <v>23</v>
      </c>
      <c r="J109" s="35">
        <f t="shared" si="8"/>
        <v>76</v>
      </c>
      <c r="K109" s="35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>
      <c r="A110" s="4" t="s">
        <v>56</v>
      </c>
      <c r="B110" s="4">
        <v>1.0</v>
      </c>
      <c r="C110" s="4">
        <v>8.0</v>
      </c>
      <c r="D110" s="4">
        <v>3.0</v>
      </c>
      <c r="E110" s="4">
        <v>5.0</v>
      </c>
      <c r="F110" s="4">
        <v>6.0</v>
      </c>
      <c r="G110" s="35"/>
      <c r="H110" s="35"/>
      <c r="I110" s="35">
        <f t="shared" si="7"/>
        <v>23</v>
      </c>
      <c r="J110" s="35">
        <f t="shared" si="8"/>
        <v>76</v>
      </c>
      <c r="K110" s="35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</row>
  </sheetData>
  <mergeCells count="4">
    <mergeCell ref="A1:K1"/>
    <mergeCell ref="A29:K29"/>
    <mergeCell ref="A57:K57"/>
    <mergeCell ref="A85:K8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27</v>
      </c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>
      <c r="A2" s="35"/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59</v>
      </c>
      <c r="H2" s="4" t="s">
        <v>60</v>
      </c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>
      <c r="A3" s="4" t="s">
        <v>33</v>
      </c>
      <c r="B3" s="4">
        <v>2.0</v>
      </c>
      <c r="C3" s="4">
        <v>11.0</v>
      </c>
      <c r="D3" s="4">
        <v>10.0</v>
      </c>
      <c r="E3" s="4"/>
      <c r="F3" s="4"/>
      <c r="G3" s="35"/>
      <c r="H3" s="35"/>
      <c r="I3" s="35">
        <f t="shared" ref="I3:I26" si="1">sum(B3:H3)</f>
        <v>23</v>
      </c>
      <c r="J3" s="35">
        <f t="shared" ref="J3:J26" si="2">B3+C3*2+D3*3+E3*4+F3*5+G3*6+H3*7</f>
        <v>54</v>
      </c>
      <c r="K3" s="35">
        <f>sum(J3:J26)/(24*24)</f>
        <v>2.048611111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>
      <c r="A4" s="4" t="s">
        <v>34</v>
      </c>
      <c r="B4" s="4">
        <v>2.0</v>
      </c>
      <c r="C4" s="4">
        <v>11.0</v>
      </c>
      <c r="D4" s="4">
        <v>10.0</v>
      </c>
      <c r="E4" s="4"/>
      <c r="F4" s="4"/>
      <c r="G4" s="35"/>
      <c r="H4" s="35"/>
      <c r="I4" s="35">
        <f t="shared" si="1"/>
        <v>23</v>
      </c>
      <c r="J4" s="35">
        <f t="shared" si="2"/>
        <v>54</v>
      </c>
      <c r="K4" s="35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>
      <c r="A5" s="4" t="s">
        <v>35</v>
      </c>
      <c r="B5" s="4">
        <v>2.0</v>
      </c>
      <c r="C5" s="4">
        <v>11.0</v>
      </c>
      <c r="D5" s="4">
        <v>10.0</v>
      </c>
      <c r="E5" s="4"/>
      <c r="F5" s="4"/>
      <c r="G5" s="35"/>
      <c r="H5" s="35"/>
      <c r="I5" s="35">
        <f t="shared" si="1"/>
        <v>23</v>
      </c>
      <c r="J5" s="35">
        <f t="shared" si="2"/>
        <v>54</v>
      </c>
      <c r="K5" s="35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>
      <c r="A6" s="4" t="s">
        <v>36</v>
      </c>
      <c r="B6" s="4">
        <v>2.0</v>
      </c>
      <c r="C6" s="4">
        <v>11.0</v>
      </c>
      <c r="D6" s="4">
        <v>10.0</v>
      </c>
      <c r="E6" s="4"/>
      <c r="F6" s="4"/>
      <c r="G6" s="35"/>
      <c r="H6" s="35"/>
      <c r="I6" s="35">
        <f t="shared" si="1"/>
        <v>23</v>
      </c>
      <c r="J6" s="35">
        <f t="shared" si="2"/>
        <v>54</v>
      </c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>
      <c r="A7" s="4" t="s">
        <v>37</v>
      </c>
      <c r="B7" s="4">
        <v>11.0</v>
      </c>
      <c r="C7" s="4">
        <v>12.0</v>
      </c>
      <c r="D7" s="4"/>
      <c r="E7" s="4"/>
      <c r="F7" s="4"/>
      <c r="G7" s="35"/>
      <c r="H7" s="35"/>
      <c r="I7" s="35">
        <f t="shared" si="1"/>
        <v>23</v>
      </c>
      <c r="J7" s="35">
        <f t="shared" si="2"/>
        <v>35</v>
      </c>
      <c r="K7" s="35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>
      <c r="A8" s="4" t="s">
        <v>38</v>
      </c>
      <c r="B8" s="4">
        <v>2.0</v>
      </c>
      <c r="C8" s="4">
        <v>11.0</v>
      </c>
      <c r="D8" s="4">
        <v>10.0</v>
      </c>
      <c r="E8" s="4"/>
      <c r="F8" s="35"/>
      <c r="G8" s="35"/>
      <c r="H8" s="35"/>
      <c r="I8" s="35">
        <f t="shared" si="1"/>
        <v>23</v>
      </c>
      <c r="J8" s="35">
        <f t="shared" si="2"/>
        <v>54</v>
      </c>
      <c r="K8" s="35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>
      <c r="A9" s="4" t="s">
        <v>39</v>
      </c>
      <c r="B9" s="4">
        <v>2.0</v>
      </c>
      <c r="C9" s="4">
        <v>11.0</v>
      </c>
      <c r="D9" s="4">
        <v>10.0</v>
      </c>
      <c r="E9" s="4"/>
      <c r="F9" s="4"/>
      <c r="G9" s="35"/>
      <c r="H9" s="35"/>
      <c r="I9" s="35">
        <f t="shared" si="1"/>
        <v>23</v>
      </c>
      <c r="J9" s="35">
        <f t="shared" si="2"/>
        <v>54</v>
      </c>
      <c r="K9" s="35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>
      <c r="A10" s="4" t="s">
        <v>40</v>
      </c>
      <c r="B10" s="37">
        <v>12.0</v>
      </c>
      <c r="C10" s="37">
        <v>11.0</v>
      </c>
      <c r="D10" s="37"/>
      <c r="E10" s="4"/>
      <c r="F10" s="35"/>
      <c r="G10" s="35"/>
      <c r="H10" s="35"/>
      <c r="I10" s="35">
        <f t="shared" si="1"/>
        <v>23</v>
      </c>
      <c r="J10" s="35">
        <f t="shared" si="2"/>
        <v>34</v>
      </c>
      <c r="K10" s="35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>
      <c r="A11" s="4" t="s">
        <v>41</v>
      </c>
      <c r="B11" s="4">
        <v>2.0</v>
      </c>
      <c r="C11" s="4">
        <v>12.0</v>
      </c>
      <c r="D11" s="4">
        <v>9.0</v>
      </c>
      <c r="E11" s="4"/>
      <c r="F11" s="4"/>
      <c r="G11" s="35"/>
      <c r="H11" s="35"/>
      <c r="I11" s="35">
        <f t="shared" si="1"/>
        <v>23</v>
      </c>
      <c r="J11" s="35">
        <f t="shared" si="2"/>
        <v>53</v>
      </c>
      <c r="K11" s="35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>
      <c r="A12" s="4" t="s">
        <v>42</v>
      </c>
      <c r="B12" s="4">
        <v>2.0</v>
      </c>
      <c r="C12" s="4">
        <v>12.0</v>
      </c>
      <c r="D12" s="4">
        <v>9.0</v>
      </c>
      <c r="E12" s="4"/>
      <c r="F12" s="35"/>
      <c r="G12" s="35"/>
      <c r="H12" s="35"/>
      <c r="I12" s="35">
        <f t="shared" si="1"/>
        <v>23</v>
      </c>
      <c r="J12" s="35">
        <f t="shared" si="2"/>
        <v>53</v>
      </c>
      <c r="K12" s="35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>
      <c r="A13" s="4" t="s">
        <v>43</v>
      </c>
      <c r="B13" s="4">
        <v>2.0</v>
      </c>
      <c r="C13" s="4">
        <v>13.0</v>
      </c>
      <c r="D13" s="4">
        <v>8.0</v>
      </c>
      <c r="E13" s="4"/>
      <c r="F13" s="35"/>
      <c r="G13" s="35"/>
      <c r="H13" s="35"/>
      <c r="I13" s="35">
        <f t="shared" si="1"/>
        <v>23</v>
      </c>
      <c r="J13" s="35">
        <f t="shared" si="2"/>
        <v>52</v>
      </c>
      <c r="K13" s="35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>
      <c r="A14" s="4" t="s">
        <v>44</v>
      </c>
      <c r="B14" s="4">
        <v>9.0</v>
      </c>
      <c r="C14" s="37">
        <v>14.0</v>
      </c>
      <c r="D14" s="37"/>
      <c r="E14" s="35"/>
      <c r="F14" s="35"/>
      <c r="G14" s="35"/>
      <c r="H14" s="35"/>
      <c r="I14" s="35">
        <f t="shared" si="1"/>
        <v>23</v>
      </c>
      <c r="J14" s="35">
        <f t="shared" si="2"/>
        <v>37</v>
      </c>
      <c r="K14" s="35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>
      <c r="A15" s="4" t="s">
        <v>45</v>
      </c>
      <c r="B15" s="4">
        <v>2.0</v>
      </c>
      <c r="C15" s="4">
        <v>15.0</v>
      </c>
      <c r="D15" s="4">
        <v>6.0</v>
      </c>
      <c r="E15" s="35"/>
      <c r="F15" s="35"/>
      <c r="G15" s="35"/>
      <c r="H15" s="35"/>
      <c r="I15" s="35">
        <f t="shared" si="1"/>
        <v>23</v>
      </c>
      <c r="J15" s="35">
        <f t="shared" si="2"/>
        <v>50</v>
      </c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4" t="s">
        <v>46</v>
      </c>
      <c r="B16" s="4">
        <v>13.0</v>
      </c>
      <c r="C16" s="4">
        <v>10.0</v>
      </c>
      <c r="D16" s="4"/>
      <c r="E16" s="4"/>
      <c r="F16" s="35"/>
      <c r="G16" s="35"/>
      <c r="H16" s="35"/>
      <c r="I16" s="35">
        <f t="shared" si="1"/>
        <v>23</v>
      </c>
      <c r="J16" s="35">
        <f t="shared" si="2"/>
        <v>33</v>
      </c>
      <c r="K16" s="35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4" t="s">
        <v>47</v>
      </c>
      <c r="B17" s="4">
        <v>1.0</v>
      </c>
      <c r="C17" s="4">
        <v>13.0</v>
      </c>
      <c r="D17" s="4">
        <v>9.0</v>
      </c>
      <c r="E17" s="4"/>
      <c r="F17" s="35"/>
      <c r="G17" s="35"/>
      <c r="H17" s="35"/>
      <c r="I17" s="35">
        <f t="shared" si="1"/>
        <v>23</v>
      </c>
      <c r="J17" s="35">
        <f t="shared" si="2"/>
        <v>54</v>
      </c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4" t="s">
        <v>48</v>
      </c>
      <c r="B18" s="4">
        <v>1.0</v>
      </c>
      <c r="C18" s="4">
        <v>13.0</v>
      </c>
      <c r="D18" s="4">
        <v>9.0</v>
      </c>
      <c r="E18" s="4"/>
      <c r="F18" s="4"/>
      <c r="G18" s="35"/>
      <c r="H18" s="35"/>
      <c r="I18" s="35">
        <f t="shared" si="1"/>
        <v>23</v>
      </c>
      <c r="J18" s="35">
        <f t="shared" si="2"/>
        <v>54</v>
      </c>
      <c r="K18" s="35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4" t="s">
        <v>49</v>
      </c>
      <c r="B19" s="4">
        <v>2.0</v>
      </c>
      <c r="C19" s="4">
        <v>13.0</v>
      </c>
      <c r="D19" s="4">
        <v>8.0</v>
      </c>
      <c r="E19" s="35"/>
      <c r="F19" s="35"/>
      <c r="G19" s="35"/>
      <c r="H19" s="35"/>
      <c r="I19" s="35">
        <f t="shared" si="1"/>
        <v>23</v>
      </c>
      <c r="J19" s="35">
        <f t="shared" si="2"/>
        <v>52</v>
      </c>
      <c r="K19" s="35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>
      <c r="A20" s="4" t="s">
        <v>50</v>
      </c>
      <c r="B20" s="4">
        <v>2.0</v>
      </c>
      <c r="C20" s="4">
        <v>13.0</v>
      </c>
      <c r="D20" s="4">
        <v>8.0</v>
      </c>
      <c r="E20" s="4"/>
      <c r="F20" s="4"/>
      <c r="G20" s="35"/>
      <c r="H20" s="35"/>
      <c r="I20" s="35">
        <f t="shared" si="1"/>
        <v>23</v>
      </c>
      <c r="J20" s="35">
        <f t="shared" si="2"/>
        <v>52</v>
      </c>
      <c r="K20" s="35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>
      <c r="A21" s="4" t="s">
        <v>51</v>
      </c>
      <c r="B21" s="4">
        <v>2.0</v>
      </c>
      <c r="C21" s="4">
        <v>13.0</v>
      </c>
      <c r="D21" s="4">
        <v>8.0</v>
      </c>
      <c r="E21" s="4"/>
      <c r="F21" s="4"/>
      <c r="G21" s="35"/>
      <c r="H21" s="35"/>
      <c r="I21" s="35">
        <f t="shared" si="1"/>
        <v>23</v>
      </c>
      <c r="J21" s="35">
        <f t="shared" si="2"/>
        <v>52</v>
      </c>
      <c r="K21" s="35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>
      <c r="A22" s="4" t="s">
        <v>52</v>
      </c>
      <c r="B22" s="4">
        <v>2.0</v>
      </c>
      <c r="C22" s="4">
        <v>13.0</v>
      </c>
      <c r="D22" s="4">
        <v>8.0</v>
      </c>
      <c r="E22" s="4"/>
      <c r="F22" s="4"/>
      <c r="G22" s="35"/>
      <c r="H22" s="35"/>
      <c r="I22" s="35">
        <f t="shared" si="1"/>
        <v>23</v>
      </c>
      <c r="J22" s="35">
        <f t="shared" si="2"/>
        <v>52</v>
      </c>
      <c r="K22" s="35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4" t="s">
        <v>53</v>
      </c>
      <c r="B23" s="4">
        <v>10.0</v>
      </c>
      <c r="C23" s="4">
        <v>12.0</v>
      </c>
      <c r="D23" s="4">
        <v>1.0</v>
      </c>
      <c r="E23" s="4"/>
      <c r="F23" s="4"/>
      <c r="G23" s="35"/>
      <c r="H23" s="35"/>
      <c r="I23" s="35">
        <f t="shared" si="1"/>
        <v>23</v>
      </c>
      <c r="J23" s="35">
        <f t="shared" si="2"/>
        <v>37</v>
      </c>
      <c r="K23" s="35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4" t="s">
        <v>54</v>
      </c>
      <c r="B24" s="4">
        <v>2.0</v>
      </c>
      <c r="C24" s="4">
        <v>13.0</v>
      </c>
      <c r="D24" s="4">
        <v>8.0</v>
      </c>
      <c r="E24" s="4"/>
      <c r="F24" s="4"/>
      <c r="G24" s="35"/>
      <c r="H24" s="35"/>
      <c r="I24" s="35">
        <f t="shared" si="1"/>
        <v>23</v>
      </c>
      <c r="J24" s="35">
        <f t="shared" si="2"/>
        <v>52</v>
      </c>
      <c r="K24" s="35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>
      <c r="A25" s="4" t="s">
        <v>55</v>
      </c>
      <c r="B25" s="4">
        <v>2.0</v>
      </c>
      <c r="C25" s="4">
        <v>13.0</v>
      </c>
      <c r="D25" s="4">
        <v>8.0</v>
      </c>
      <c r="E25" s="4"/>
      <c r="F25" s="4"/>
      <c r="G25" s="35"/>
      <c r="H25" s="35"/>
      <c r="I25" s="35">
        <f t="shared" si="1"/>
        <v>23</v>
      </c>
      <c r="J25" s="35">
        <f t="shared" si="2"/>
        <v>52</v>
      </c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4" t="s">
        <v>56</v>
      </c>
      <c r="B26" s="4">
        <v>2.0</v>
      </c>
      <c r="C26" s="4">
        <v>13.0</v>
      </c>
      <c r="D26" s="4">
        <v>8.0</v>
      </c>
      <c r="E26" s="4"/>
      <c r="F26" s="4"/>
      <c r="G26" s="35"/>
      <c r="H26" s="35"/>
      <c r="I26" s="35">
        <f t="shared" si="1"/>
        <v>23</v>
      </c>
      <c r="J26" s="35">
        <f t="shared" si="2"/>
        <v>52</v>
      </c>
      <c r="K26" s="35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39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39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>
      <c r="A29" s="5" t="s">
        <v>61</v>
      </c>
      <c r="B29" s="2"/>
      <c r="C29" s="2"/>
      <c r="D29" s="2"/>
      <c r="E29" s="2"/>
      <c r="F29" s="2"/>
      <c r="G29" s="2"/>
      <c r="H29" s="2"/>
      <c r="I29" s="2"/>
      <c r="J29" s="2"/>
      <c r="K29" s="3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35"/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59</v>
      </c>
      <c r="H30" s="4" t="s">
        <v>60</v>
      </c>
      <c r="I30" s="35"/>
      <c r="J30" s="35"/>
      <c r="K30" s="35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>
      <c r="A31" s="4" t="s">
        <v>33</v>
      </c>
      <c r="B31" s="4">
        <v>2.0</v>
      </c>
      <c r="C31" s="4">
        <v>10.0</v>
      </c>
      <c r="D31" s="4">
        <v>2.0</v>
      </c>
      <c r="E31" s="4">
        <v>10.0</v>
      </c>
      <c r="F31" s="4"/>
      <c r="G31" s="35"/>
      <c r="H31" s="35"/>
      <c r="I31" s="35">
        <f t="shared" ref="I31:I54" si="3">sum(B31:H31)</f>
        <v>24</v>
      </c>
      <c r="J31" s="35">
        <f t="shared" ref="J31:J54" si="4">B31+C31*2+D31*3+E31*4+F31*5+G31*6+H31*7</f>
        <v>68</v>
      </c>
      <c r="K31" s="35">
        <f>sum(J31:J54)/(24*24)</f>
        <v>2.239583333</v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>
      <c r="A32" s="4" t="s">
        <v>34</v>
      </c>
      <c r="B32" s="4">
        <v>2.0</v>
      </c>
      <c r="C32" s="4">
        <v>10.0</v>
      </c>
      <c r="D32" s="4">
        <v>2.0</v>
      </c>
      <c r="E32" s="4">
        <v>10.0</v>
      </c>
      <c r="F32" s="4"/>
      <c r="G32" s="35"/>
      <c r="H32" s="35"/>
      <c r="I32" s="35">
        <f t="shared" si="3"/>
        <v>24</v>
      </c>
      <c r="J32" s="35">
        <f t="shared" si="4"/>
        <v>68</v>
      </c>
      <c r="K32" s="35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>
      <c r="A33" s="4" t="s">
        <v>35</v>
      </c>
      <c r="B33" s="4">
        <v>2.0</v>
      </c>
      <c r="C33" s="4">
        <v>10.0</v>
      </c>
      <c r="D33" s="4">
        <v>2.0</v>
      </c>
      <c r="E33" s="4">
        <v>10.0</v>
      </c>
      <c r="F33" s="4"/>
      <c r="G33" s="35"/>
      <c r="H33" s="35"/>
      <c r="I33" s="35">
        <f t="shared" si="3"/>
        <v>24</v>
      </c>
      <c r="J33" s="35">
        <f t="shared" si="4"/>
        <v>68</v>
      </c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>
      <c r="A34" s="4" t="s">
        <v>36</v>
      </c>
      <c r="B34" s="4">
        <v>2.0</v>
      </c>
      <c r="C34" s="4">
        <v>10.0</v>
      </c>
      <c r="D34" s="4">
        <v>2.0</v>
      </c>
      <c r="E34" s="4">
        <v>10.0</v>
      </c>
      <c r="F34" s="4"/>
      <c r="G34" s="35"/>
      <c r="H34" s="35"/>
      <c r="I34" s="35">
        <f t="shared" si="3"/>
        <v>24</v>
      </c>
      <c r="J34" s="35">
        <f t="shared" si="4"/>
        <v>68</v>
      </c>
      <c r="K34" s="35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>
      <c r="A35" s="4" t="s">
        <v>37</v>
      </c>
      <c r="B35" s="4">
        <v>9.0</v>
      </c>
      <c r="C35" s="4">
        <v>4.0</v>
      </c>
      <c r="D35" s="4">
        <v>10.0</v>
      </c>
      <c r="E35" s="4"/>
      <c r="F35" s="4"/>
      <c r="G35" s="35"/>
      <c r="H35" s="35"/>
      <c r="I35" s="35">
        <f t="shared" si="3"/>
        <v>23</v>
      </c>
      <c r="J35" s="35">
        <f t="shared" si="4"/>
        <v>47</v>
      </c>
      <c r="K35" s="35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>
      <c r="A36" s="4" t="s">
        <v>38</v>
      </c>
      <c r="B36" s="4">
        <v>2.0</v>
      </c>
      <c r="C36" s="4">
        <v>10.0</v>
      </c>
      <c r="D36" s="4">
        <v>2.0</v>
      </c>
      <c r="E36" s="4">
        <v>10.0</v>
      </c>
      <c r="F36" s="35"/>
      <c r="G36" s="35"/>
      <c r="H36" s="35"/>
      <c r="I36" s="35">
        <f t="shared" si="3"/>
        <v>24</v>
      </c>
      <c r="J36" s="35">
        <f t="shared" si="4"/>
        <v>68</v>
      </c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>
      <c r="A37" s="4" t="s">
        <v>39</v>
      </c>
      <c r="B37" s="4">
        <v>2.0</v>
      </c>
      <c r="C37" s="4">
        <v>10.0</v>
      </c>
      <c r="D37" s="4">
        <v>2.0</v>
      </c>
      <c r="E37" s="4">
        <v>10.0</v>
      </c>
      <c r="F37" s="4"/>
      <c r="G37" s="35"/>
      <c r="H37" s="35"/>
      <c r="I37" s="35">
        <f t="shared" si="3"/>
        <v>24</v>
      </c>
      <c r="J37" s="35">
        <f t="shared" si="4"/>
        <v>68</v>
      </c>
      <c r="K37" s="35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>
      <c r="A38" s="4" t="s">
        <v>40</v>
      </c>
      <c r="B38" s="37">
        <v>12.0</v>
      </c>
      <c r="C38" s="4">
        <v>11.0</v>
      </c>
      <c r="D38" s="4"/>
      <c r="E38" s="4"/>
      <c r="F38" s="35"/>
      <c r="G38" s="35"/>
      <c r="H38" s="35"/>
      <c r="I38" s="35">
        <f t="shared" si="3"/>
        <v>23</v>
      </c>
      <c r="J38" s="35">
        <f t="shared" si="4"/>
        <v>34</v>
      </c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>
      <c r="A39" s="4" t="s">
        <v>41</v>
      </c>
      <c r="B39" s="4">
        <v>2.0</v>
      </c>
      <c r="C39" s="4">
        <v>11.0</v>
      </c>
      <c r="D39" s="4">
        <v>10.0</v>
      </c>
      <c r="E39" s="4"/>
      <c r="F39" s="4"/>
      <c r="G39" s="35"/>
      <c r="H39" s="35"/>
      <c r="I39" s="35">
        <f t="shared" si="3"/>
        <v>23</v>
      </c>
      <c r="J39" s="35">
        <f t="shared" si="4"/>
        <v>54</v>
      </c>
      <c r="K39" s="35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>
      <c r="A40" s="4" t="s">
        <v>42</v>
      </c>
      <c r="B40" s="4">
        <v>3.0</v>
      </c>
      <c r="C40" s="4">
        <v>20.0</v>
      </c>
      <c r="D40" s="4"/>
      <c r="E40" s="4"/>
      <c r="F40" s="35"/>
      <c r="G40" s="35"/>
      <c r="H40" s="35"/>
      <c r="I40" s="35">
        <f t="shared" si="3"/>
        <v>23</v>
      </c>
      <c r="J40" s="35">
        <f t="shared" si="4"/>
        <v>43</v>
      </c>
      <c r="K40" s="35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>
      <c r="A41" s="4" t="s">
        <v>43</v>
      </c>
      <c r="B41" s="4">
        <v>3.0</v>
      </c>
      <c r="C41" s="4">
        <v>10.0</v>
      </c>
      <c r="D41" s="4">
        <v>10.0</v>
      </c>
      <c r="E41" s="4"/>
      <c r="F41" s="35"/>
      <c r="G41" s="35"/>
      <c r="H41" s="35"/>
      <c r="I41" s="35">
        <f t="shared" si="3"/>
        <v>23</v>
      </c>
      <c r="J41" s="35">
        <f t="shared" si="4"/>
        <v>53</v>
      </c>
      <c r="K41" s="35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>
      <c r="A42" s="4" t="s">
        <v>44</v>
      </c>
      <c r="B42" s="4">
        <v>7.0</v>
      </c>
      <c r="C42" s="4">
        <v>16.0</v>
      </c>
      <c r="D42" s="4"/>
      <c r="E42" s="35"/>
      <c r="F42" s="35"/>
      <c r="G42" s="35"/>
      <c r="H42" s="35"/>
      <c r="I42" s="35">
        <f t="shared" si="3"/>
        <v>23</v>
      </c>
      <c r="J42" s="35">
        <f t="shared" si="4"/>
        <v>39</v>
      </c>
      <c r="K42" s="35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>
      <c r="A43" s="4" t="s">
        <v>45</v>
      </c>
      <c r="B43" s="4">
        <v>14.0</v>
      </c>
      <c r="C43" s="4">
        <v>9.0</v>
      </c>
      <c r="D43" s="4"/>
      <c r="E43" s="35"/>
      <c r="F43" s="35"/>
      <c r="G43" s="35"/>
      <c r="H43" s="35"/>
      <c r="I43" s="35">
        <f t="shared" si="3"/>
        <v>23</v>
      </c>
      <c r="J43" s="35">
        <f t="shared" si="4"/>
        <v>32</v>
      </c>
      <c r="K43" s="35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>
      <c r="A44" s="4" t="s">
        <v>46</v>
      </c>
      <c r="B44" s="4">
        <v>12.0</v>
      </c>
      <c r="C44" s="4">
        <v>5.0</v>
      </c>
      <c r="D44" s="4">
        <v>6.0</v>
      </c>
      <c r="E44" s="4"/>
      <c r="F44" s="35"/>
      <c r="G44" s="35"/>
      <c r="H44" s="35"/>
      <c r="I44" s="35">
        <f t="shared" si="3"/>
        <v>23</v>
      </c>
      <c r="J44" s="35">
        <f t="shared" si="4"/>
        <v>40</v>
      </c>
      <c r="K44" s="35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>
      <c r="A45" s="4" t="s">
        <v>47</v>
      </c>
      <c r="B45" s="4">
        <v>2.0</v>
      </c>
      <c r="C45" s="4">
        <v>11.0</v>
      </c>
      <c r="D45" s="4">
        <v>10.0</v>
      </c>
      <c r="E45" s="4"/>
      <c r="F45" s="35"/>
      <c r="G45" s="35"/>
      <c r="H45" s="35"/>
      <c r="I45" s="35">
        <f t="shared" si="3"/>
        <v>23</v>
      </c>
      <c r="J45" s="35">
        <f t="shared" si="4"/>
        <v>54</v>
      </c>
      <c r="K45" s="35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>
      <c r="A46" s="4" t="s">
        <v>48</v>
      </c>
      <c r="B46" s="4">
        <v>2.0</v>
      </c>
      <c r="C46" s="4">
        <v>11.0</v>
      </c>
      <c r="D46" s="4">
        <v>10.0</v>
      </c>
      <c r="E46" s="4"/>
      <c r="F46" s="4"/>
      <c r="G46" s="35"/>
      <c r="H46" s="35"/>
      <c r="I46" s="35">
        <f t="shared" si="3"/>
        <v>23</v>
      </c>
      <c r="J46" s="35">
        <f t="shared" si="4"/>
        <v>54</v>
      </c>
      <c r="K46" s="35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>
      <c r="A47" s="4" t="s">
        <v>49</v>
      </c>
      <c r="B47" s="4">
        <v>2.0</v>
      </c>
      <c r="C47" s="4">
        <v>11.0</v>
      </c>
      <c r="D47" s="4">
        <v>10.0</v>
      </c>
      <c r="E47" s="4"/>
      <c r="F47" s="35"/>
      <c r="G47" s="35"/>
      <c r="H47" s="35"/>
      <c r="I47" s="35">
        <f t="shared" si="3"/>
        <v>23</v>
      </c>
      <c r="J47" s="35">
        <f t="shared" si="4"/>
        <v>54</v>
      </c>
      <c r="K47" s="35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>
      <c r="A48" s="4" t="s">
        <v>50</v>
      </c>
      <c r="B48" s="4">
        <v>2.0</v>
      </c>
      <c r="C48" s="4">
        <v>11.0</v>
      </c>
      <c r="D48" s="4">
        <v>10.0</v>
      </c>
      <c r="E48" s="4"/>
      <c r="F48" s="4"/>
      <c r="G48" s="35"/>
      <c r="H48" s="35"/>
      <c r="I48" s="35">
        <f t="shared" si="3"/>
        <v>23</v>
      </c>
      <c r="J48" s="35">
        <f t="shared" si="4"/>
        <v>54</v>
      </c>
      <c r="K48" s="35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>
      <c r="A49" s="4" t="s">
        <v>51</v>
      </c>
      <c r="B49" s="4">
        <v>2.0</v>
      </c>
      <c r="C49" s="4">
        <v>11.0</v>
      </c>
      <c r="D49" s="4">
        <v>10.0</v>
      </c>
      <c r="E49" s="4"/>
      <c r="F49" s="4"/>
      <c r="G49" s="35"/>
      <c r="H49" s="35"/>
      <c r="I49" s="35">
        <f t="shared" si="3"/>
        <v>23</v>
      </c>
      <c r="J49" s="35">
        <f t="shared" si="4"/>
        <v>54</v>
      </c>
      <c r="K49" s="35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>
      <c r="A50" s="4" t="s">
        <v>52</v>
      </c>
      <c r="B50" s="4">
        <v>2.0</v>
      </c>
      <c r="C50" s="4">
        <v>11.0</v>
      </c>
      <c r="D50" s="4">
        <v>10.0</v>
      </c>
      <c r="E50" s="4"/>
      <c r="F50" s="4"/>
      <c r="G50" s="35"/>
      <c r="H50" s="35"/>
      <c r="I50" s="35">
        <f t="shared" si="3"/>
        <v>23</v>
      </c>
      <c r="J50" s="35">
        <f t="shared" si="4"/>
        <v>54</v>
      </c>
      <c r="K50" s="35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>
      <c r="A51" s="4" t="s">
        <v>53</v>
      </c>
      <c r="B51" s="4">
        <v>2.0</v>
      </c>
      <c r="C51" s="4">
        <v>11.0</v>
      </c>
      <c r="D51" s="4">
        <v>10.0</v>
      </c>
      <c r="E51" s="4"/>
      <c r="F51" s="4"/>
      <c r="G51" s="35"/>
      <c r="H51" s="35"/>
      <c r="I51" s="35">
        <f t="shared" si="3"/>
        <v>23</v>
      </c>
      <c r="J51" s="35">
        <f t="shared" si="4"/>
        <v>54</v>
      </c>
      <c r="K51" s="35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>
      <c r="A52" s="4" t="s">
        <v>54</v>
      </c>
      <c r="B52" s="4">
        <v>2.0</v>
      </c>
      <c r="C52" s="4">
        <v>11.0</v>
      </c>
      <c r="D52" s="4">
        <v>10.0</v>
      </c>
      <c r="E52" s="4"/>
      <c r="F52" s="4"/>
      <c r="G52" s="35"/>
      <c r="H52" s="35"/>
      <c r="I52" s="35">
        <f t="shared" si="3"/>
        <v>23</v>
      </c>
      <c r="J52" s="35">
        <f t="shared" si="4"/>
        <v>54</v>
      </c>
      <c r="K52" s="35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>
      <c r="A53" s="4" t="s">
        <v>55</v>
      </c>
      <c r="B53" s="4">
        <v>2.0</v>
      </c>
      <c r="C53" s="4">
        <v>11.0</v>
      </c>
      <c r="D53" s="4">
        <v>10.0</v>
      </c>
      <c r="E53" s="4"/>
      <c r="F53" s="4"/>
      <c r="G53" s="35"/>
      <c r="H53" s="35"/>
      <c r="I53" s="35">
        <f t="shared" si="3"/>
        <v>23</v>
      </c>
      <c r="J53" s="35">
        <f t="shared" si="4"/>
        <v>54</v>
      </c>
      <c r="K53" s="35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>
      <c r="A54" s="4" t="s">
        <v>56</v>
      </c>
      <c r="B54" s="4">
        <v>2.0</v>
      </c>
      <c r="C54" s="4">
        <v>11.0</v>
      </c>
      <c r="D54" s="4">
        <v>10.0</v>
      </c>
      <c r="E54" s="4"/>
      <c r="F54" s="4"/>
      <c r="G54" s="35"/>
      <c r="H54" s="35"/>
      <c r="I54" s="35">
        <f t="shared" si="3"/>
        <v>23</v>
      </c>
      <c r="J54" s="35">
        <f t="shared" si="4"/>
        <v>54</v>
      </c>
      <c r="K54" s="35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>
      <c r="A57" s="5" t="s">
        <v>62</v>
      </c>
      <c r="B57" s="2"/>
      <c r="C57" s="2"/>
      <c r="D57" s="2"/>
      <c r="E57" s="2"/>
      <c r="F57" s="2"/>
      <c r="G57" s="2"/>
      <c r="H57" s="2"/>
      <c r="I57" s="2"/>
      <c r="J57" s="2"/>
      <c r="K57" s="3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>
      <c r="A58" s="35"/>
      <c r="B58" s="4" t="s">
        <v>28</v>
      </c>
      <c r="C58" s="4" t="s">
        <v>29</v>
      </c>
      <c r="D58" s="4" t="s">
        <v>30</v>
      </c>
      <c r="E58" s="4" t="s">
        <v>31</v>
      </c>
      <c r="F58" s="4" t="s">
        <v>32</v>
      </c>
      <c r="G58" s="4" t="s">
        <v>59</v>
      </c>
      <c r="H58" s="4" t="s">
        <v>60</v>
      </c>
      <c r="I58" s="35"/>
      <c r="J58" s="35"/>
      <c r="K58" s="35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>
      <c r="A59" s="4" t="s">
        <v>33</v>
      </c>
      <c r="B59" s="4">
        <v>2.0</v>
      </c>
      <c r="C59" s="4">
        <v>10.0</v>
      </c>
      <c r="D59" s="4">
        <v>11.0</v>
      </c>
      <c r="E59" s="4"/>
      <c r="F59" s="4"/>
      <c r="G59" s="35"/>
      <c r="H59" s="35"/>
      <c r="I59" s="35">
        <f t="shared" ref="I59:I82" si="5">sum(B59:H59)</f>
        <v>23</v>
      </c>
      <c r="J59" s="35">
        <f t="shared" ref="J59:J82" si="6">B59+C59*2+D59*3+E59*4+F59*5+G59*6+H59*7</f>
        <v>55</v>
      </c>
      <c r="K59" s="35">
        <f>sum(J59:J82)/(24*24)</f>
        <v>2.036458333</v>
      </c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>
      <c r="A60" s="4" t="s">
        <v>34</v>
      </c>
      <c r="B60" s="4">
        <v>2.0</v>
      </c>
      <c r="C60" s="4">
        <v>10.0</v>
      </c>
      <c r="D60" s="4">
        <v>11.0</v>
      </c>
      <c r="E60" s="4"/>
      <c r="F60" s="4"/>
      <c r="G60" s="35"/>
      <c r="H60" s="35"/>
      <c r="I60" s="35">
        <f t="shared" si="5"/>
        <v>23</v>
      </c>
      <c r="J60" s="35">
        <f t="shared" si="6"/>
        <v>55</v>
      </c>
      <c r="K60" s="35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>
      <c r="A61" s="4" t="s">
        <v>35</v>
      </c>
      <c r="B61" s="4">
        <v>2.0</v>
      </c>
      <c r="C61" s="4">
        <v>10.0</v>
      </c>
      <c r="D61" s="4">
        <v>11.0</v>
      </c>
      <c r="E61" s="4"/>
      <c r="F61" s="4"/>
      <c r="G61" s="35"/>
      <c r="H61" s="35"/>
      <c r="I61" s="35">
        <f t="shared" si="5"/>
        <v>23</v>
      </c>
      <c r="J61" s="35">
        <f t="shared" si="6"/>
        <v>55</v>
      </c>
      <c r="K61" s="35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>
      <c r="A62" s="4" t="s">
        <v>36</v>
      </c>
      <c r="B62" s="4">
        <v>2.0</v>
      </c>
      <c r="C62" s="4">
        <v>10.0</v>
      </c>
      <c r="D62" s="4">
        <v>11.0</v>
      </c>
      <c r="E62" s="4"/>
      <c r="F62" s="4"/>
      <c r="G62" s="35"/>
      <c r="H62" s="35"/>
      <c r="I62" s="35">
        <f t="shared" si="5"/>
        <v>23</v>
      </c>
      <c r="J62" s="35">
        <f t="shared" si="6"/>
        <v>55</v>
      </c>
      <c r="K62" s="35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>
      <c r="A63" s="4" t="s">
        <v>37</v>
      </c>
      <c r="B63" s="4">
        <v>11.0</v>
      </c>
      <c r="C63" s="4">
        <v>12.0</v>
      </c>
      <c r="D63" s="4"/>
      <c r="E63" s="4"/>
      <c r="F63" s="4"/>
      <c r="G63" s="35"/>
      <c r="H63" s="35"/>
      <c r="I63" s="35">
        <f t="shared" si="5"/>
        <v>23</v>
      </c>
      <c r="J63" s="35">
        <f t="shared" si="6"/>
        <v>35</v>
      </c>
      <c r="K63" s="35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>
      <c r="A64" s="4" t="s">
        <v>38</v>
      </c>
      <c r="B64" s="4">
        <v>2.0</v>
      </c>
      <c r="C64" s="4">
        <v>10.0</v>
      </c>
      <c r="D64" s="4">
        <v>11.0</v>
      </c>
      <c r="E64" s="4"/>
      <c r="F64" s="35"/>
      <c r="G64" s="35"/>
      <c r="H64" s="35"/>
      <c r="I64" s="35">
        <f t="shared" si="5"/>
        <v>23</v>
      </c>
      <c r="J64" s="35">
        <f t="shared" si="6"/>
        <v>55</v>
      </c>
      <c r="K64" s="35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>
      <c r="A65" s="4" t="s">
        <v>39</v>
      </c>
      <c r="B65" s="4">
        <v>2.0</v>
      </c>
      <c r="C65" s="4">
        <v>10.0</v>
      </c>
      <c r="D65" s="4">
        <v>11.0</v>
      </c>
      <c r="E65" s="4"/>
      <c r="F65" s="4"/>
      <c r="G65" s="35"/>
      <c r="H65" s="35"/>
      <c r="I65" s="35">
        <f t="shared" si="5"/>
        <v>23</v>
      </c>
      <c r="J65" s="35">
        <f t="shared" si="6"/>
        <v>55</v>
      </c>
      <c r="K65" s="35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>
      <c r="A66" s="4" t="s">
        <v>40</v>
      </c>
      <c r="B66" s="37">
        <v>12.0</v>
      </c>
      <c r="C66" s="4">
        <v>11.0</v>
      </c>
      <c r="D66" s="4"/>
      <c r="E66" s="4"/>
      <c r="F66" s="35"/>
      <c r="G66" s="35"/>
      <c r="H66" s="35"/>
      <c r="I66" s="35">
        <f t="shared" si="5"/>
        <v>23</v>
      </c>
      <c r="J66" s="35">
        <f t="shared" si="6"/>
        <v>34</v>
      </c>
      <c r="K66" s="35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>
      <c r="A67" s="4" t="s">
        <v>41</v>
      </c>
      <c r="B67" s="4">
        <v>2.0</v>
      </c>
      <c r="C67" s="4">
        <v>10.0</v>
      </c>
      <c r="D67" s="4">
        <v>11.0</v>
      </c>
      <c r="E67" s="4"/>
      <c r="F67" s="4"/>
      <c r="G67" s="35"/>
      <c r="H67" s="35"/>
      <c r="I67" s="35">
        <f t="shared" si="5"/>
        <v>23</v>
      </c>
      <c r="J67" s="35">
        <f t="shared" si="6"/>
        <v>55</v>
      </c>
      <c r="K67" s="35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>
      <c r="A68" s="4" t="s">
        <v>42</v>
      </c>
      <c r="B68" s="4">
        <v>3.0</v>
      </c>
      <c r="C68" s="4">
        <v>20.0</v>
      </c>
      <c r="D68" s="4"/>
      <c r="E68" s="4"/>
      <c r="F68" s="35"/>
      <c r="G68" s="35"/>
      <c r="H68" s="35"/>
      <c r="I68" s="35">
        <f t="shared" si="5"/>
        <v>23</v>
      </c>
      <c r="J68" s="35">
        <f t="shared" si="6"/>
        <v>43</v>
      </c>
      <c r="K68" s="35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>
      <c r="A69" s="4" t="s">
        <v>43</v>
      </c>
      <c r="B69" s="4">
        <v>3.0</v>
      </c>
      <c r="C69" s="4">
        <v>10.0</v>
      </c>
      <c r="D69" s="4">
        <v>10.0</v>
      </c>
      <c r="E69" s="4"/>
      <c r="F69" s="35"/>
      <c r="G69" s="35"/>
      <c r="H69" s="35"/>
      <c r="I69" s="35">
        <f t="shared" si="5"/>
        <v>23</v>
      </c>
      <c r="J69" s="35">
        <f t="shared" si="6"/>
        <v>53</v>
      </c>
      <c r="K69" s="35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>
      <c r="A70" s="4" t="s">
        <v>44</v>
      </c>
      <c r="B70" s="4">
        <v>7.0</v>
      </c>
      <c r="C70" s="4">
        <v>16.0</v>
      </c>
      <c r="D70" s="4"/>
      <c r="E70" s="35"/>
      <c r="F70" s="35"/>
      <c r="G70" s="35"/>
      <c r="H70" s="35"/>
      <c r="I70" s="35">
        <f t="shared" si="5"/>
        <v>23</v>
      </c>
      <c r="J70" s="35">
        <f t="shared" si="6"/>
        <v>39</v>
      </c>
      <c r="K70" s="35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>
      <c r="A71" s="4" t="s">
        <v>45</v>
      </c>
      <c r="B71" s="4">
        <v>14.0</v>
      </c>
      <c r="C71" s="4">
        <v>9.0</v>
      </c>
      <c r="D71" s="4"/>
      <c r="E71" s="35"/>
      <c r="F71" s="35"/>
      <c r="G71" s="35"/>
      <c r="H71" s="35"/>
      <c r="I71" s="35">
        <f t="shared" si="5"/>
        <v>23</v>
      </c>
      <c r="J71" s="35">
        <f t="shared" si="6"/>
        <v>32</v>
      </c>
      <c r="K71" s="35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>
      <c r="A72" s="4" t="s">
        <v>46</v>
      </c>
      <c r="B72" s="4">
        <v>14.0</v>
      </c>
      <c r="C72" s="4">
        <v>9.0</v>
      </c>
      <c r="D72" s="4"/>
      <c r="E72" s="4"/>
      <c r="F72" s="35"/>
      <c r="G72" s="35"/>
      <c r="H72" s="35"/>
      <c r="I72" s="35">
        <f t="shared" si="5"/>
        <v>23</v>
      </c>
      <c r="J72" s="35">
        <f t="shared" si="6"/>
        <v>32</v>
      </c>
      <c r="K72" s="35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>
      <c r="A73" s="4" t="s">
        <v>47</v>
      </c>
      <c r="B73" s="4">
        <v>2.0</v>
      </c>
      <c r="C73" s="4">
        <v>13.0</v>
      </c>
      <c r="D73" s="4">
        <v>8.0</v>
      </c>
      <c r="E73" s="4"/>
      <c r="F73" s="35"/>
      <c r="G73" s="35"/>
      <c r="H73" s="35"/>
      <c r="I73" s="35">
        <f t="shared" si="5"/>
        <v>23</v>
      </c>
      <c r="J73" s="35">
        <f t="shared" si="6"/>
        <v>52</v>
      </c>
      <c r="K73" s="35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>
      <c r="A74" s="4" t="s">
        <v>48</v>
      </c>
      <c r="B74" s="4">
        <v>2.0</v>
      </c>
      <c r="C74" s="4">
        <v>13.0</v>
      </c>
      <c r="D74" s="4">
        <v>8.0</v>
      </c>
      <c r="E74" s="4"/>
      <c r="F74" s="4"/>
      <c r="G74" s="35"/>
      <c r="H74" s="35"/>
      <c r="I74" s="35">
        <f t="shared" si="5"/>
        <v>23</v>
      </c>
      <c r="J74" s="35">
        <f t="shared" si="6"/>
        <v>52</v>
      </c>
      <c r="K74" s="35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>
      <c r="A75" s="4" t="s">
        <v>49</v>
      </c>
      <c r="B75" s="4">
        <v>2.0</v>
      </c>
      <c r="C75" s="4">
        <v>13.0</v>
      </c>
      <c r="D75" s="4">
        <v>8.0</v>
      </c>
      <c r="E75" s="4"/>
      <c r="F75" s="35"/>
      <c r="G75" s="35"/>
      <c r="H75" s="35"/>
      <c r="I75" s="35">
        <f t="shared" si="5"/>
        <v>23</v>
      </c>
      <c r="J75" s="35">
        <f t="shared" si="6"/>
        <v>52</v>
      </c>
      <c r="K75" s="35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>
      <c r="A76" s="4" t="s">
        <v>50</v>
      </c>
      <c r="B76" s="4">
        <v>2.0</v>
      </c>
      <c r="C76" s="4">
        <v>13.0</v>
      </c>
      <c r="D76" s="4">
        <v>8.0</v>
      </c>
      <c r="E76" s="4"/>
      <c r="F76" s="4"/>
      <c r="G76" s="35"/>
      <c r="H76" s="35"/>
      <c r="I76" s="35">
        <f t="shared" si="5"/>
        <v>23</v>
      </c>
      <c r="J76" s="35">
        <f t="shared" si="6"/>
        <v>52</v>
      </c>
      <c r="K76" s="35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>
      <c r="A77" s="4" t="s">
        <v>51</v>
      </c>
      <c r="B77" s="4">
        <v>2.0</v>
      </c>
      <c r="C77" s="4">
        <v>13.0</v>
      </c>
      <c r="D77" s="4">
        <v>8.0</v>
      </c>
      <c r="E77" s="4"/>
      <c r="F77" s="4"/>
      <c r="G77" s="35"/>
      <c r="H77" s="35"/>
      <c r="I77" s="35">
        <f t="shared" si="5"/>
        <v>23</v>
      </c>
      <c r="J77" s="35">
        <f t="shared" si="6"/>
        <v>52</v>
      </c>
      <c r="K77" s="35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>
      <c r="A78" s="4" t="s">
        <v>52</v>
      </c>
      <c r="B78" s="4">
        <v>2.0</v>
      </c>
      <c r="C78" s="4">
        <v>13.0</v>
      </c>
      <c r="D78" s="4">
        <v>8.0</v>
      </c>
      <c r="E78" s="4"/>
      <c r="F78" s="4"/>
      <c r="G78" s="35"/>
      <c r="H78" s="35"/>
      <c r="I78" s="35">
        <f t="shared" si="5"/>
        <v>23</v>
      </c>
      <c r="J78" s="35">
        <f t="shared" si="6"/>
        <v>52</v>
      </c>
      <c r="K78" s="35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>
      <c r="A79" s="4" t="s">
        <v>53</v>
      </c>
      <c r="B79" s="4">
        <v>2.0</v>
      </c>
      <c r="C79" s="4">
        <v>13.0</v>
      </c>
      <c r="D79" s="4">
        <v>8.0</v>
      </c>
      <c r="E79" s="4"/>
      <c r="F79" s="4"/>
      <c r="G79" s="35"/>
      <c r="H79" s="35"/>
      <c r="I79" s="35">
        <f t="shared" si="5"/>
        <v>23</v>
      </c>
      <c r="J79" s="35">
        <f t="shared" si="6"/>
        <v>52</v>
      </c>
      <c r="K79" s="35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>
      <c r="A80" s="4" t="s">
        <v>54</v>
      </c>
      <c r="B80" s="4">
        <v>2.0</v>
      </c>
      <c r="C80" s="4">
        <v>13.0</v>
      </c>
      <c r="D80" s="4">
        <v>8.0</v>
      </c>
      <c r="E80" s="4"/>
      <c r="F80" s="4"/>
      <c r="G80" s="35"/>
      <c r="H80" s="35"/>
      <c r="I80" s="35">
        <f t="shared" si="5"/>
        <v>23</v>
      </c>
      <c r="J80" s="35">
        <f t="shared" si="6"/>
        <v>52</v>
      </c>
      <c r="K80" s="35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>
      <c r="A81" s="4" t="s">
        <v>55</v>
      </c>
      <c r="B81" s="4">
        <v>2.0</v>
      </c>
      <c r="C81" s="4">
        <v>13.0</v>
      </c>
      <c r="D81" s="4">
        <v>8.0</v>
      </c>
      <c r="E81" s="4"/>
      <c r="F81" s="4"/>
      <c r="G81" s="35"/>
      <c r="H81" s="35"/>
      <c r="I81" s="35">
        <f t="shared" si="5"/>
        <v>23</v>
      </c>
      <c r="J81" s="35">
        <f t="shared" si="6"/>
        <v>52</v>
      </c>
      <c r="K81" s="35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>
      <c r="A82" s="4" t="s">
        <v>56</v>
      </c>
      <c r="B82" s="4">
        <v>2.0</v>
      </c>
      <c r="C82" s="4">
        <v>13.0</v>
      </c>
      <c r="D82" s="4">
        <v>8.0</v>
      </c>
      <c r="E82" s="4"/>
      <c r="F82" s="4"/>
      <c r="G82" s="35"/>
      <c r="H82" s="35"/>
      <c r="I82" s="35">
        <f t="shared" si="5"/>
        <v>23</v>
      </c>
      <c r="J82" s="35">
        <f t="shared" si="6"/>
        <v>52</v>
      </c>
      <c r="K82" s="35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>
      <c r="A85" s="5" t="s">
        <v>58</v>
      </c>
      <c r="B85" s="2"/>
      <c r="C85" s="2"/>
      <c r="D85" s="2"/>
      <c r="E85" s="2"/>
      <c r="F85" s="2"/>
      <c r="G85" s="2"/>
      <c r="H85" s="2"/>
      <c r="I85" s="2"/>
      <c r="J85" s="2"/>
      <c r="K85" s="3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>
      <c r="A86" s="35"/>
      <c r="B86" s="4" t="s">
        <v>28</v>
      </c>
      <c r="C86" s="4" t="s">
        <v>29</v>
      </c>
      <c r="D86" s="4" t="s">
        <v>30</v>
      </c>
      <c r="E86" s="4" t="s">
        <v>31</v>
      </c>
      <c r="F86" s="4" t="s">
        <v>32</v>
      </c>
      <c r="G86" s="4" t="s">
        <v>59</v>
      </c>
      <c r="H86" s="4" t="s">
        <v>60</v>
      </c>
      <c r="I86" s="35"/>
      <c r="J86" s="35"/>
      <c r="K86" s="35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>
      <c r="A87" s="4" t="s">
        <v>33</v>
      </c>
      <c r="B87" s="4">
        <v>2.0</v>
      </c>
      <c r="C87" s="4">
        <v>9.0</v>
      </c>
      <c r="D87" s="4">
        <v>2.0</v>
      </c>
      <c r="E87" s="4">
        <v>10.0</v>
      </c>
      <c r="F87" s="4"/>
      <c r="G87" s="35"/>
      <c r="H87" s="35"/>
      <c r="I87" s="35">
        <f t="shared" ref="I87:I110" si="7">sum(B87:H87)</f>
        <v>23</v>
      </c>
      <c r="J87" s="35">
        <f t="shared" ref="J87:J110" si="8">B87+C87*2+D87*3+E87*4+F87*5+G87*6+H87*7</f>
        <v>66</v>
      </c>
      <c r="K87" s="35">
        <f>sum(J87:J110)/(24*24)</f>
        <v>2.215277778</v>
      </c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>
      <c r="A88" s="4" t="s">
        <v>34</v>
      </c>
      <c r="B88" s="4">
        <v>2.0</v>
      </c>
      <c r="C88" s="4">
        <v>9.0</v>
      </c>
      <c r="D88" s="4">
        <v>2.0</v>
      </c>
      <c r="E88" s="4">
        <v>10.0</v>
      </c>
      <c r="F88" s="4"/>
      <c r="G88" s="35"/>
      <c r="H88" s="35"/>
      <c r="I88" s="35">
        <f t="shared" si="7"/>
        <v>23</v>
      </c>
      <c r="J88" s="35">
        <f t="shared" si="8"/>
        <v>66</v>
      </c>
      <c r="K88" s="35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>
      <c r="A89" s="4" t="s">
        <v>35</v>
      </c>
      <c r="B89" s="4">
        <v>2.0</v>
      </c>
      <c r="C89" s="4">
        <v>9.0</v>
      </c>
      <c r="D89" s="4">
        <v>2.0</v>
      </c>
      <c r="E89" s="4">
        <v>10.0</v>
      </c>
      <c r="F89" s="4"/>
      <c r="G89" s="35"/>
      <c r="H89" s="35"/>
      <c r="I89" s="35">
        <f t="shared" si="7"/>
        <v>23</v>
      </c>
      <c r="J89" s="35">
        <f t="shared" si="8"/>
        <v>66</v>
      </c>
      <c r="K89" s="35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>
      <c r="A90" s="4" t="s">
        <v>36</v>
      </c>
      <c r="B90" s="4">
        <v>2.0</v>
      </c>
      <c r="C90" s="4">
        <v>9.0</v>
      </c>
      <c r="D90" s="4">
        <v>2.0</v>
      </c>
      <c r="E90" s="4">
        <v>10.0</v>
      </c>
      <c r="F90" s="4"/>
      <c r="G90" s="35"/>
      <c r="H90" s="35"/>
      <c r="I90" s="35">
        <f t="shared" si="7"/>
        <v>23</v>
      </c>
      <c r="J90" s="35">
        <f t="shared" si="8"/>
        <v>66</v>
      </c>
      <c r="K90" s="35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>
      <c r="A91" s="4" t="s">
        <v>37</v>
      </c>
      <c r="B91" s="4">
        <v>11.0</v>
      </c>
      <c r="C91" s="4">
        <v>2.0</v>
      </c>
      <c r="D91" s="4">
        <v>10.0</v>
      </c>
      <c r="E91" s="4"/>
      <c r="F91" s="4"/>
      <c r="G91" s="35"/>
      <c r="H91" s="35"/>
      <c r="I91" s="35">
        <f t="shared" si="7"/>
        <v>23</v>
      </c>
      <c r="J91" s="35">
        <f t="shared" si="8"/>
        <v>45</v>
      </c>
      <c r="K91" s="35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>
      <c r="A92" s="4" t="s">
        <v>38</v>
      </c>
      <c r="B92" s="4">
        <v>3.0</v>
      </c>
      <c r="C92" s="4">
        <v>10.0</v>
      </c>
      <c r="D92" s="4">
        <v>10.0</v>
      </c>
      <c r="E92" s="4"/>
      <c r="F92" s="35"/>
      <c r="G92" s="35"/>
      <c r="H92" s="35"/>
      <c r="I92" s="35">
        <f t="shared" si="7"/>
        <v>23</v>
      </c>
      <c r="J92" s="35">
        <f t="shared" si="8"/>
        <v>53</v>
      </c>
      <c r="K92" s="35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>
      <c r="A93" s="4" t="s">
        <v>39</v>
      </c>
      <c r="B93" s="4">
        <v>11.0</v>
      </c>
      <c r="C93" s="4">
        <v>2.0</v>
      </c>
      <c r="D93" s="4">
        <v>10.0</v>
      </c>
      <c r="E93" s="4"/>
      <c r="F93" s="4"/>
      <c r="G93" s="35"/>
      <c r="H93" s="35"/>
      <c r="I93" s="35">
        <f t="shared" si="7"/>
        <v>23</v>
      </c>
      <c r="J93" s="35">
        <f t="shared" si="8"/>
        <v>45</v>
      </c>
      <c r="K93" s="35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>
      <c r="A94" s="4" t="s">
        <v>40</v>
      </c>
      <c r="B94" s="37">
        <v>3.0</v>
      </c>
      <c r="C94" s="4">
        <v>10.0</v>
      </c>
      <c r="D94" s="4">
        <v>10.0</v>
      </c>
      <c r="E94" s="4"/>
      <c r="F94" s="35"/>
      <c r="G94" s="35"/>
      <c r="H94" s="35"/>
      <c r="I94" s="35">
        <f t="shared" si="7"/>
        <v>23</v>
      </c>
      <c r="J94" s="35">
        <f t="shared" si="8"/>
        <v>53</v>
      </c>
      <c r="K94" s="35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>
      <c r="A95" s="4" t="s">
        <v>41</v>
      </c>
      <c r="B95" s="37">
        <v>4.0</v>
      </c>
      <c r="C95" s="4">
        <v>19.0</v>
      </c>
      <c r="D95" s="4"/>
      <c r="E95" s="4"/>
      <c r="F95" s="4"/>
      <c r="G95" s="35"/>
      <c r="H95" s="35"/>
      <c r="I95" s="35">
        <f t="shared" si="7"/>
        <v>23</v>
      </c>
      <c r="J95" s="35">
        <f t="shared" si="8"/>
        <v>42</v>
      </c>
      <c r="K95" s="35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>
      <c r="A96" s="4" t="s">
        <v>42</v>
      </c>
      <c r="B96" s="37">
        <v>4.0</v>
      </c>
      <c r="C96" s="4">
        <v>19.0</v>
      </c>
      <c r="D96" s="4"/>
      <c r="E96" s="4"/>
      <c r="F96" s="35"/>
      <c r="G96" s="35"/>
      <c r="H96" s="35"/>
      <c r="I96" s="35">
        <f t="shared" si="7"/>
        <v>23</v>
      </c>
      <c r="J96" s="35">
        <f t="shared" si="8"/>
        <v>42</v>
      </c>
      <c r="K96" s="35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>
      <c r="A97" s="4" t="s">
        <v>43</v>
      </c>
      <c r="B97" s="37">
        <v>3.0</v>
      </c>
      <c r="C97" s="4">
        <v>10.0</v>
      </c>
      <c r="D97" s="4">
        <v>10.0</v>
      </c>
      <c r="E97" s="4"/>
      <c r="F97" s="35"/>
      <c r="G97" s="35"/>
      <c r="H97" s="35"/>
      <c r="I97" s="35">
        <f t="shared" si="7"/>
        <v>23</v>
      </c>
      <c r="J97" s="35">
        <f t="shared" si="8"/>
        <v>53</v>
      </c>
      <c r="K97" s="35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>
      <c r="A98" s="4" t="s">
        <v>44</v>
      </c>
      <c r="B98" s="4">
        <v>9.0</v>
      </c>
      <c r="C98" s="4">
        <v>14.0</v>
      </c>
      <c r="D98" s="4"/>
      <c r="E98" s="35"/>
      <c r="F98" s="35"/>
      <c r="G98" s="35"/>
      <c r="H98" s="35"/>
      <c r="I98" s="35">
        <f t="shared" si="7"/>
        <v>23</v>
      </c>
      <c r="J98" s="35">
        <f t="shared" si="8"/>
        <v>37</v>
      </c>
      <c r="K98" s="35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>
      <c r="A99" s="4" t="s">
        <v>45</v>
      </c>
      <c r="B99" s="4">
        <v>14.0</v>
      </c>
      <c r="C99" s="4">
        <v>5.0</v>
      </c>
      <c r="D99" s="4">
        <v>4.0</v>
      </c>
      <c r="E99" s="35"/>
      <c r="F99" s="35"/>
      <c r="G99" s="35"/>
      <c r="H99" s="35"/>
      <c r="I99" s="35">
        <f t="shared" si="7"/>
        <v>23</v>
      </c>
      <c r="J99" s="35">
        <f t="shared" si="8"/>
        <v>36</v>
      </c>
      <c r="K99" s="35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>
      <c r="A100" s="4" t="s">
        <v>46</v>
      </c>
      <c r="B100" s="4">
        <v>14.0</v>
      </c>
      <c r="C100" s="4">
        <v>5.0</v>
      </c>
      <c r="D100" s="4">
        <v>4.0</v>
      </c>
      <c r="E100" s="4"/>
      <c r="F100" s="35"/>
      <c r="G100" s="35"/>
      <c r="H100" s="35"/>
      <c r="I100" s="35">
        <f t="shared" si="7"/>
        <v>23</v>
      </c>
      <c r="J100" s="35">
        <f t="shared" si="8"/>
        <v>36</v>
      </c>
      <c r="K100" s="35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>
      <c r="A101" s="4" t="s">
        <v>47</v>
      </c>
      <c r="B101" s="4">
        <v>2.0</v>
      </c>
      <c r="C101" s="4">
        <v>11.0</v>
      </c>
      <c r="D101" s="4">
        <v>7.0</v>
      </c>
      <c r="E101" s="4">
        <v>3.0</v>
      </c>
      <c r="F101" s="35"/>
      <c r="G101" s="35"/>
      <c r="H101" s="35"/>
      <c r="I101" s="35">
        <f t="shared" si="7"/>
        <v>23</v>
      </c>
      <c r="J101" s="35">
        <f t="shared" si="8"/>
        <v>57</v>
      </c>
      <c r="K101" s="35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>
      <c r="A102" s="4" t="s">
        <v>48</v>
      </c>
      <c r="B102" s="4">
        <v>2.0</v>
      </c>
      <c r="C102" s="4">
        <v>11.0</v>
      </c>
      <c r="D102" s="4">
        <v>7.0</v>
      </c>
      <c r="E102" s="4">
        <v>3.0</v>
      </c>
      <c r="F102" s="4"/>
      <c r="G102" s="35"/>
      <c r="H102" s="35"/>
      <c r="I102" s="35">
        <f t="shared" si="7"/>
        <v>23</v>
      </c>
      <c r="J102" s="35">
        <f t="shared" si="8"/>
        <v>57</v>
      </c>
      <c r="K102" s="35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>
      <c r="A103" s="4" t="s">
        <v>49</v>
      </c>
      <c r="B103" s="4">
        <v>2.0</v>
      </c>
      <c r="C103" s="4">
        <v>11.0</v>
      </c>
      <c r="D103" s="4">
        <v>7.0</v>
      </c>
      <c r="E103" s="4">
        <v>3.0</v>
      </c>
      <c r="F103" s="35"/>
      <c r="G103" s="35"/>
      <c r="H103" s="35"/>
      <c r="I103" s="35">
        <f t="shared" si="7"/>
        <v>23</v>
      </c>
      <c r="J103" s="35">
        <f t="shared" si="8"/>
        <v>57</v>
      </c>
      <c r="K103" s="35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>
      <c r="A104" s="4" t="s">
        <v>50</v>
      </c>
      <c r="B104" s="4">
        <v>2.0</v>
      </c>
      <c r="C104" s="4">
        <v>11.0</v>
      </c>
      <c r="D104" s="4">
        <v>7.0</v>
      </c>
      <c r="E104" s="4">
        <v>3.0</v>
      </c>
      <c r="F104" s="4"/>
      <c r="G104" s="35"/>
      <c r="H104" s="35"/>
      <c r="I104" s="35">
        <f t="shared" si="7"/>
        <v>23</v>
      </c>
      <c r="J104" s="35">
        <f t="shared" si="8"/>
        <v>57</v>
      </c>
      <c r="K104" s="35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>
      <c r="A105" s="4" t="s">
        <v>51</v>
      </c>
      <c r="B105" s="4">
        <v>2.0</v>
      </c>
      <c r="C105" s="4">
        <v>11.0</v>
      </c>
      <c r="D105" s="4">
        <v>7.0</v>
      </c>
      <c r="E105" s="4">
        <v>3.0</v>
      </c>
      <c r="F105" s="4"/>
      <c r="G105" s="35"/>
      <c r="H105" s="35"/>
      <c r="I105" s="35">
        <f t="shared" si="7"/>
        <v>23</v>
      </c>
      <c r="J105" s="35">
        <f t="shared" si="8"/>
        <v>57</v>
      </c>
      <c r="K105" s="35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>
      <c r="A106" s="4" t="s">
        <v>52</v>
      </c>
      <c r="B106" s="4">
        <v>2.0</v>
      </c>
      <c r="C106" s="4">
        <v>11.0</v>
      </c>
      <c r="D106" s="4">
        <v>7.0</v>
      </c>
      <c r="E106" s="4">
        <v>3.0</v>
      </c>
      <c r="F106" s="4"/>
      <c r="G106" s="35"/>
      <c r="H106" s="35"/>
      <c r="I106" s="35">
        <f t="shared" si="7"/>
        <v>23</v>
      </c>
      <c r="J106" s="35">
        <f t="shared" si="8"/>
        <v>57</v>
      </c>
      <c r="K106" s="35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>
      <c r="A107" s="4" t="s">
        <v>53</v>
      </c>
      <c r="B107" s="4">
        <v>2.0</v>
      </c>
      <c r="C107" s="4">
        <v>11.0</v>
      </c>
      <c r="D107" s="4">
        <v>7.0</v>
      </c>
      <c r="E107" s="4">
        <v>3.0</v>
      </c>
      <c r="F107" s="4"/>
      <c r="G107" s="35"/>
      <c r="H107" s="35"/>
      <c r="I107" s="35">
        <f t="shared" si="7"/>
        <v>23</v>
      </c>
      <c r="J107" s="35">
        <f t="shared" si="8"/>
        <v>57</v>
      </c>
      <c r="K107" s="35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>
      <c r="A108" s="4" t="s">
        <v>54</v>
      </c>
      <c r="B108" s="4">
        <v>2.0</v>
      </c>
      <c r="C108" s="4">
        <v>11.0</v>
      </c>
      <c r="D108" s="4">
        <v>7.0</v>
      </c>
      <c r="E108" s="4">
        <v>3.0</v>
      </c>
      <c r="F108" s="4"/>
      <c r="G108" s="35"/>
      <c r="H108" s="35"/>
      <c r="I108" s="35">
        <f t="shared" si="7"/>
        <v>23</v>
      </c>
      <c r="J108" s="35">
        <f t="shared" si="8"/>
        <v>57</v>
      </c>
      <c r="K108" s="35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>
      <c r="A109" s="4" t="s">
        <v>55</v>
      </c>
      <c r="B109" s="4">
        <v>2.0</v>
      </c>
      <c r="C109" s="4">
        <v>11.0</v>
      </c>
      <c r="D109" s="4">
        <v>7.0</v>
      </c>
      <c r="E109" s="4">
        <v>3.0</v>
      </c>
      <c r="F109" s="4"/>
      <c r="G109" s="35"/>
      <c r="H109" s="35"/>
      <c r="I109" s="35">
        <f t="shared" si="7"/>
        <v>23</v>
      </c>
      <c r="J109" s="35">
        <f t="shared" si="8"/>
        <v>57</v>
      </c>
      <c r="K109" s="35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>
      <c r="A110" s="4" t="s">
        <v>56</v>
      </c>
      <c r="B110" s="4">
        <v>2.0</v>
      </c>
      <c r="C110" s="4">
        <v>11.0</v>
      </c>
      <c r="D110" s="4">
        <v>7.0</v>
      </c>
      <c r="E110" s="4">
        <v>3.0</v>
      </c>
      <c r="F110" s="4"/>
      <c r="G110" s="35"/>
      <c r="H110" s="35"/>
      <c r="I110" s="35">
        <f t="shared" si="7"/>
        <v>23</v>
      </c>
      <c r="J110" s="35">
        <f t="shared" si="8"/>
        <v>57</v>
      </c>
      <c r="K110" s="35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</row>
  </sheetData>
  <mergeCells count="4">
    <mergeCell ref="A1:K1"/>
    <mergeCell ref="A29:K29"/>
    <mergeCell ref="A57:K57"/>
    <mergeCell ref="A85:K8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63</v>
      </c>
      <c r="B1" s="2"/>
      <c r="C1" s="2"/>
      <c r="D1" s="2"/>
      <c r="E1" s="2"/>
      <c r="F1" s="2"/>
      <c r="G1" s="2"/>
      <c r="H1" s="2"/>
      <c r="I1" s="2"/>
      <c r="J1" s="2"/>
      <c r="K1" s="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/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59</v>
      </c>
      <c r="H2" s="4" t="s">
        <v>60</v>
      </c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4" t="s">
        <v>33</v>
      </c>
      <c r="B3" s="4">
        <v>1.0</v>
      </c>
      <c r="C3" s="4">
        <v>6.0</v>
      </c>
      <c r="D3" s="4">
        <v>3.0</v>
      </c>
      <c r="E3" s="4">
        <v>5.0</v>
      </c>
      <c r="F3" s="4">
        <v>4.0</v>
      </c>
      <c r="G3" s="4">
        <v>4.0</v>
      </c>
      <c r="H3" s="35"/>
      <c r="I3" s="35">
        <f t="shared" ref="I3:I26" si="1">sum(B3:H3)</f>
        <v>23</v>
      </c>
      <c r="J3" s="35">
        <f t="shared" ref="J3:J26" si="2">B3+C3*2+D3*3+E3*4+F3*5+G3*6+H3*7</f>
        <v>86</v>
      </c>
      <c r="K3" s="35">
        <f>sum(J3:J26)/((24*24)-24)</f>
        <v>3.355072464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4" t="s">
        <v>34</v>
      </c>
      <c r="B4" s="4">
        <v>1.0</v>
      </c>
      <c r="C4" s="4">
        <v>6.0</v>
      </c>
      <c r="D4" s="4">
        <v>3.0</v>
      </c>
      <c r="E4" s="4">
        <v>5.0</v>
      </c>
      <c r="F4" s="4">
        <v>4.0</v>
      </c>
      <c r="G4" s="4">
        <v>4.0</v>
      </c>
      <c r="H4" s="35"/>
      <c r="I4" s="35">
        <f t="shared" si="1"/>
        <v>23</v>
      </c>
      <c r="J4" s="35">
        <f t="shared" si="2"/>
        <v>86</v>
      </c>
      <c r="K4" s="35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" t="s">
        <v>35</v>
      </c>
      <c r="B5" s="4">
        <v>1.0</v>
      </c>
      <c r="C5" s="4">
        <v>6.0</v>
      </c>
      <c r="D5" s="4">
        <v>3.0</v>
      </c>
      <c r="E5" s="4">
        <v>5.0</v>
      </c>
      <c r="F5" s="4">
        <v>4.0</v>
      </c>
      <c r="G5" s="4">
        <v>4.0</v>
      </c>
      <c r="H5" s="35"/>
      <c r="I5" s="35">
        <f t="shared" si="1"/>
        <v>23</v>
      </c>
      <c r="J5" s="35">
        <f t="shared" si="2"/>
        <v>86</v>
      </c>
      <c r="K5" s="35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4" t="s">
        <v>36</v>
      </c>
      <c r="B6" s="4">
        <v>1.0</v>
      </c>
      <c r="C6" s="4">
        <v>6.0</v>
      </c>
      <c r="D6" s="4">
        <v>3.0</v>
      </c>
      <c r="E6" s="4">
        <v>5.0</v>
      </c>
      <c r="F6" s="4">
        <v>4.0</v>
      </c>
      <c r="G6" s="4">
        <v>4.0</v>
      </c>
      <c r="H6" s="35"/>
      <c r="I6" s="35">
        <f t="shared" si="1"/>
        <v>23</v>
      </c>
      <c r="J6" s="35">
        <f t="shared" si="2"/>
        <v>86</v>
      </c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" t="s">
        <v>37</v>
      </c>
      <c r="B7" s="4">
        <v>1.0</v>
      </c>
      <c r="C7" s="4">
        <v>6.0</v>
      </c>
      <c r="D7" s="4">
        <v>3.0</v>
      </c>
      <c r="E7" s="4">
        <v>5.0</v>
      </c>
      <c r="F7" s="4">
        <v>4.0</v>
      </c>
      <c r="G7" s="4">
        <v>4.0</v>
      </c>
      <c r="H7" s="35"/>
      <c r="I7" s="35">
        <f t="shared" si="1"/>
        <v>23</v>
      </c>
      <c r="J7" s="35">
        <f t="shared" si="2"/>
        <v>86</v>
      </c>
      <c r="K7" s="35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4" t="s">
        <v>38</v>
      </c>
      <c r="B8" s="37">
        <v>7.0</v>
      </c>
      <c r="C8" s="37">
        <v>3.0</v>
      </c>
      <c r="D8" s="37">
        <v>5.0</v>
      </c>
      <c r="E8" s="4">
        <v>4.0</v>
      </c>
      <c r="F8" s="4">
        <v>4.0</v>
      </c>
      <c r="G8" s="35"/>
      <c r="H8" s="35"/>
      <c r="I8" s="35">
        <f t="shared" si="1"/>
        <v>23</v>
      </c>
      <c r="J8" s="35">
        <f t="shared" si="2"/>
        <v>64</v>
      </c>
      <c r="K8" s="35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4" t="s">
        <v>39</v>
      </c>
      <c r="B9" s="4">
        <v>1.0</v>
      </c>
      <c r="C9" s="4">
        <v>3.0</v>
      </c>
      <c r="D9" s="4">
        <v>11.0</v>
      </c>
      <c r="E9" s="4">
        <v>4.0</v>
      </c>
      <c r="F9" s="4">
        <v>4.0</v>
      </c>
      <c r="G9" s="4"/>
      <c r="H9" s="35"/>
      <c r="I9" s="35">
        <f t="shared" si="1"/>
        <v>23</v>
      </c>
      <c r="J9" s="35">
        <f t="shared" si="2"/>
        <v>76</v>
      </c>
      <c r="K9" s="35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4" t="s">
        <v>40</v>
      </c>
      <c r="B10" s="37">
        <v>4.0</v>
      </c>
      <c r="C10" s="37">
        <v>11.0</v>
      </c>
      <c r="D10" s="37">
        <v>4.0</v>
      </c>
      <c r="E10" s="4">
        <v>4.0</v>
      </c>
      <c r="F10" s="35"/>
      <c r="G10" s="35"/>
      <c r="H10" s="35"/>
      <c r="I10" s="35">
        <f t="shared" si="1"/>
        <v>23</v>
      </c>
      <c r="J10" s="35">
        <f t="shared" si="2"/>
        <v>54</v>
      </c>
      <c r="K10" s="35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4" t="s">
        <v>41</v>
      </c>
      <c r="B11" s="4">
        <v>1.0</v>
      </c>
      <c r="C11" s="4">
        <v>3.0</v>
      </c>
      <c r="D11" s="4">
        <v>11.0</v>
      </c>
      <c r="E11" s="4">
        <v>4.0</v>
      </c>
      <c r="F11" s="4">
        <v>4.0</v>
      </c>
      <c r="G11" s="35"/>
      <c r="H11" s="35"/>
      <c r="I11" s="35">
        <f t="shared" si="1"/>
        <v>23</v>
      </c>
      <c r="J11" s="35">
        <f t="shared" si="2"/>
        <v>76</v>
      </c>
      <c r="K11" s="35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4" t="s">
        <v>42</v>
      </c>
      <c r="B12" s="4">
        <v>1.0</v>
      </c>
      <c r="C12" s="37">
        <v>5.0</v>
      </c>
      <c r="D12" s="37">
        <v>7.0</v>
      </c>
      <c r="E12" s="4">
        <v>10.0</v>
      </c>
      <c r="F12" s="35"/>
      <c r="G12" s="35"/>
      <c r="H12" s="35"/>
      <c r="I12" s="35">
        <f t="shared" si="1"/>
        <v>23</v>
      </c>
      <c r="J12" s="35">
        <f t="shared" si="2"/>
        <v>72</v>
      </c>
      <c r="K12" s="35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4" t="s">
        <v>43</v>
      </c>
      <c r="B13" s="4">
        <v>1.0</v>
      </c>
      <c r="C13" s="4">
        <v>6.0</v>
      </c>
      <c r="D13" s="4">
        <v>3.0</v>
      </c>
      <c r="E13" s="4">
        <v>5.0</v>
      </c>
      <c r="F13" s="4">
        <v>4.0</v>
      </c>
      <c r="G13" s="4">
        <v>4.0</v>
      </c>
      <c r="H13" s="35"/>
      <c r="I13" s="35">
        <f t="shared" si="1"/>
        <v>23</v>
      </c>
      <c r="J13" s="35">
        <f t="shared" si="2"/>
        <v>86</v>
      </c>
      <c r="K13" s="35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4" t="s">
        <v>44</v>
      </c>
      <c r="B14" s="4">
        <v>1.0</v>
      </c>
      <c r="C14" s="37">
        <v>5.0</v>
      </c>
      <c r="D14" s="37">
        <v>7.0</v>
      </c>
      <c r="E14" s="4">
        <v>10.0</v>
      </c>
      <c r="F14" s="35"/>
      <c r="G14" s="35"/>
      <c r="H14" s="35"/>
      <c r="I14" s="35">
        <f t="shared" si="1"/>
        <v>23</v>
      </c>
      <c r="J14" s="35">
        <f t="shared" si="2"/>
        <v>72</v>
      </c>
      <c r="K14" s="35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4" t="s">
        <v>45</v>
      </c>
      <c r="B15" s="4">
        <v>6.0</v>
      </c>
      <c r="C15" s="4">
        <v>7.0</v>
      </c>
      <c r="D15" s="4">
        <v>10.0</v>
      </c>
      <c r="E15" s="35"/>
      <c r="F15" s="35"/>
      <c r="G15" s="35"/>
      <c r="H15" s="35"/>
      <c r="I15" s="35">
        <f t="shared" si="1"/>
        <v>23</v>
      </c>
      <c r="J15" s="35">
        <f t="shared" si="2"/>
        <v>50</v>
      </c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4" t="s">
        <v>46</v>
      </c>
      <c r="B16" s="4">
        <v>1.0</v>
      </c>
      <c r="C16" s="4">
        <v>4.0</v>
      </c>
      <c r="D16" s="4">
        <v>9.0</v>
      </c>
      <c r="E16" s="4">
        <v>3.0</v>
      </c>
      <c r="F16" s="4">
        <v>6.0</v>
      </c>
      <c r="G16" s="35"/>
      <c r="H16" s="35"/>
      <c r="I16" s="35">
        <f t="shared" si="1"/>
        <v>23</v>
      </c>
      <c r="J16" s="35">
        <f t="shared" si="2"/>
        <v>78</v>
      </c>
      <c r="K16" s="35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4" t="s">
        <v>47</v>
      </c>
      <c r="B17" s="4">
        <v>5.0</v>
      </c>
      <c r="C17" s="4">
        <v>9.0</v>
      </c>
      <c r="D17" s="4">
        <v>3.0</v>
      </c>
      <c r="E17" s="4">
        <v>6.0</v>
      </c>
      <c r="F17" s="35"/>
      <c r="G17" s="35"/>
      <c r="H17" s="35"/>
      <c r="I17" s="35">
        <f t="shared" si="1"/>
        <v>23</v>
      </c>
      <c r="J17" s="35">
        <f t="shared" si="2"/>
        <v>56</v>
      </c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4" t="s">
        <v>48</v>
      </c>
      <c r="B18" s="4">
        <v>1.0</v>
      </c>
      <c r="C18" s="4">
        <v>4.0</v>
      </c>
      <c r="D18" s="4">
        <v>9.0</v>
      </c>
      <c r="E18" s="4">
        <v>3.0</v>
      </c>
      <c r="F18" s="4">
        <v>6.0</v>
      </c>
      <c r="G18" s="35"/>
      <c r="H18" s="35"/>
      <c r="I18" s="35">
        <f t="shared" si="1"/>
        <v>23</v>
      </c>
      <c r="J18" s="35">
        <f t="shared" si="2"/>
        <v>78</v>
      </c>
      <c r="K18" s="35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4" t="s">
        <v>49</v>
      </c>
      <c r="B19" s="4">
        <v>1.0</v>
      </c>
      <c r="C19" s="37">
        <v>5.0</v>
      </c>
      <c r="D19" s="37">
        <v>7.0</v>
      </c>
      <c r="E19" s="4">
        <v>10.0</v>
      </c>
      <c r="F19" s="35"/>
      <c r="G19" s="35"/>
      <c r="H19" s="35"/>
      <c r="I19" s="35">
        <f t="shared" si="1"/>
        <v>23</v>
      </c>
      <c r="J19" s="35">
        <f t="shared" si="2"/>
        <v>72</v>
      </c>
      <c r="K19" s="35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4" t="s">
        <v>50</v>
      </c>
      <c r="B20" s="4">
        <v>1.0</v>
      </c>
      <c r="C20" s="4">
        <v>4.0</v>
      </c>
      <c r="D20" s="4">
        <v>9.0</v>
      </c>
      <c r="E20" s="4">
        <v>3.0</v>
      </c>
      <c r="F20" s="4">
        <v>6.0</v>
      </c>
      <c r="G20" s="35"/>
      <c r="H20" s="35"/>
      <c r="I20" s="35">
        <f t="shared" si="1"/>
        <v>23</v>
      </c>
      <c r="J20" s="35">
        <f t="shared" si="2"/>
        <v>78</v>
      </c>
      <c r="K20" s="35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4" t="s">
        <v>51</v>
      </c>
      <c r="B21" s="4">
        <v>1.0</v>
      </c>
      <c r="C21" s="4">
        <v>4.0</v>
      </c>
      <c r="D21" s="4">
        <v>4.0</v>
      </c>
      <c r="E21" s="4">
        <v>5.0</v>
      </c>
      <c r="F21" s="4">
        <v>3.0</v>
      </c>
      <c r="G21" s="4">
        <v>6.0</v>
      </c>
      <c r="H21" s="35"/>
      <c r="I21" s="35">
        <f t="shared" si="1"/>
        <v>23</v>
      </c>
      <c r="J21" s="35">
        <f t="shared" si="2"/>
        <v>92</v>
      </c>
      <c r="K21" s="35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4" t="s">
        <v>52</v>
      </c>
      <c r="B22" s="4">
        <v>1.0</v>
      </c>
      <c r="C22" s="37">
        <v>5.0</v>
      </c>
      <c r="D22" s="37">
        <v>7.0</v>
      </c>
      <c r="E22" s="4">
        <v>10.0</v>
      </c>
      <c r="F22" s="4"/>
      <c r="G22" s="35"/>
      <c r="H22" s="35"/>
      <c r="I22" s="35">
        <f t="shared" si="1"/>
        <v>23</v>
      </c>
      <c r="J22" s="35">
        <f t="shared" si="2"/>
        <v>72</v>
      </c>
      <c r="K22" s="35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4" t="s">
        <v>53</v>
      </c>
      <c r="B23" s="4">
        <v>5.0</v>
      </c>
      <c r="C23" s="4">
        <v>4.0</v>
      </c>
      <c r="D23" s="4">
        <v>5.0</v>
      </c>
      <c r="E23" s="4">
        <v>3.0</v>
      </c>
      <c r="F23" s="4">
        <v>6.0</v>
      </c>
      <c r="G23" s="35"/>
      <c r="H23" s="35"/>
      <c r="I23" s="35">
        <f t="shared" si="1"/>
        <v>23</v>
      </c>
      <c r="J23" s="35">
        <f t="shared" si="2"/>
        <v>70</v>
      </c>
      <c r="K23" s="35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4" t="s">
        <v>54</v>
      </c>
      <c r="B24" s="4">
        <v>1.0</v>
      </c>
      <c r="C24" s="4">
        <v>4.0</v>
      </c>
      <c r="D24" s="4">
        <v>4.0</v>
      </c>
      <c r="E24" s="4">
        <v>5.0</v>
      </c>
      <c r="F24" s="4">
        <v>3.0</v>
      </c>
      <c r="G24" s="4">
        <v>6.0</v>
      </c>
      <c r="H24" s="35"/>
      <c r="I24" s="35">
        <f t="shared" si="1"/>
        <v>23</v>
      </c>
      <c r="J24" s="35">
        <f t="shared" si="2"/>
        <v>92</v>
      </c>
      <c r="K24" s="35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4" t="s">
        <v>55</v>
      </c>
      <c r="B25" s="4">
        <v>1.0</v>
      </c>
      <c r="C25" s="4">
        <v>4.0</v>
      </c>
      <c r="D25" s="4">
        <v>4.0</v>
      </c>
      <c r="E25" s="4">
        <v>5.0</v>
      </c>
      <c r="F25" s="4">
        <v>3.0</v>
      </c>
      <c r="G25" s="4">
        <v>6.0</v>
      </c>
      <c r="H25" s="35"/>
      <c r="I25" s="35">
        <f t="shared" si="1"/>
        <v>23</v>
      </c>
      <c r="J25" s="35">
        <f t="shared" si="2"/>
        <v>92</v>
      </c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4" t="s">
        <v>56</v>
      </c>
      <c r="B26" s="4">
        <v>1.0</v>
      </c>
      <c r="C26" s="4">
        <v>4.0</v>
      </c>
      <c r="D26" s="4">
        <v>4.0</v>
      </c>
      <c r="E26" s="4">
        <v>5.0</v>
      </c>
      <c r="F26" s="4">
        <v>3.0</v>
      </c>
      <c r="G26" s="4">
        <v>6.0</v>
      </c>
      <c r="H26" s="35"/>
      <c r="I26" s="35">
        <f t="shared" si="1"/>
        <v>23</v>
      </c>
      <c r="J26" s="35">
        <f t="shared" si="2"/>
        <v>92</v>
      </c>
      <c r="K26" s="35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9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9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5" t="s">
        <v>64</v>
      </c>
      <c r="B29" s="2"/>
      <c r="C29" s="2"/>
      <c r="D29" s="2"/>
      <c r="E29" s="2"/>
      <c r="F29" s="2"/>
      <c r="G29" s="2"/>
      <c r="H29" s="2"/>
      <c r="I29" s="2"/>
      <c r="J29" s="2"/>
      <c r="K29" s="3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5"/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59</v>
      </c>
      <c r="H30" s="4" t="s">
        <v>60</v>
      </c>
      <c r="I30" s="35"/>
      <c r="J30" s="35"/>
      <c r="K30" s="35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4" t="s">
        <v>33</v>
      </c>
      <c r="B31" s="4">
        <v>1.0</v>
      </c>
      <c r="C31" s="4">
        <v>6.0</v>
      </c>
      <c r="D31" s="4">
        <v>11.0</v>
      </c>
      <c r="E31" s="4">
        <v>3.0</v>
      </c>
      <c r="F31" s="4">
        <v>2.0</v>
      </c>
      <c r="G31" s="4"/>
      <c r="H31" s="35"/>
      <c r="I31" s="35">
        <f t="shared" ref="I31:I54" si="3">sum(B31:H31)</f>
        <v>23</v>
      </c>
      <c r="J31" s="35">
        <f t="shared" ref="J31:J54" si="4">B31+C31*2+D31*3+E31*4+F31*5+G31*6+H31*7</f>
        <v>68</v>
      </c>
      <c r="K31" s="35">
        <f>sum(J31:J54)/((24*24)-24)</f>
        <v>2.887681159</v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4" t="s">
        <v>34</v>
      </c>
      <c r="B32" s="4">
        <v>1.0</v>
      </c>
      <c r="C32" s="4">
        <v>6.0</v>
      </c>
      <c r="D32" s="4">
        <v>11.0</v>
      </c>
      <c r="E32" s="4">
        <v>3.0</v>
      </c>
      <c r="F32" s="4">
        <v>2.0</v>
      </c>
      <c r="G32" s="4"/>
      <c r="H32" s="35"/>
      <c r="I32" s="35">
        <f t="shared" si="3"/>
        <v>23</v>
      </c>
      <c r="J32" s="35">
        <f t="shared" si="4"/>
        <v>68</v>
      </c>
      <c r="K32" s="35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4" t="s">
        <v>35</v>
      </c>
      <c r="B33" s="4">
        <v>1.0</v>
      </c>
      <c r="C33" s="4">
        <v>6.0</v>
      </c>
      <c r="D33" s="4">
        <v>11.0</v>
      </c>
      <c r="E33" s="4">
        <v>3.0</v>
      </c>
      <c r="F33" s="4">
        <v>2.0</v>
      </c>
      <c r="G33" s="4"/>
      <c r="H33" s="35"/>
      <c r="I33" s="35">
        <f t="shared" si="3"/>
        <v>23</v>
      </c>
      <c r="J33" s="35">
        <f t="shared" si="4"/>
        <v>68</v>
      </c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4" t="s">
        <v>36</v>
      </c>
      <c r="B34" s="4">
        <v>1.0</v>
      </c>
      <c r="C34" s="4">
        <v>6.0</v>
      </c>
      <c r="D34" s="4">
        <v>11.0</v>
      </c>
      <c r="E34" s="4">
        <v>3.0</v>
      </c>
      <c r="F34" s="4">
        <v>2.0</v>
      </c>
      <c r="G34" s="4"/>
      <c r="H34" s="35"/>
      <c r="I34" s="35">
        <f t="shared" si="3"/>
        <v>23</v>
      </c>
      <c r="J34" s="35">
        <f t="shared" si="4"/>
        <v>68</v>
      </c>
      <c r="K34" s="35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4" t="s">
        <v>37</v>
      </c>
      <c r="B35" s="4">
        <v>1.0</v>
      </c>
      <c r="C35" s="4">
        <v>6.0</v>
      </c>
      <c r="D35" s="4">
        <v>11.0</v>
      </c>
      <c r="E35" s="4">
        <v>3.0</v>
      </c>
      <c r="F35" s="4">
        <v>2.0</v>
      </c>
      <c r="G35" s="4"/>
      <c r="H35" s="35"/>
      <c r="I35" s="35">
        <f t="shared" si="3"/>
        <v>23</v>
      </c>
      <c r="J35" s="35">
        <f t="shared" si="4"/>
        <v>68</v>
      </c>
      <c r="K35" s="35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4" t="s">
        <v>38</v>
      </c>
      <c r="B36" s="37">
        <v>7.0</v>
      </c>
      <c r="C36" s="4">
        <v>11.0</v>
      </c>
      <c r="D36" s="4">
        <v>3.0</v>
      </c>
      <c r="E36" s="4">
        <v>2.0</v>
      </c>
      <c r="F36" s="4"/>
      <c r="G36" s="35"/>
      <c r="H36" s="35"/>
      <c r="I36" s="35">
        <f t="shared" si="3"/>
        <v>23</v>
      </c>
      <c r="J36" s="35">
        <f t="shared" si="4"/>
        <v>46</v>
      </c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4" t="s">
        <v>39</v>
      </c>
      <c r="B37" s="4">
        <v>1.0</v>
      </c>
      <c r="C37" s="4">
        <v>3.0</v>
      </c>
      <c r="D37" s="4">
        <v>8.0</v>
      </c>
      <c r="E37" s="4">
        <v>3.0</v>
      </c>
      <c r="F37" s="4">
        <v>8.0</v>
      </c>
      <c r="G37" s="4"/>
      <c r="H37" s="35"/>
      <c r="I37" s="35">
        <f t="shared" si="3"/>
        <v>23</v>
      </c>
      <c r="J37" s="35">
        <f t="shared" si="4"/>
        <v>83</v>
      </c>
      <c r="K37" s="35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4" t="s">
        <v>40</v>
      </c>
      <c r="B38" s="37">
        <v>4.0</v>
      </c>
      <c r="C38" s="37">
        <v>8.0</v>
      </c>
      <c r="D38" s="37">
        <v>3.0</v>
      </c>
      <c r="E38" s="4">
        <v>8.0</v>
      </c>
      <c r="F38" s="35"/>
      <c r="G38" s="35"/>
      <c r="H38" s="35"/>
      <c r="I38" s="35">
        <f t="shared" si="3"/>
        <v>23</v>
      </c>
      <c r="J38" s="35">
        <f t="shared" si="4"/>
        <v>61</v>
      </c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4" t="s">
        <v>41</v>
      </c>
      <c r="B39" s="4">
        <v>1.0</v>
      </c>
      <c r="C39" s="4">
        <v>3.0</v>
      </c>
      <c r="D39" s="4">
        <v>8.0</v>
      </c>
      <c r="E39" s="4">
        <v>3.0</v>
      </c>
      <c r="F39" s="4">
        <v>8.0</v>
      </c>
      <c r="G39" s="35"/>
      <c r="H39" s="35"/>
      <c r="I39" s="35">
        <f t="shared" si="3"/>
        <v>23</v>
      </c>
      <c r="J39" s="35">
        <f t="shared" si="4"/>
        <v>83</v>
      </c>
      <c r="K39" s="35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4" t="s">
        <v>42</v>
      </c>
      <c r="B40" s="4">
        <v>1.0</v>
      </c>
      <c r="C40" s="37">
        <v>3.0</v>
      </c>
      <c r="D40" s="37">
        <v>6.0</v>
      </c>
      <c r="E40" s="4">
        <v>13.0</v>
      </c>
      <c r="F40" s="35"/>
      <c r="G40" s="35"/>
      <c r="H40" s="35"/>
      <c r="I40" s="35">
        <f t="shared" si="3"/>
        <v>23</v>
      </c>
      <c r="J40" s="35">
        <f t="shared" si="4"/>
        <v>77</v>
      </c>
      <c r="K40" s="35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4" t="s">
        <v>43</v>
      </c>
      <c r="B41" s="4">
        <v>1.0</v>
      </c>
      <c r="C41" s="37">
        <v>3.0</v>
      </c>
      <c r="D41" s="37">
        <v>6.0</v>
      </c>
      <c r="E41" s="4">
        <v>13.0</v>
      </c>
      <c r="F41" s="4"/>
      <c r="G41" s="4"/>
      <c r="H41" s="35"/>
      <c r="I41" s="35">
        <f t="shared" si="3"/>
        <v>23</v>
      </c>
      <c r="J41" s="35">
        <f t="shared" si="4"/>
        <v>77</v>
      </c>
      <c r="K41" s="35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4" t="s">
        <v>44</v>
      </c>
      <c r="B42" s="4">
        <v>4.0</v>
      </c>
      <c r="C42" s="37">
        <v>6.0</v>
      </c>
      <c r="D42" s="37">
        <v>13.0</v>
      </c>
      <c r="E42" s="4"/>
      <c r="F42" s="35"/>
      <c r="G42" s="35"/>
      <c r="H42" s="35"/>
      <c r="I42" s="35">
        <f t="shared" si="3"/>
        <v>23</v>
      </c>
      <c r="J42" s="35">
        <f t="shared" si="4"/>
        <v>55</v>
      </c>
      <c r="K42" s="35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4" t="s">
        <v>45</v>
      </c>
      <c r="B43" s="4">
        <v>4.0</v>
      </c>
      <c r="C43" s="4">
        <v>11.0</v>
      </c>
      <c r="D43" s="4">
        <v>3.0</v>
      </c>
      <c r="E43" s="4">
        <v>5.0</v>
      </c>
      <c r="F43" s="35"/>
      <c r="G43" s="35"/>
      <c r="H43" s="35"/>
      <c r="I43" s="35">
        <f t="shared" si="3"/>
        <v>23</v>
      </c>
      <c r="J43" s="35">
        <f t="shared" si="4"/>
        <v>55</v>
      </c>
      <c r="K43" s="35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4" t="s">
        <v>46</v>
      </c>
      <c r="B44" s="4">
        <v>1.0</v>
      </c>
      <c r="C44" s="4">
        <v>3.0</v>
      </c>
      <c r="D44" s="4">
        <v>11.0</v>
      </c>
      <c r="E44" s="4">
        <v>3.0</v>
      </c>
      <c r="F44" s="4">
        <v>5.0</v>
      </c>
      <c r="G44" s="35"/>
      <c r="H44" s="35"/>
      <c r="I44" s="35">
        <f t="shared" si="3"/>
        <v>23</v>
      </c>
      <c r="J44" s="35">
        <f t="shared" si="4"/>
        <v>77</v>
      </c>
      <c r="K44" s="35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4" t="s">
        <v>47</v>
      </c>
      <c r="B45" s="4">
        <v>1.0</v>
      </c>
      <c r="C45" s="4">
        <v>3.0</v>
      </c>
      <c r="D45" s="4">
        <v>11.0</v>
      </c>
      <c r="E45" s="4">
        <v>3.0</v>
      </c>
      <c r="F45" s="4">
        <v>5.0</v>
      </c>
      <c r="G45" s="35"/>
      <c r="H45" s="35"/>
      <c r="I45" s="35">
        <f t="shared" si="3"/>
        <v>23</v>
      </c>
      <c r="J45" s="35">
        <f t="shared" si="4"/>
        <v>77</v>
      </c>
      <c r="K45" s="35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4" t="s">
        <v>48</v>
      </c>
      <c r="B46" s="4">
        <v>1.0</v>
      </c>
      <c r="C46" s="4">
        <v>9.0</v>
      </c>
      <c r="D46" s="4">
        <v>8.0</v>
      </c>
      <c r="E46" s="4">
        <v>3.0</v>
      </c>
      <c r="F46" s="4">
        <v>2.0</v>
      </c>
      <c r="G46" s="4"/>
      <c r="H46" s="35"/>
      <c r="I46" s="35">
        <f t="shared" si="3"/>
        <v>23</v>
      </c>
      <c r="J46" s="35">
        <f t="shared" si="4"/>
        <v>65</v>
      </c>
      <c r="K46" s="35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4" t="s">
        <v>49</v>
      </c>
      <c r="B47" s="4">
        <v>10.0</v>
      </c>
      <c r="C47" s="37">
        <v>8.0</v>
      </c>
      <c r="D47" s="37">
        <v>3.0</v>
      </c>
      <c r="E47" s="4">
        <v>2.0</v>
      </c>
      <c r="F47" s="4"/>
      <c r="G47" s="35"/>
      <c r="H47" s="35"/>
      <c r="I47" s="35">
        <f t="shared" si="3"/>
        <v>23</v>
      </c>
      <c r="J47" s="35">
        <f t="shared" si="4"/>
        <v>43</v>
      </c>
      <c r="K47" s="35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4" t="s">
        <v>50</v>
      </c>
      <c r="B48" s="4">
        <v>1.0</v>
      </c>
      <c r="C48" s="4">
        <v>9.0</v>
      </c>
      <c r="D48" s="4">
        <v>8.0</v>
      </c>
      <c r="E48" s="4">
        <v>3.0</v>
      </c>
      <c r="F48" s="4">
        <v>2.0</v>
      </c>
      <c r="G48" s="4"/>
      <c r="H48" s="35"/>
      <c r="I48" s="35">
        <f t="shared" si="3"/>
        <v>23</v>
      </c>
      <c r="J48" s="35">
        <f t="shared" si="4"/>
        <v>65</v>
      </c>
      <c r="K48" s="35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4" t="s">
        <v>51</v>
      </c>
      <c r="B49" s="4">
        <v>1.0</v>
      </c>
      <c r="C49" s="4">
        <v>9.0</v>
      </c>
      <c r="D49" s="4">
        <v>8.0</v>
      </c>
      <c r="E49" s="4">
        <v>3.0</v>
      </c>
      <c r="F49" s="4">
        <v>2.0</v>
      </c>
      <c r="G49" s="4"/>
      <c r="H49" s="35"/>
      <c r="I49" s="35">
        <f t="shared" si="3"/>
        <v>23</v>
      </c>
      <c r="J49" s="35">
        <f t="shared" si="4"/>
        <v>65</v>
      </c>
      <c r="K49" s="35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4" t="s">
        <v>52</v>
      </c>
      <c r="B50" s="4">
        <v>1.0</v>
      </c>
      <c r="C50" s="4">
        <v>9.0</v>
      </c>
      <c r="D50" s="4">
        <v>8.0</v>
      </c>
      <c r="E50" s="4">
        <v>3.0</v>
      </c>
      <c r="F50" s="4">
        <v>2.0</v>
      </c>
      <c r="G50" s="4"/>
      <c r="H50" s="35"/>
      <c r="I50" s="35">
        <f t="shared" si="3"/>
        <v>23</v>
      </c>
      <c r="J50" s="35">
        <f t="shared" si="4"/>
        <v>65</v>
      </c>
      <c r="K50" s="35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4" t="s">
        <v>53</v>
      </c>
      <c r="B51" s="4">
        <v>1.0</v>
      </c>
      <c r="C51" s="4">
        <v>9.0</v>
      </c>
      <c r="D51" s="4">
        <v>8.0</v>
      </c>
      <c r="E51" s="4">
        <v>3.0</v>
      </c>
      <c r="F51" s="4">
        <v>2.0</v>
      </c>
      <c r="G51" s="4"/>
      <c r="H51" s="35"/>
      <c r="I51" s="35">
        <f t="shared" si="3"/>
        <v>23</v>
      </c>
      <c r="J51" s="35">
        <f t="shared" si="4"/>
        <v>65</v>
      </c>
      <c r="K51" s="35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4" t="s">
        <v>54</v>
      </c>
      <c r="B52" s="4">
        <v>1.0</v>
      </c>
      <c r="C52" s="4">
        <v>9.0</v>
      </c>
      <c r="D52" s="4">
        <v>8.0</v>
      </c>
      <c r="E52" s="4">
        <v>3.0</v>
      </c>
      <c r="F52" s="4">
        <v>2.0</v>
      </c>
      <c r="G52" s="4"/>
      <c r="H52" s="35"/>
      <c r="I52" s="35">
        <f t="shared" si="3"/>
        <v>23</v>
      </c>
      <c r="J52" s="35">
        <f t="shared" si="4"/>
        <v>65</v>
      </c>
      <c r="K52" s="35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4" t="s">
        <v>55</v>
      </c>
      <c r="B53" s="4">
        <v>1.0</v>
      </c>
      <c r="C53" s="4">
        <v>9.0</v>
      </c>
      <c r="D53" s="4">
        <v>8.0</v>
      </c>
      <c r="E53" s="4">
        <v>3.0</v>
      </c>
      <c r="F53" s="4">
        <v>2.0</v>
      </c>
      <c r="G53" s="4"/>
      <c r="H53" s="35"/>
      <c r="I53" s="35">
        <f t="shared" si="3"/>
        <v>23</v>
      </c>
      <c r="J53" s="35">
        <f t="shared" si="4"/>
        <v>65</v>
      </c>
      <c r="K53" s="35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4" t="s">
        <v>56</v>
      </c>
      <c r="B54" s="4">
        <v>1.0</v>
      </c>
      <c r="C54" s="4">
        <v>9.0</v>
      </c>
      <c r="D54" s="4">
        <v>8.0</v>
      </c>
      <c r="E54" s="4">
        <v>3.0</v>
      </c>
      <c r="F54" s="4">
        <v>2.0</v>
      </c>
      <c r="G54" s="4"/>
      <c r="H54" s="35"/>
      <c r="I54" s="35">
        <f t="shared" si="3"/>
        <v>23</v>
      </c>
      <c r="J54" s="35">
        <f t="shared" si="4"/>
        <v>65</v>
      </c>
      <c r="K54" s="35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5" t="s">
        <v>65</v>
      </c>
      <c r="B57" s="2"/>
      <c r="C57" s="2"/>
      <c r="D57" s="2"/>
      <c r="E57" s="2"/>
      <c r="F57" s="2"/>
      <c r="G57" s="2"/>
      <c r="H57" s="2"/>
      <c r="I57" s="2"/>
      <c r="J57" s="2"/>
      <c r="K57" s="3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5"/>
      <c r="B58" s="4" t="s">
        <v>28</v>
      </c>
      <c r="C58" s="4" t="s">
        <v>29</v>
      </c>
      <c r="D58" s="4" t="s">
        <v>30</v>
      </c>
      <c r="E58" s="4" t="s">
        <v>31</v>
      </c>
      <c r="F58" s="4" t="s">
        <v>32</v>
      </c>
      <c r="G58" s="4" t="s">
        <v>59</v>
      </c>
      <c r="H58" s="4" t="s">
        <v>60</v>
      </c>
      <c r="I58" s="35"/>
      <c r="J58" s="35"/>
      <c r="K58" s="35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4" t="s">
        <v>33</v>
      </c>
      <c r="B59" s="4">
        <v>1.0</v>
      </c>
      <c r="C59" s="4">
        <v>6.0</v>
      </c>
      <c r="D59" s="4">
        <v>11.0</v>
      </c>
      <c r="E59" s="4">
        <v>3.0</v>
      </c>
      <c r="F59" s="4">
        <v>2.0</v>
      </c>
      <c r="G59" s="4"/>
      <c r="H59" s="35"/>
      <c r="I59" s="35">
        <f t="shared" ref="I59:I82" si="5">sum(B59:H59)</f>
        <v>23</v>
      </c>
      <c r="J59" s="35">
        <f t="shared" ref="J59:J82" si="6">B59+C59*2+D59*3+E59*4+F59*5+G59*6+H59*7</f>
        <v>68</v>
      </c>
      <c r="K59" s="35">
        <f>sum(J59:J82)/((24*24)-24)</f>
        <v>2.887681159</v>
      </c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4" t="s">
        <v>34</v>
      </c>
      <c r="B60" s="4">
        <v>1.0</v>
      </c>
      <c r="C60" s="4">
        <v>6.0</v>
      </c>
      <c r="D60" s="4">
        <v>11.0</v>
      </c>
      <c r="E60" s="4">
        <v>3.0</v>
      </c>
      <c r="F60" s="4">
        <v>2.0</v>
      </c>
      <c r="G60" s="4"/>
      <c r="H60" s="35"/>
      <c r="I60" s="35">
        <f t="shared" si="5"/>
        <v>23</v>
      </c>
      <c r="J60" s="35">
        <f t="shared" si="6"/>
        <v>68</v>
      </c>
      <c r="K60" s="35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4" t="s">
        <v>35</v>
      </c>
      <c r="B61" s="4">
        <v>1.0</v>
      </c>
      <c r="C61" s="4">
        <v>6.0</v>
      </c>
      <c r="D61" s="4">
        <v>11.0</v>
      </c>
      <c r="E61" s="4">
        <v>3.0</v>
      </c>
      <c r="F61" s="4">
        <v>2.0</v>
      </c>
      <c r="G61" s="4"/>
      <c r="H61" s="35"/>
      <c r="I61" s="35">
        <f t="shared" si="5"/>
        <v>23</v>
      </c>
      <c r="J61" s="35">
        <f t="shared" si="6"/>
        <v>68</v>
      </c>
      <c r="K61" s="35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4" t="s">
        <v>36</v>
      </c>
      <c r="B62" s="4">
        <v>1.0</v>
      </c>
      <c r="C62" s="4">
        <v>6.0</v>
      </c>
      <c r="D62" s="4">
        <v>11.0</v>
      </c>
      <c r="E62" s="4">
        <v>3.0</v>
      </c>
      <c r="F62" s="4">
        <v>2.0</v>
      </c>
      <c r="G62" s="4"/>
      <c r="H62" s="35"/>
      <c r="I62" s="35">
        <f t="shared" si="5"/>
        <v>23</v>
      </c>
      <c r="J62" s="35">
        <f t="shared" si="6"/>
        <v>68</v>
      </c>
      <c r="K62" s="35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4" t="s">
        <v>37</v>
      </c>
      <c r="B63" s="4">
        <v>1.0</v>
      </c>
      <c r="C63" s="4">
        <v>6.0</v>
      </c>
      <c r="D63" s="4">
        <v>11.0</v>
      </c>
      <c r="E63" s="4">
        <v>3.0</v>
      </c>
      <c r="F63" s="4">
        <v>2.0</v>
      </c>
      <c r="G63" s="4"/>
      <c r="H63" s="35"/>
      <c r="I63" s="35">
        <f t="shared" si="5"/>
        <v>23</v>
      </c>
      <c r="J63" s="35">
        <f t="shared" si="6"/>
        <v>68</v>
      </c>
      <c r="K63" s="35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4" t="s">
        <v>38</v>
      </c>
      <c r="B64" s="37">
        <v>7.0</v>
      </c>
      <c r="C64" s="4">
        <v>11.0</v>
      </c>
      <c r="D64" s="4">
        <v>3.0</v>
      </c>
      <c r="E64" s="4">
        <v>2.0</v>
      </c>
      <c r="F64" s="4"/>
      <c r="G64" s="35"/>
      <c r="H64" s="35"/>
      <c r="I64" s="35">
        <f t="shared" si="5"/>
        <v>23</v>
      </c>
      <c r="J64" s="35">
        <f t="shared" si="6"/>
        <v>46</v>
      </c>
      <c r="K64" s="35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4" t="s">
        <v>39</v>
      </c>
      <c r="B65" s="4">
        <v>1.0</v>
      </c>
      <c r="C65" s="4">
        <v>3.0</v>
      </c>
      <c r="D65" s="4">
        <v>8.0</v>
      </c>
      <c r="E65" s="4">
        <v>3.0</v>
      </c>
      <c r="F65" s="4">
        <v>8.0</v>
      </c>
      <c r="G65" s="4"/>
      <c r="H65" s="35"/>
      <c r="I65" s="35">
        <f t="shared" si="5"/>
        <v>23</v>
      </c>
      <c r="J65" s="35">
        <f t="shared" si="6"/>
        <v>83</v>
      </c>
      <c r="K65" s="35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4" t="s">
        <v>40</v>
      </c>
      <c r="B66" s="37">
        <v>4.0</v>
      </c>
      <c r="C66" s="37">
        <v>8.0</v>
      </c>
      <c r="D66" s="37">
        <v>3.0</v>
      </c>
      <c r="E66" s="4">
        <v>8.0</v>
      </c>
      <c r="F66" s="35"/>
      <c r="G66" s="35"/>
      <c r="H66" s="35"/>
      <c r="I66" s="35">
        <f t="shared" si="5"/>
        <v>23</v>
      </c>
      <c r="J66" s="35">
        <f t="shared" si="6"/>
        <v>61</v>
      </c>
      <c r="K66" s="35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4" t="s">
        <v>41</v>
      </c>
      <c r="B67" s="4">
        <v>1.0</v>
      </c>
      <c r="C67" s="4">
        <v>3.0</v>
      </c>
      <c r="D67" s="4">
        <v>8.0</v>
      </c>
      <c r="E67" s="4">
        <v>3.0</v>
      </c>
      <c r="F67" s="4">
        <v>8.0</v>
      </c>
      <c r="G67" s="35"/>
      <c r="H67" s="35"/>
      <c r="I67" s="35">
        <f t="shared" si="5"/>
        <v>23</v>
      </c>
      <c r="J67" s="35">
        <f t="shared" si="6"/>
        <v>83</v>
      </c>
      <c r="K67" s="35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4" t="s">
        <v>42</v>
      </c>
      <c r="B68" s="4">
        <v>1.0</v>
      </c>
      <c r="C68" s="37">
        <v>3.0</v>
      </c>
      <c r="D68" s="37">
        <v>6.0</v>
      </c>
      <c r="E68" s="4">
        <v>13.0</v>
      </c>
      <c r="F68" s="35"/>
      <c r="G68" s="35"/>
      <c r="H68" s="35"/>
      <c r="I68" s="35">
        <f t="shared" si="5"/>
        <v>23</v>
      </c>
      <c r="J68" s="35">
        <f t="shared" si="6"/>
        <v>77</v>
      </c>
      <c r="K68" s="35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4" t="s">
        <v>43</v>
      </c>
      <c r="B69" s="4">
        <v>1.0</v>
      </c>
      <c r="C69" s="37">
        <v>3.0</v>
      </c>
      <c r="D69" s="37">
        <v>6.0</v>
      </c>
      <c r="E69" s="4">
        <v>13.0</v>
      </c>
      <c r="F69" s="4"/>
      <c r="G69" s="4"/>
      <c r="H69" s="35"/>
      <c r="I69" s="35">
        <f t="shared" si="5"/>
        <v>23</v>
      </c>
      <c r="J69" s="35">
        <f t="shared" si="6"/>
        <v>77</v>
      </c>
      <c r="K69" s="35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4" t="s">
        <v>44</v>
      </c>
      <c r="B70" s="4">
        <v>4.0</v>
      </c>
      <c r="C70" s="37">
        <v>6.0</v>
      </c>
      <c r="D70" s="37">
        <v>13.0</v>
      </c>
      <c r="E70" s="4"/>
      <c r="F70" s="35"/>
      <c r="G70" s="35"/>
      <c r="H70" s="35"/>
      <c r="I70" s="35">
        <f t="shared" si="5"/>
        <v>23</v>
      </c>
      <c r="J70" s="35">
        <f t="shared" si="6"/>
        <v>55</v>
      </c>
      <c r="K70" s="35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4" t="s">
        <v>45</v>
      </c>
      <c r="B71" s="4">
        <v>4.0</v>
      </c>
      <c r="C71" s="4">
        <v>11.0</v>
      </c>
      <c r="D71" s="4">
        <v>3.0</v>
      </c>
      <c r="E71" s="4">
        <v>5.0</v>
      </c>
      <c r="F71" s="35"/>
      <c r="G71" s="35"/>
      <c r="H71" s="35"/>
      <c r="I71" s="35">
        <f t="shared" si="5"/>
        <v>23</v>
      </c>
      <c r="J71" s="35">
        <f t="shared" si="6"/>
        <v>55</v>
      </c>
      <c r="K71" s="35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4" t="s">
        <v>46</v>
      </c>
      <c r="B72" s="4">
        <v>1.0</v>
      </c>
      <c r="C72" s="4">
        <v>3.0</v>
      </c>
      <c r="D72" s="4">
        <v>11.0</v>
      </c>
      <c r="E72" s="4">
        <v>3.0</v>
      </c>
      <c r="F72" s="4">
        <v>5.0</v>
      </c>
      <c r="G72" s="35"/>
      <c r="H72" s="35"/>
      <c r="I72" s="35">
        <f t="shared" si="5"/>
        <v>23</v>
      </c>
      <c r="J72" s="35">
        <f t="shared" si="6"/>
        <v>77</v>
      </c>
      <c r="K72" s="35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4" t="s">
        <v>47</v>
      </c>
      <c r="B73" s="4">
        <v>1.0</v>
      </c>
      <c r="C73" s="4">
        <v>3.0</v>
      </c>
      <c r="D73" s="4">
        <v>11.0</v>
      </c>
      <c r="E73" s="4">
        <v>3.0</v>
      </c>
      <c r="F73" s="4">
        <v>5.0</v>
      </c>
      <c r="G73" s="35"/>
      <c r="H73" s="35"/>
      <c r="I73" s="35">
        <f t="shared" si="5"/>
        <v>23</v>
      </c>
      <c r="J73" s="35">
        <f t="shared" si="6"/>
        <v>77</v>
      </c>
      <c r="K73" s="35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4" t="s">
        <v>48</v>
      </c>
      <c r="B74" s="4">
        <v>1.0</v>
      </c>
      <c r="C74" s="4">
        <v>9.0</v>
      </c>
      <c r="D74" s="4">
        <v>8.0</v>
      </c>
      <c r="E74" s="4">
        <v>3.0</v>
      </c>
      <c r="F74" s="4">
        <v>2.0</v>
      </c>
      <c r="G74" s="4"/>
      <c r="H74" s="35"/>
      <c r="I74" s="35">
        <f t="shared" si="5"/>
        <v>23</v>
      </c>
      <c r="J74" s="35">
        <f t="shared" si="6"/>
        <v>65</v>
      </c>
      <c r="K74" s="35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4" t="s">
        <v>49</v>
      </c>
      <c r="B75" s="4">
        <v>10.0</v>
      </c>
      <c r="C75" s="37">
        <v>8.0</v>
      </c>
      <c r="D75" s="37">
        <v>3.0</v>
      </c>
      <c r="E75" s="4">
        <v>2.0</v>
      </c>
      <c r="F75" s="4"/>
      <c r="G75" s="35"/>
      <c r="H75" s="35"/>
      <c r="I75" s="35">
        <f t="shared" si="5"/>
        <v>23</v>
      </c>
      <c r="J75" s="35">
        <f t="shared" si="6"/>
        <v>43</v>
      </c>
      <c r="K75" s="35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4" t="s">
        <v>50</v>
      </c>
      <c r="B76" s="4">
        <v>1.0</v>
      </c>
      <c r="C76" s="4">
        <v>9.0</v>
      </c>
      <c r="D76" s="4">
        <v>8.0</v>
      </c>
      <c r="E76" s="4">
        <v>3.0</v>
      </c>
      <c r="F76" s="4">
        <v>2.0</v>
      </c>
      <c r="G76" s="4"/>
      <c r="H76" s="35"/>
      <c r="I76" s="35">
        <f t="shared" si="5"/>
        <v>23</v>
      </c>
      <c r="J76" s="35">
        <f t="shared" si="6"/>
        <v>65</v>
      </c>
      <c r="K76" s="35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4" t="s">
        <v>51</v>
      </c>
      <c r="B77" s="4">
        <v>1.0</v>
      </c>
      <c r="C77" s="4">
        <v>9.0</v>
      </c>
      <c r="D77" s="4">
        <v>8.0</v>
      </c>
      <c r="E77" s="4">
        <v>3.0</v>
      </c>
      <c r="F77" s="4">
        <v>2.0</v>
      </c>
      <c r="G77" s="4"/>
      <c r="H77" s="35"/>
      <c r="I77" s="35">
        <f t="shared" si="5"/>
        <v>23</v>
      </c>
      <c r="J77" s="35">
        <f t="shared" si="6"/>
        <v>65</v>
      </c>
      <c r="K77" s="35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4" t="s">
        <v>52</v>
      </c>
      <c r="B78" s="4">
        <v>1.0</v>
      </c>
      <c r="C78" s="4">
        <v>9.0</v>
      </c>
      <c r="D78" s="4">
        <v>8.0</v>
      </c>
      <c r="E78" s="4">
        <v>3.0</v>
      </c>
      <c r="F78" s="4">
        <v>2.0</v>
      </c>
      <c r="G78" s="4"/>
      <c r="H78" s="35"/>
      <c r="I78" s="35">
        <f t="shared" si="5"/>
        <v>23</v>
      </c>
      <c r="J78" s="35">
        <f t="shared" si="6"/>
        <v>65</v>
      </c>
      <c r="K78" s="35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4" t="s">
        <v>53</v>
      </c>
      <c r="B79" s="4">
        <v>1.0</v>
      </c>
      <c r="C79" s="4">
        <v>9.0</v>
      </c>
      <c r="D79" s="4">
        <v>8.0</v>
      </c>
      <c r="E79" s="4">
        <v>3.0</v>
      </c>
      <c r="F79" s="4">
        <v>2.0</v>
      </c>
      <c r="G79" s="4"/>
      <c r="H79" s="35"/>
      <c r="I79" s="35">
        <f t="shared" si="5"/>
        <v>23</v>
      </c>
      <c r="J79" s="35">
        <f t="shared" si="6"/>
        <v>65</v>
      </c>
      <c r="K79" s="35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4" t="s">
        <v>54</v>
      </c>
      <c r="B80" s="4">
        <v>1.0</v>
      </c>
      <c r="C80" s="4">
        <v>9.0</v>
      </c>
      <c r="D80" s="4">
        <v>8.0</v>
      </c>
      <c r="E80" s="4">
        <v>3.0</v>
      </c>
      <c r="F80" s="4">
        <v>2.0</v>
      </c>
      <c r="G80" s="4"/>
      <c r="H80" s="35"/>
      <c r="I80" s="35">
        <f t="shared" si="5"/>
        <v>23</v>
      </c>
      <c r="J80" s="35">
        <f t="shared" si="6"/>
        <v>65</v>
      </c>
      <c r="K80" s="35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4" t="s">
        <v>55</v>
      </c>
      <c r="B81" s="4">
        <v>1.0</v>
      </c>
      <c r="C81" s="4">
        <v>9.0</v>
      </c>
      <c r="D81" s="4">
        <v>8.0</v>
      </c>
      <c r="E81" s="4">
        <v>3.0</v>
      </c>
      <c r="F81" s="4">
        <v>2.0</v>
      </c>
      <c r="G81" s="4"/>
      <c r="H81" s="35"/>
      <c r="I81" s="35">
        <f t="shared" si="5"/>
        <v>23</v>
      </c>
      <c r="J81" s="35">
        <f t="shared" si="6"/>
        <v>65</v>
      </c>
      <c r="K81" s="35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4" t="s">
        <v>56</v>
      </c>
      <c r="B82" s="4">
        <v>1.0</v>
      </c>
      <c r="C82" s="4">
        <v>9.0</v>
      </c>
      <c r="D82" s="4">
        <v>8.0</v>
      </c>
      <c r="E82" s="4">
        <v>3.0</v>
      </c>
      <c r="F82" s="4">
        <v>2.0</v>
      </c>
      <c r="G82" s="4"/>
      <c r="H82" s="35"/>
      <c r="I82" s="35">
        <f t="shared" si="5"/>
        <v>23</v>
      </c>
      <c r="J82" s="35">
        <f t="shared" si="6"/>
        <v>65</v>
      </c>
      <c r="K82" s="35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5" t="s">
        <v>66</v>
      </c>
      <c r="B85" s="2"/>
      <c r="C85" s="2"/>
      <c r="D85" s="2"/>
      <c r="E85" s="2"/>
      <c r="F85" s="2"/>
      <c r="G85" s="2"/>
      <c r="H85" s="2"/>
      <c r="I85" s="2"/>
      <c r="J85" s="2"/>
      <c r="K85" s="3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5"/>
      <c r="B86" s="4" t="s">
        <v>28</v>
      </c>
      <c r="C86" s="4" t="s">
        <v>29</v>
      </c>
      <c r="D86" s="4" t="s">
        <v>30</v>
      </c>
      <c r="E86" s="4" t="s">
        <v>31</v>
      </c>
      <c r="F86" s="4" t="s">
        <v>32</v>
      </c>
      <c r="G86" s="4" t="s">
        <v>59</v>
      </c>
      <c r="H86" s="4" t="s">
        <v>60</v>
      </c>
      <c r="I86" s="35"/>
      <c r="J86" s="35"/>
      <c r="K86" s="35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4" t="s">
        <v>33</v>
      </c>
      <c r="B87" s="4">
        <v>1.0</v>
      </c>
      <c r="C87" s="4">
        <v>6.0</v>
      </c>
      <c r="D87" s="4">
        <v>10.0</v>
      </c>
      <c r="E87" s="4">
        <v>4.0</v>
      </c>
      <c r="F87" s="4">
        <v>2.0</v>
      </c>
      <c r="G87" s="4"/>
      <c r="H87" s="35"/>
      <c r="I87" s="35">
        <f t="shared" ref="I87:I110" si="7">sum(B87:H87)</f>
        <v>23</v>
      </c>
      <c r="J87" s="35">
        <f t="shared" ref="J87:J110" si="8">B87+C87*2+D87*3+E87*4+F87*5+G87*6+H87*7</f>
        <v>69</v>
      </c>
      <c r="K87" s="35">
        <f>sum(J87:J110)/((24*24)-24)</f>
        <v>2.862318841</v>
      </c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4" t="s">
        <v>34</v>
      </c>
      <c r="B88" s="4">
        <v>1.0</v>
      </c>
      <c r="C88" s="4">
        <v>6.0</v>
      </c>
      <c r="D88" s="4">
        <v>10.0</v>
      </c>
      <c r="E88" s="4">
        <v>4.0</v>
      </c>
      <c r="F88" s="4">
        <v>2.0</v>
      </c>
      <c r="G88" s="4"/>
      <c r="H88" s="35"/>
      <c r="I88" s="35">
        <f t="shared" si="7"/>
        <v>23</v>
      </c>
      <c r="J88" s="35">
        <f t="shared" si="8"/>
        <v>69</v>
      </c>
      <c r="K88" s="35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4" t="s">
        <v>35</v>
      </c>
      <c r="B89" s="4">
        <v>1.0</v>
      </c>
      <c r="C89" s="4">
        <v>6.0</v>
      </c>
      <c r="D89" s="4">
        <v>10.0</v>
      </c>
      <c r="E89" s="4">
        <v>4.0</v>
      </c>
      <c r="F89" s="4">
        <v>2.0</v>
      </c>
      <c r="G89" s="4"/>
      <c r="H89" s="35"/>
      <c r="I89" s="35">
        <f t="shared" si="7"/>
        <v>23</v>
      </c>
      <c r="J89" s="35">
        <f t="shared" si="8"/>
        <v>69</v>
      </c>
      <c r="K89" s="35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4" t="s">
        <v>36</v>
      </c>
      <c r="B90" s="4">
        <v>1.0</v>
      </c>
      <c r="C90" s="4">
        <v>6.0</v>
      </c>
      <c r="D90" s="4">
        <v>10.0</v>
      </c>
      <c r="E90" s="4">
        <v>4.0</v>
      </c>
      <c r="F90" s="4">
        <v>2.0</v>
      </c>
      <c r="G90" s="4"/>
      <c r="H90" s="35"/>
      <c r="I90" s="35">
        <f t="shared" si="7"/>
        <v>23</v>
      </c>
      <c r="J90" s="35">
        <f t="shared" si="8"/>
        <v>69</v>
      </c>
      <c r="K90" s="35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4" t="s">
        <v>37</v>
      </c>
      <c r="B91" s="4">
        <v>1.0</v>
      </c>
      <c r="C91" s="4">
        <v>6.0</v>
      </c>
      <c r="D91" s="4">
        <v>10.0</v>
      </c>
      <c r="E91" s="4">
        <v>4.0</v>
      </c>
      <c r="F91" s="4">
        <v>2.0</v>
      </c>
      <c r="G91" s="4"/>
      <c r="H91" s="35"/>
      <c r="I91" s="35">
        <f t="shared" si="7"/>
        <v>23</v>
      </c>
      <c r="J91" s="35">
        <f t="shared" si="8"/>
        <v>69</v>
      </c>
      <c r="K91" s="35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4" t="s">
        <v>38</v>
      </c>
      <c r="B92" s="37">
        <v>7.0</v>
      </c>
      <c r="C92" s="4">
        <v>10.0</v>
      </c>
      <c r="D92" s="4">
        <v>4.0</v>
      </c>
      <c r="E92" s="4">
        <v>2.0</v>
      </c>
      <c r="F92" s="4"/>
      <c r="G92" s="35"/>
      <c r="H92" s="35"/>
      <c r="I92" s="35">
        <f t="shared" si="7"/>
        <v>23</v>
      </c>
      <c r="J92" s="35">
        <f t="shared" si="8"/>
        <v>47</v>
      </c>
      <c r="K92" s="35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4" t="s">
        <v>39</v>
      </c>
      <c r="B93" s="4">
        <v>1.0</v>
      </c>
      <c r="C93" s="4">
        <v>2.0</v>
      </c>
      <c r="D93" s="4">
        <v>9.0</v>
      </c>
      <c r="E93" s="4">
        <v>3.0</v>
      </c>
      <c r="F93" s="4">
        <v>8.0</v>
      </c>
      <c r="G93" s="4"/>
      <c r="H93" s="35"/>
      <c r="I93" s="35">
        <f t="shared" si="7"/>
        <v>23</v>
      </c>
      <c r="J93" s="35">
        <f t="shared" si="8"/>
        <v>84</v>
      </c>
      <c r="K93" s="35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4" t="s">
        <v>40</v>
      </c>
      <c r="B94" s="37">
        <v>3.0</v>
      </c>
      <c r="C94" s="37">
        <v>9.0</v>
      </c>
      <c r="D94" s="37">
        <v>3.0</v>
      </c>
      <c r="E94" s="4">
        <v>8.0</v>
      </c>
      <c r="F94" s="35"/>
      <c r="G94" s="35"/>
      <c r="H94" s="35"/>
      <c r="I94" s="35">
        <f t="shared" si="7"/>
        <v>23</v>
      </c>
      <c r="J94" s="35">
        <f t="shared" si="8"/>
        <v>62</v>
      </c>
      <c r="K94" s="35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4" t="s">
        <v>41</v>
      </c>
      <c r="B95" s="4">
        <v>1.0</v>
      </c>
      <c r="C95" s="4">
        <v>4.0</v>
      </c>
      <c r="D95" s="4">
        <v>5.0</v>
      </c>
      <c r="E95" s="4">
        <v>13.0</v>
      </c>
      <c r="F95" s="4"/>
      <c r="G95" s="35"/>
      <c r="H95" s="35"/>
      <c r="I95" s="35">
        <f t="shared" si="7"/>
        <v>23</v>
      </c>
      <c r="J95" s="35">
        <f t="shared" si="8"/>
        <v>76</v>
      </c>
      <c r="K95" s="35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4" t="s">
        <v>42</v>
      </c>
      <c r="B96" s="4">
        <v>1.0</v>
      </c>
      <c r="C96" s="37">
        <v>4.0</v>
      </c>
      <c r="D96" s="37">
        <v>5.0</v>
      </c>
      <c r="E96" s="4">
        <v>13.0</v>
      </c>
      <c r="F96" s="35"/>
      <c r="G96" s="35"/>
      <c r="H96" s="35"/>
      <c r="I96" s="35">
        <f t="shared" si="7"/>
        <v>23</v>
      </c>
      <c r="J96" s="35">
        <f t="shared" si="8"/>
        <v>76</v>
      </c>
      <c r="K96" s="35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4" t="s">
        <v>43</v>
      </c>
      <c r="B97" s="4">
        <v>1.0</v>
      </c>
      <c r="C97" s="37">
        <v>4.0</v>
      </c>
      <c r="D97" s="37">
        <v>5.0</v>
      </c>
      <c r="E97" s="4">
        <v>13.0</v>
      </c>
      <c r="F97" s="4"/>
      <c r="G97" s="4"/>
      <c r="H97" s="35"/>
      <c r="I97" s="35">
        <f t="shared" si="7"/>
        <v>23</v>
      </c>
      <c r="J97" s="35">
        <f t="shared" si="8"/>
        <v>76</v>
      </c>
      <c r="K97" s="35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4" t="s">
        <v>44</v>
      </c>
      <c r="B98" s="4">
        <v>5.0</v>
      </c>
      <c r="C98" s="37">
        <v>5.0</v>
      </c>
      <c r="D98" s="37">
        <v>13.0</v>
      </c>
      <c r="E98" s="4"/>
      <c r="F98" s="35"/>
      <c r="G98" s="35"/>
      <c r="H98" s="35"/>
      <c r="I98" s="35">
        <f t="shared" si="7"/>
        <v>23</v>
      </c>
      <c r="J98" s="35">
        <f t="shared" si="8"/>
        <v>54</v>
      </c>
      <c r="K98" s="35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4" t="s">
        <v>45</v>
      </c>
      <c r="B99" s="4">
        <v>4.0</v>
      </c>
      <c r="C99" s="4">
        <v>12.0</v>
      </c>
      <c r="D99" s="4">
        <v>2.0</v>
      </c>
      <c r="E99" s="4">
        <v>5.0</v>
      </c>
      <c r="F99" s="35"/>
      <c r="G99" s="35"/>
      <c r="H99" s="35"/>
      <c r="I99" s="35">
        <f t="shared" si="7"/>
        <v>23</v>
      </c>
      <c r="J99" s="35">
        <f t="shared" si="8"/>
        <v>54</v>
      </c>
      <c r="K99" s="35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4" t="s">
        <v>46</v>
      </c>
      <c r="B100" s="4">
        <v>1.0</v>
      </c>
      <c r="C100" s="4">
        <v>3.0</v>
      </c>
      <c r="D100" s="4">
        <v>12.0</v>
      </c>
      <c r="E100" s="4">
        <v>2.0</v>
      </c>
      <c r="F100" s="4">
        <v>5.0</v>
      </c>
      <c r="G100" s="35"/>
      <c r="H100" s="35"/>
      <c r="I100" s="35">
        <f t="shared" si="7"/>
        <v>23</v>
      </c>
      <c r="J100" s="35">
        <f t="shared" si="8"/>
        <v>76</v>
      </c>
      <c r="K100" s="35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4" t="s">
        <v>47</v>
      </c>
      <c r="B101" s="4">
        <v>1.0</v>
      </c>
      <c r="C101" s="4">
        <v>3.0</v>
      </c>
      <c r="D101" s="4">
        <v>12.0</v>
      </c>
      <c r="E101" s="4">
        <v>2.0</v>
      </c>
      <c r="F101" s="4">
        <v>5.0</v>
      </c>
      <c r="G101" s="35"/>
      <c r="H101" s="35"/>
      <c r="I101" s="35">
        <f t="shared" si="7"/>
        <v>23</v>
      </c>
      <c r="J101" s="35">
        <f t="shared" si="8"/>
        <v>76</v>
      </c>
      <c r="K101" s="35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4" t="s">
        <v>48</v>
      </c>
      <c r="B102" s="4">
        <v>1.0</v>
      </c>
      <c r="C102" s="4">
        <v>9.0</v>
      </c>
      <c r="D102" s="4">
        <v>9.0</v>
      </c>
      <c r="E102" s="4">
        <v>2.0</v>
      </c>
      <c r="F102" s="4">
        <v>2.0</v>
      </c>
      <c r="G102" s="4"/>
      <c r="H102" s="35"/>
      <c r="I102" s="35">
        <f t="shared" si="7"/>
        <v>23</v>
      </c>
      <c r="J102" s="35">
        <f t="shared" si="8"/>
        <v>64</v>
      </c>
      <c r="K102" s="35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4" t="s">
        <v>49</v>
      </c>
      <c r="B103" s="4">
        <v>10.0</v>
      </c>
      <c r="C103" s="37">
        <v>9.0</v>
      </c>
      <c r="D103" s="37">
        <v>2.0</v>
      </c>
      <c r="E103" s="4">
        <v>2.0</v>
      </c>
      <c r="F103" s="4"/>
      <c r="G103" s="35"/>
      <c r="H103" s="35"/>
      <c r="I103" s="35">
        <f t="shared" si="7"/>
        <v>23</v>
      </c>
      <c r="J103" s="35">
        <f t="shared" si="8"/>
        <v>42</v>
      </c>
      <c r="K103" s="35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4" t="s">
        <v>50</v>
      </c>
      <c r="B104" s="4">
        <v>1.0</v>
      </c>
      <c r="C104" s="4">
        <v>9.0</v>
      </c>
      <c r="D104" s="4">
        <v>9.0</v>
      </c>
      <c r="E104" s="4">
        <v>2.0</v>
      </c>
      <c r="F104" s="4">
        <v>2.0</v>
      </c>
      <c r="G104" s="4"/>
      <c r="H104" s="35"/>
      <c r="I104" s="35">
        <f t="shared" si="7"/>
        <v>23</v>
      </c>
      <c r="J104" s="35">
        <f t="shared" si="8"/>
        <v>64</v>
      </c>
      <c r="K104" s="35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4" t="s">
        <v>51</v>
      </c>
      <c r="B105" s="4">
        <v>1.0</v>
      </c>
      <c r="C105" s="4">
        <v>9.0</v>
      </c>
      <c r="D105" s="4">
        <v>9.0</v>
      </c>
      <c r="E105" s="4">
        <v>2.0</v>
      </c>
      <c r="F105" s="4">
        <v>2.0</v>
      </c>
      <c r="G105" s="4"/>
      <c r="H105" s="35"/>
      <c r="I105" s="35">
        <f t="shared" si="7"/>
        <v>23</v>
      </c>
      <c r="J105" s="35">
        <f t="shared" si="8"/>
        <v>64</v>
      </c>
      <c r="K105" s="35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4" t="s">
        <v>52</v>
      </c>
      <c r="B106" s="4">
        <v>1.0</v>
      </c>
      <c r="C106" s="4">
        <v>9.0</v>
      </c>
      <c r="D106" s="4">
        <v>9.0</v>
      </c>
      <c r="E106" s="4">
        <v>2.0</v>
      </c>
      <c r="F106" s="4">
        <v>2.0</v>
      </c>
      <c r="G106" s="4"/>
      <c r="H106" s="35"/>
      <c r="I106" s="35">
        <f t="shared" si="7"/>
        <v>23</v>
      </c>
      <c r="J106" s="35">
        <f t="shared" si="8"/>
        <v>64</v>
      </c>
      <c r="K106" s="35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4" t="s">
        <v>53</v>
      </c>
      <c r="B107" s="4">
        <v>1.0</v>
      </c>
      <c r="C107" s="4">
        <v>9.0</v>
      </c>
      <c r="D107" s="4">
        <v>9.0</v>
      </c>
      <c r="E107" s="4">
        <v>2.0</v>
      </c>
      <c r="F107" s="4">
        <v>2.0</v>
      </c>
      <c r="G107" s="4"/>
      <c r="H107" s="35"/>
      <c r="I107" s="35">
        <f t="shared" si="7"/>
        <v>23</v>
      </c>
      <c r="J107" s="35">
        <f t="shared" si="8"/>
        <v>64</v>
      </c>
      <c r="K107" s="35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4" t="s">
        <v>54</v>
      </c>
      <c r="B108" s="4">
        <v>1.0</v>
      </c>
      <c r="C108" s="4">
        <v>9.0</v>
      </c>
      <c r="D108" s="4">
        <v>9.0</v>
      </c>
      <c r="E108" s="4">
        <v>2.0</v>
      </c>
      <c r="F108" s="4">
        <v>2.0</v>
      </c>
      <c r="G108" s="4"/>
      <c r="H108" s="35"/>
      <c r="I108" s="35">
        <f t="shared" si="7"/>
        <v>23</v>
      </c>
      <c r="J108" s="35">
        <f t="shared" si="8"/>
        <v>64</v>
      </c>
      <c r="K108" s="35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4" t="s">
        <v>55</v>
      </c>
      <c r="B109" s="4">
        <v>1.0</v>
      </c>
      <c r="C109" s="4">
        <v>9.0</v>
      </c>
      <c r="D109" s="4">
        <v>9.0</v>
      </c>
      <c r="E109" s="4">
        <v>2.0</v>
      </c>
      <c r="F109" s="4">
        <v>2.0</v>
      </c>
      <c r="G109" s="4"/>
      <c r="H109" s="35"/>
      <c r="I109" s="35">
        <f t="shared" si="7"/>
        <v>23</v>
      </c>
      <c r="J109" s="35">
        <f t="shared" si="8"/>
        <v>64</v>
      </c>
      <c r="K109" s="35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4" t="s">
        <v>56</v>
      </c>
      <c r="B110" s="4">
        <v>1.0</v>
      </c>
      <c r="C110" s="4">
        <v>9.0</v>
      </c>
      <c r="D110" s="4">
        <v>9.0</v>
      </c>
      <c r="E110" s="4">
        <v>2.0</v>
      </c>
      <c r="F110" s="4">
        <v>2.0</v>
      </c>
      <c r="G110" s="4"/>
      <c r="H110" s="35"/>
      <c r="I110" s="35">
        <f t="shared" si="7"/>
        <v>23</v>
      </c>
      <c r="J110" s="35">
        <f t="shared" si="8"/>
        <v>64</v>
      </c>
      <c r="K110" s="35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4">
    <mergeCell ref="A1:K1"/>
    <mergeCell ref="A29:K29"/>
    <mergeCell ref="A57:K57"/>
    <mergeCell ref="A85:K8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67</v>
      </c>
      <c r="B1" s="2"/>
      <c r="C1" s="2"/>
      <c r="D1" s="2"/>
      <c r="E1" s="2"/>
      <c r="F1" s="2"/>
      <c r="G1" s="2"/>
      <c r="H1" s="2"/>
      <c r="I1" s="2"/>
      <c r="J1" s="2"/>
      <c r="K1" s="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/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59</v>
      </c>
      <c r="H2" s="4" t="s">
        <v>60</v>
      </c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4" t="s">
        <v>33</v>
      </c>
      <c r="B3" s="4">
        <v>1.0</v>
      </c>
      <c r="C3" s="4">
        <v>6.0</v>
      </c>
      <c r="D3" s="4">
        <v>4.0</v>
      </c>
      <c r="E3" s="4">
        <v>4.0</v>
      </c>
      <c r="F3" s="4">
        <v>4.0</v>
      </c>
      <c r="G3" s="4">
        <v>4.0</v>
      </c>
      <c r="H3" s="35"/>
      <c r="I3" s="35">
        <f t="shared" ref="I3:I26" si="1">sum(B3:H3)</f>
        <v>23</v>
      </c>
      <c r="J3" s="35">
        <f t="shared" ref="J3:J26" si="2">B3+C3*2+D3*3+E3*4+F3*5+G3*6+H3*7</f>
        <v>85</v>
      </c>
      <c r="K3" s="35">
        <f>sum(J3:J26)/(24*24)</f>
        <v>3.0625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4" t="s">
        <v>34</v>
      </c>
      <c r="B4" s="4">
        <v>1.0</v>
      </c>
      <c r="C4" s="4">
        <v>6.0</v>
      </c>
      <c r="D4" s="4">
        <v>4.0</v>
      </c>
      <c r="E4" s="4">
        <v>4.0</v>
      </c>
      <c r="F4" s="4">
        <v>4.0</v>
      </c>
      <c r="G4" s="4">
        <v>4.0</v>
      </c>
      <c r="H4" s="35"/>
      <c r="I4" s="35">
        <f t="shared" si="1"/>
        <v>23</v>
      </c>
      <c r="J4" s="35">
        <f t="shared" si="2"/>
        <v>85</v>
      </c>
      <c r="K4" s="35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" t="s">
        <v>35</v>
      </c>
      <c r="B5" s="4">
        <v>1.0</v>
      </c>
      <c r="C5" s="4">
        <v>6.0</v>
      </c>
      <c r="D5" s="4">
        <v>4.0</v>
      </c>
      <c r="E5" s="4">
        <v>4.0</v>
      </c>
      <c r="F5" s="4">
        <v>4.0</v>
      </c>
      <c r="G5" s="4">
        <v>4.0</v>
      </c>
      <c r="H5" s="35"/>
      <c r="I5" s="35">
        <f t="shared" si="1"/>
        <v>23</v>
      </c>
      <c r="J5" s="35">
        <f t="shared" si="2"/>
        <v>85</v>
      </c>
      <c r="K5" s="35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4" t="s">
        <v>36</v>
      </c>
      <c r="B6" s="4">
        <v>1.0</v>
      </c>
      <c r="C6" s="4">
        <v>6.0</v>
      </c>
      <c r="D6" s="4">
        <v>4.0</v>
      </c>
      <c r="E6" s="4">
        <v>4.0</v>
      </c>
      <c r="F6" s="4">
        <v>4.0</v>
      </c>
      <c r="G6" s="4">
        <v>4.0</v>
      </c>
      <c r="H6" s="35"/>
      <c r="I6" s="35">
        <f t="shared" si="1"/>
        <v>23</v>
      </c>
      <c r="J6" s="35">
        <f t="shared" si="2"/>
        <v>85</v>
      </c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" t="s">
        <v>37</v>
      </c>
      <c r="B7" s="4">
        <v>1.0</v>
      </c>
      <c r="C7" s="4">
        <v>6.0</v>
      </c>
      <c r="D7" s="4">
        <v>4.0</v>
      </c>
      <c r="E7" s="4">
        <v>4.0</v>
      </c>
      <c r="F7" s="4">
        <v>4.0</v>
      </c>
      <c r="G7" s="4">
        <v>4.0</v>
      </c>
      <c r="H7" s="35"/>
      <c r="I7" s="35">
        <f t="shared" si="1"/>
        <v>23</v>
      </c>
      <c r="J7" s="35">
        <f t="shared" si="2"/>
        <v>85</v>
      </c>
      <c r="K7" s="35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4" t="s">
        <v>38</v>
      </c>
      <c r="B8" s="4">
        <v>7.0</v>
      </c>
      <c r="C8" s="4">
        <v>4.0</v>
      </c>
      <c r="D8" s="4">
        <v>4.0</v>
      </c>
      <c r="E8" s="4">
        <v>4.0</v>
      </c>
      <c r="F8" s="4">
        <v>4.0</v>
      </c>
      <c r="G8" s="35"/>
      <c r="H8" s="35"/>
      <c r="I8" s="35">
        <f t="shared" si="1"/>
        <v>23</v>
      </c>
      <c r="J8" s="35">
        <f t="shared" si="2"/>
        <v>63</v>
      </c>
      <c r="K8" s="35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4" t="s">
        <v>39</v>
      </c>
      <c r="B9" s="4">
        <v>1.0</v>
      </c>
      <c r="C9" s="4">
        <v>4.0</v>
      </c>
      <c r="D9" s="4">
        <v>10.0</v>
      </c>
      <c r="E9" s="4">
        <v>5.0</v>
      </c>
      <c r="F9" s="4">
        <v>4.0</v>
      </c>
      <c r="G9" s="35"/>
      <c r="H9" s="35"/>
      <c r="I9" s="35">
        <f t="shared" si="1"/>
        <v>24</v>
      </c>
      <c r="J9" s="35">
        <f t="shared" si="2"/>
        <v>79</v>
      </c>
      <c r="K9" s="35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4" t="s">
        <v>40</v>
      </c>
      <c r="B10" s="4">
        <v>5.0</v>
      </c>
      <c r="C10" s="4">
        <v>10.0</v>
      </c>
      <c r="D10" s="4">
        <v>5.0</v>
      </c>
      <c r="E10" s="4">
        <v>4.0</v>
      </c>
      <c r="F10" s="35"/>
      <c r="G10" s="35"/>
      <c r="H10" s="35"/>
      <c r="I10" s="35">
        <f t="shared" si="1"/>
        <v>24</v>
      </c>
      <c r="J10" s="35">
        <f t="shared" si="2"/>
        <v>56</v>
      </c>
      <c r="K10" s="35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4" t="s">
        <v>41</v>
      </c>
      <c r="B11" s="4">
        <v>4.0</v>
      </c>
      <c r="C11" s="4">
        <v>10.0</v>
      </c>
      <c r="D11" s="4">
        <v>5.0</v>
      </c>
      <c r="E11" s="4">
        <v>4.0</v>
      </c>
      <c r="F11" s="4"/>
      <c r="G11" s="35"/>
      <c r="H11" s="35"/>
      <c r="I11" s="35">
        <f t="shared" si="1"/>
        <v>23</v>
      </c>
      <c r="J11" s="35">
        <f t="shared" si="2"/>
        <v>55</v>
      </c>
      <c r="K11" s="35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4" t="s">
        <v>42</v>
      </c>
      <c r="B12" s="4">
        <v>2.0</v>
      </c>
      <c r="C12" s="37">
        <v>7.0</v>
      </c>
      <c r="D12" s="37">
        <v>10.0</v>
      </c>
      <c r="E12" s="4">
        <v>4.0</v>
      </c>
      <c r="F12" s="35"/>
      <c r="G12" s="35"/>
      <c r="H12" s="35"/>
      <c r="I12" s="35">
        <f t="shared" si="1"/>
        <v>23</v>
      </c>
      <c r="J12" s="35">
        <f t="shared" si="2"/>
        <v>62</v>
      </c>
      <c r="K12" s="35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4" t="s">
        <v>43</v>
      </c>
      <c r="B13" s="4">
        <v>1.0</v>
      </c>
      <c r="C13" s="4">
        <v>6.0</v>
      </c>
      <c r="D13" s="4">
        <v>4.0</v>
      </c>
      <c r="E13" s="4">
        <v>4.0</v>
      </c>
      <c r="F13" s="4">
        <v>4.0</v>
      </c>
      <c r="G13" s="4">
        <v>4.0</v>
      </c>
      <c r="H13" s="35"/>
      <c r="I13" s="35">
        <f t="shared" si="1"/>
        <v>23</v>
      </c>
      <c r="J13" s="35">
        <f t="shared" si="2"/>
        <v>85</v>
      </c>
      <c r="K13" s="35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4" t="s">
        <v>44</v>
      </c>
      <c r="B14" s="37">
        <v>1.0</v>
      </c>
      <c r="C14" s="37">
        <v>5.0</v>
      </c>
      <c r="D14" s="37">
        <v>7.0</v>
      </c>
      <c r="E14" s="4">
        <v>10.0</v>
      </c>
      <c r="F14" s="35"/>
      <c r="G14" s="35"/>
      <c r="H14" s="35"/>
      <c r="I14" s="35">
        <f t="shared" si="1"/>
        <v>23</v>
      </c>
      <c r="J14" s="35">
        <f t="shared" si="2"/>
        <v>72</v>
      </c>
      <c r="K14" s="35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4" t="s">
        <v>45</v>
      </c>
      <c r="B15" s="37">
        <v>6.0</v>
      </c>
      <c r="C15" s="37">
        <v>7.0</v>
      </c>
      <c r="D15" s="4">
        <v>10.0</v>
      </c>
      <c r="E15" s="35"/>
      <c r="F15" s="35"/>
      <c r="G15" s="35"/>
      <c r="H15" s="35"/>
      <c r="I15" s="35">
        <f t="shared" si="1"/>
        <v>23</v>
      </c>
      <c r="J15" s="35">
        <f t="shared" si="2"/>
        <v>50</v>
      </c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4" t="s">
        <v>46</v>
      </c>
      <c r="B16" s="4">
        <v>1.0</v>
      </c>
      <c r="C16" s="4">
        <v>6.0</v>
      </c>
      <c r="D16" s="4">
        <v>7.0</v>
      </c>
      <c r="E16" s="4">
        <v>3.0</v>
      </c>
      <c r="F16" s="4">
        <v>6.0</v>
      </c>
      <c r="G16" s="35"/>
      <c r="H16" s="35"/>
      <c r="I16" s="35">
        <f t="shared" si="1"/>
        <v>23</v>
      </c>
      <c r="J16" s="35">
        <f t="shared" si="2"/>
        <v>76</v>
      </c>
      <c r="K16" s="35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4" t="s">
        <v>47</v>
      </c>
      <c r="B17" s="4">
        <v>7.0</v>
      </c>
      <c r="C17" s="4">
        <v>7.0</v>
      </c>
      <c r="D17" s="4">
        <v>3.0</v>
      </c>
      <c r="E17" s="4">
        <v>6.0</v>
      </c>
      <c r="F17" s="35"/>
      <c r="G17" s="35"/>
      <c r="H17" s="35"/>
      <c r="I17" s="35">
        <f t="shared" si="1"/>
        <v>23</v>
      </c>
      <c r="J17" s="35">
        <f t="shared" si="2"/>
        <v>54</v>
      </c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4" t="s">
        <v>48</v>
      </c>
      <c r="B18" s="4">
        <v>1.0</v>
      </c>
      <c r="C18" s="4">
        <v>6.0</v>
      </c>
      <c r="D18" s="4">
        <v>7.0</v>
      </c>
      <c r="E18" s="4">
        <v>3.0</v>
      </c>
      <c r="F18" s="4">
        <v>6.0</v>
      </c>
      <c r="G18" s="35"/>
      <c r="H18" s="35"/>
      <c r="I18" s="35">
        <f t="shared" si="1"/>
        <v>23</v>
      </c>
      <c r="J18" s="35">
        <f t="shared" si="2"/>
        <v>76</v>
      </c>
      <c r="K18" s="35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4" t="s">
        <v>49</v>
      </c>
      <c r="B19" s="4">
        <v>2.0</v>
      </c>
      <c r="C19" s="4">
        <v>8.0</v>
      </c>
      <c r="D19" s="4">
        <v>7.0</v>
      </c>
      <c r="E19" s="4">
        <v>6.0</v>
      </c>
      <c r="F19" s="35"/>
      <c r="G19" s="35"/>
      <c r="H19" s="35"/>
      <c r="I19" s="35">
        <f t="shared" si="1"/>
        <v>23</v>
      </c>
      <c r="J19" s="35">
        <f t="shared" si="2"/>
        <v>63</v>
      </c>
      <c r="K19" s="35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4" t="s">
        <v>50</v>
      </c>
      <c r="B20" s="4">
        <v>2.0</v>
      </c>
      <c r="C20" s="4">
        <v>8.0</v>
      </c>
      <c r="D20" s="4">
        <v>4.0</v>
      </c>
      <c r="E20" s="4">
        <v>3.0</v>
      </c>
      <c r="F20" s="4">
        <v>6.0</v>
      </c>
      <c r="G20" s="35"/>
      <c r="H20" s="35"/>
      <c r="I20" s="35">
        <f t="shared" si="1"/>
        <v>23</v>
      </c>
      <c r="J20" s="35">
        <f t="shared" si="2"/>
        <v>72</v>
      </c>
      <c r="K20" s="35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4" t="s">
        <v>51</v>
      </c>
      <c r="B21" s="4">
        <v>1.0</v>
      </c>
      <c r="C21" s="4">
        <v>6.0</v>
      </c>
      <c r="D21" s="4">
        <v>4.0</v>
      </c>
      <c r="E21" s="4">
        <v>3.0</v>
      </c>
      <c r="F21" s="4">
        <v>3.0</v>
      </c>
      <c r="G21" s="4">
        <v>6.0</v>
      </c>
      <c r="H21" s="35"/>
      <c r="I21" s="35">
        <f t="shared" si="1"/>
        <v>23</v>
      </c>
      <c r="J21" s="35">
        <f t="shared" si="2"/>
        <v>88</v>
      </c>
      <c r="K21" s="35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4" t="s">
        <v>52</v>
      </c>
      <c r="B22" s="4">
        <v>3.0</v>
      </c>
      <c r="C22" s="4">
        <v>11.0</v>
      </c>
      <c r="D22" s="4">
        <v>3.0</v>
      </c>
      <c r="E22" s="4">
        <v>6.0</v>
      </c>
      <c r="F22" s="4"/>
      <c r="G22" s="35"/>
      <c r="H22" s="35"/>
      <c r="I22" s="35">
        <f t="shared" si="1"/>
        <v>23</v>
      </c>
      <c r="J22" s="35">
        <f t="shared" si="2"/>
        <v>58</v>
      </c>
      <c r="K22" s="35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4" t="s">
        <v>53</v>
      </c>
      <c r="B23" s="4">
        <v>7.0</v>
      </c>
      <c r="C23" s="4">
        <v>4.0</v>
      </c>
      <c r="D23" s="4">
        <v>3.0</v>
      </c>
      <c r="E23" s="4">
        <v>3.0</v>
      </c>
      <c r="F23" s="4">
        <v>6.0</v>
      </c>
      <c r="G23" s="35"/>
      <c r="H23" s="35"/>
      <c r="I23" s="35">
        <f t="shared" si="1"/>
        <v>23</v>
      </c>
      <c r="J23" s="35">
        <f t="shared" si="2"/>
        <v>66</v>
      </c>
      <c r="K23" s="35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4" t="s">
        <v>54</v>
      </c>
      <c r="B24" s="4">
        <v>1.0</v>
      </c>
      <c r="C24" s="4">
        <v>6.0</v>
      </c>
      <c r="D24" s="4">
        <v>4.0</v>
      </c>
      <c r="E24" s="4">
        <v>3.0</v>
      </c>
      <c r="F24" s="4">
        <v>3.0</v>
      </c>
      <c r="G24" s="4">
        <v>6.0</v>
      </c>
      <c r="H24" s="35"/>
      <c r="I24" s="35">
        <f t="shared" si="1"/>
        <v>23</v>
      </c>
      <c r="J24" s="35">
        <f t="shared" si="2"/>
        <v>88</v>
      </c>
      <c r="K24" s="35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4" t="s">
        <v>55</v>
      </c>
      <c r="B25" s="4">
        <v>1.0</v>
      </c>
      <c r="C25" s="4">
        <v>6.0</v>
      </c>
      <c r="D25" s="4">
        <v>4.0</v>
      </c>
      <c r="E25" s="4">
        <v>3.0</v>
      </c>
      <c r="F25" s="4">
        <v>3.0</v>
      </c>
      <c r="G25" s="4">
        <v>6.0</v>
      </c>
      <c r="H25" s="35"/>
      <c r="I25" s="35">
        <f t="shared" si="1"/>
        <v>23</v>
      </c>
      <c r="J25" s="35">
        <f t="shared" si="2"/>
        <v>88</v>
      </c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4" t="s">
        <v>56</v>
      </c>
      <c r="B26" s="4">
        <v>1.0</v>
      </c>
      <c r="C26" s="4">
        <v>6.0</v>
      </c>
      <c r="D26" s="4">
        <v>4.0</v>
      </c>
      <c r="E26" s="4">
        <v>3.0</v>
      </c>
      <c r="F26" s="4">
        <v>3.0</v>
      </c>
      <c r="G26" s="4">
        <v>6.0</v>
      </c>
      <c r="H26" s="35"/>
      <c r="I26" s="35">
        <f t="shared" si="1"/>
        <v>23</v>
      </c>
      <c r="J26" s="35">
        <f t="shared" si="2"/>
        <v>88</v>
      </c>
      <c r="K26" s="35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9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9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5" t="s">
        <v>68</v>
      </c>
      <c r="B29" s="2"/>
      <c r="C29" s="2"/>
      <c r="D29" s="2"/>
      <c r="E29" s="2"/>
      <c r="F29" s="2"/>
      <c r="G29" s="2"/>
      <c r="H29" s="2"/>
      <c r="I29" s="2"/>
      <c r="J29" s="2"/>
      <c r="K29" s="3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5"/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59</v>
      </c>
      <c r="H30" s="4" t="s">
        <v>60</v>
      </c>
      <c r="I30" s="35"/>
      <c r="J30" s="35"/>
      <c r="K30" s="35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4" t="s">
        <v>33</v>
      </c>
      <c r="B31" s="4">
        <v>1.0</v>
      </c>
      <c r="C31" s="4">
        <v>7.0</v>
      </c>
      <c r="D31" s="4">
        <v>3.0</v>
      </c>
      <c r="E31" s="4">
        <v>2.0</v>
      </c>
      <c r="F31" s="4">
        <v>6.0</v>
      </c>
      <c r="G31" s="4">
        <v>4.0</v>
      </c>
      <c r="H31" s="35"/>
      <c r="I31" s="35">
        <f t="shared" ref="I31:I54" si="3">sum(B31:H31)</f>
        <v>23</v>
      </c>
      <c r="J31" s="35">
        <f t="shared" ref="J31:J54" si="4">B31+C31*2+D31*3+E31*4+F31*5+G31*6+H31*7</f>
        <v>86</v>
      </c>
      <c r="K31" s="35">
        <f>sum(J31:J54)/(24*24)</f>
        <v>2.895833333</v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4" t="s">
        <v>34</v>
      </c>
      <c r="B32" s="4">
        <v>1.0</v>
      </c>
      <c r="C32" s="4">
        <v>7.0</v>
      </c>
      <c r="D32" s="4">
        <v>3.0</v>
      </c>
      <c r="E32" s="4">
        <v>2.0</v>
      </c>
      <c r="F32" s="4">
        <v>6.0</v>
      </c>
      <c r="G32" s="4">
        <v>4.0</v>
      </c>
      <c r="H32" s="35"/>
      <c r="I32" s="35">
        <f t="shared" si="3"/>
        <v>23</v>
      </c>
      <c r="J32" s="35">
        <f t="shared" si="4"/>
        <v>86</v>
      </c>
      <c r="K32" s="35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4" t="s">
        <v>35</v>
      </c>
      <c r="B33" s="4">
        <v>1.0</v>
      </c>
      <c r="C33" s="4">
        <v>7.0</v>
      </c>
      <c r="D33" s="4">
        <v>3.0</v>
      </c>
      <c r="E33" s="4">
        <v>2.0</v>
      </c>
      <c r="F33" s="4">
        <v>6.0</v>
      </c>
      <c r="G33" s="4">
        <v>4.0</v>
      </c>
      <c r="H33" s="35"/>
      <c r="I33" s="35">
        <f t="shared" si="3"/>
        <v>23</v>
      </c>
      <c r="J33" s="35">
        <f t="shared" si="4"/>
        <v>86</v>
      </c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4" t="s">
        <v>36</v>
      </c>
      <c r="B34" s="4">
        <v>1.0</v>
      </c>
      <c r="C34" s="4">
        <v>7.0</v>
      </c>
      <c r="D34" s="4">
        <v>3.0</v>
      </c>
      <c r="E34" s="4">
        <v>2.0</v>
      </c>
      <c r="F34" s="4">
        <v>6.0</v>
      </c>
      <c r="G34" s="4">
        <v>4.0</v>
      </c>
      <c r="H34" s="35"/>
      <c r="I34" s="35">
        <f t="shared" si="3"/>
        <v>23</v>
      </c>
      <c r="J34" s="35">
        <f t="shared" si="4"/>
        <v>86</v>
      </c>
      <c r="K34" s="35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4" t="s">
        <v>37</v>
      </c>
      <c r="B35" s="4">
        <v>1.0</v>
      </c>
      <c r="C35" s="4">
        <v>7.0</v>
      </c>
      <c r="D35" s="4">
        <v>3.0</v>
      </c>
      <c r="E35" s="4">
        <v>2.0</v>
      </c>
      <c r="F35" s="4">
        <v>6.0</v>
      </c>
      <c r="G35" s="4">
        <v>4.0</v>
      </c>
      <c r="H35" s="35"/>
      <c r="I35" s="35">
        <f t="shared" si="3"/>
        <v>23</v>
      </c>
      <c r="J35" s="35">
        <f t="shared" si="4"/>
        <v>86</v>
      </c>
      <c r="K35" s="35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4" t="s">
        <v>38</v>
      </c>
      <c r="B36" s="4">
        <v>8.0</v>
      </c>
      <c r="C36" s="4">
        <v>3.0</v>
      </c>
      <c r="D36" s="4">
        <v>2.0</v>
      </c>
      <c r="E36" s="4">
        <v>6.0</v>
      </c>
      <c r="F36" s="4">
        <v>4.0</v>
      </c>
      <c r="G36" s="35"/>
      <c r="H36" s="35"/>
      <c r="I36" s="35">
        <f t="shared" si="3"/>
        <v>23</v>
      </c>
      <c r="J36" s="35">
        <f t="shared" si="4"/>
        <v>64</v>
      </c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4" t="s">
        <v>39</v>
      </c>
      <c r="B37" s="4">
        <v>2.0</v>
      </c>
      <c r="C37" s="4">
        <v>9.0</v>
      </c>
      <c r="D37" s="4">
        <v>2.0</v>
      </c>
      <c r="E37" s="4">
        <v>6.0</v>
      </c>
      <c r="F37" s="4">
        <v>4.0</v>
      </c>
      <c r="G37" s="35"/>
      <c r="H37" s="35"/>
      <c r="I37" s="35">
        <f t="shared" si="3"/>
        <v>23</v>
      </c>
      <c r="J37" s="35">
        <f t="shared" si="4"/>
        <v>70</v>
      </c>
      <c r="K37" s="35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4" t="s">
        <v>40</v>
      </c>
      <c r="B38" s="4">
        <v>5.0</v>
      </c>
      <c r="C38" s="4">
        <v>8.0</v>
      </c>
      <c r="D38" s="4">
        <v>6.0</v>
      </c>
      <c r="E38" s="4">
        <v>4.0</v>
      </c>
      <c r="F38" s="35"/>
      <c r="G38" s="35"/>
      <c r="H38" s="35"/>
      <c r="I38" s="35">
        <f t="shared" si="3"/>
        <v>23</v>
      </c>
      <c r="J38" s="35">
        <f t="shared" si="4"/>
        <v>55</v>
      </c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4" t="s">
        <v>41</v>
      </c>
      <c r="B39" s="4">
        <v>2.0</v>
      </c>
      <c r="C39" s="4">
        <v>6.0</v>
      </c>
      <c r="D39" s="4">
        <v>11.0</v>
      </c>
      <c r="E39" s="4">
        <v>4.0</v>
      </c>
      <c r="F39" s="4"/>
      <c r="G39" s="35"/>
      <c r="H39" s="35"/>
      <c r="I39" s="35">
        <f t="shared" si="3"/>
        <v>23</v>
      </c>
      <c r="J39" s="35">
        <f t="shared" si="4"/>
        <v>63</v>
      </c>
      <c r="K39" s="35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4" t="s">
        <v>42</v>
      </c>
      <c r="B40" s="4">
        <v>3.0</v>
      </c>
      <c r="C40" s="37">
        <v>14.0</v>
      </c>
      <c r="D40" s="37">
        <v>6.0</v>
      </c>
      <c r="E40" s="4"/>
      <c r="F40" s="35"/>
      <c r="G40" s="35"/>
      <c r="H40" s="35"/>
      <c r="I40" s="35">
        <f t="shared" si="3"/>
        <v>23</v>
      </c>
      <c r="J40" s="35">
        <f t="shared" si="4"/>
        <v>49</v>
      </c>
      <c r="K40" s="35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4" t="s">
        <v>43</v>
      </c>
      <c r="B41" s="4">
        <v>1.0</v>
      </c>
      <c r="C41" s="4">
        <v>6.0</v>
      </c>
      <c r="D41" s="4">
        <v>4.0</v>
      </c>
      <c r="E41" s="4">
        <v>2.0</v>
      </c>
      <c r="F41" s="4">
        <v>6.0</v>
      </c>
      <c r="G41" s="4">
        <v>4.0</v>
      </c>
      <c r="H41" s="35"/>
      <c r="I41" s="35">
        <f t="shared" si="3"/>
        <v>23</v>
      </c>
      <c r="J41" s="35">
        <f t="shared" si="4"/>
        <v>87</v>
      </c>
      <c r="K41" s="35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4" t="s">
        <v>44</v>
      </c>
      <c r="B42" s="37">
        <v>6.0</v>
      </c>
      <c r="C42" s="37">
        <v>8.0</v>
      </c>
      <c r="D42" s="37">
        <v>9.0</v>
      </c>
      <c r="E42" s="4"/>
      <c r="F42" s="35"/>
      <c r="G42" s="35"/>
      <c r="H42" s="35"/>
      <c r="I42" s="35">
        <f t="shared" si="3"/>
        <v>23</v>
      </c>
      <c r="J42" s="35">
        <f t="shared" si="4"/>
        <v>49</v>
      </c>
      <c r="K42" s="35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4" t="s">
        <v>45</v>
      </c>
      <c r="B43" s="37">
        <v>3.0</v>
      </c>
      <c r="C43" s="37">
        <v>13.0</v>
      </c>
      <c r="D43" s="4">
        <v>2.0</v>
      </c>
      <c r="E43" s="4">
        <v>5.0</v>
      </c>
      <c r="F43" s="35"/>
      <c r="G43" s="35"/>
      <c r="H43" s="35"/>
      <c r="I43" s="35">
        <f t="shared" si="3"/>
        <v>23</v>
      </c>
      <c r="J43" s="35">
        <f t="shared" si="4"/>
        <v>55</v>
      </c>
      <c r="K43" s="35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4" t="s">
        <v>46</v>
      </c>
      <c r="B44" s="4">
        <v>1.0</v>
      </c>
      <c r="C44" s="4">
        <v>7.0</v>
      </c>
      <c r="D44" s="4">
        <v>8.0</v>
      </c>
      <c r="E44" s="4">
        <v>2.0</v>
      </c>
      <c r="F44" s="4">
        <v>5.0</v>
      </c>
      <c r="G44" s="35"/>
      <c r="H44" s="35"/>
      <c r="I44" s="35">
        <f t="shared" si="3"/>
        <v>23</v>
      </c>
      <c r="J44" s="35">
        <f t="shared" si="4"/>
        <v>72</v>
      </c>
      <c r="K44" s="35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4" t="s">
        <v>47</v>
      </c>
      <c r="B45" s="4">
        <v>8.0</v>
      </c>
      <c r="C45" s="4">
        <v>8.0</v>
      </c>
      <c r="D45" s="4">
        <v>2.0</v>
      </c>
      <c r="E45" s="4">
        <v>5.0</v>
      </c>
      <c r="F45" s="35"/>
      <c r="G45" s="35"/>
      <c r="H45" s="35"/>
      <c r="I45" s="35">
        <f t="shared" si="3"/>
        <v>23</v>
      </c>
      <c r="J45" s="35">
        <f t="shared" si="4"/>
        <v>50</v>
      </c>
      <c r="K45" s="35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4" t="s">
        <v>48</v>
      </c>
      <c r="B46" s="4">
        <v>2.0</v>
      </c>
      <c r="C46" s="4">
        <v>11.0</v>
      </c>
      <c r="D46" s="4">
        <v>3.0</v>
      </c>
      <c r="E46" s="4">
        <v>2.0</v>
      </c>
      <c r="F46" s="4">
        <v>5.0</v>
      </c>
      <c r="G46" s="35"/>
      <c r="H46" s="35"/>
      <c r="I46" s="35">
        <f t="shared" si="3"/>
        <v>23</v>
      </c>
      <c r="J46" s="35">
        <f t="shared" si="4"/>
        <v>66</v>
      </c>
      <c r="K46" s="35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4" t="s">
        <v>49</v>
      </c>
      <c r="B47" s="4">
        <v>11.0</v>
      </c>
      <c r="C47" s="4">
        <v>2.0</v>
      </c>
      <c r="D47" s="4">
        <v>3.0</v>
      </c>
      <c r="E47" s="4">
        <v>2.0</v>
      </c>
      <c r="F47" s="4">
        <v>5.0</v>
      </c>
      <c r="G47" s="35"/>
      <c r="H47" s="35"/>
      <c r="I47" s="35">
        <f t="shared" si="3"/>
        <v>23</v>
      </c>
      <c r="J47" s="35">
        <f t="shared" si="4"/>
        <v>57</v>
      </c>
      <c r="K47" s="35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4" t="s">
        <v>50</v>
      </c>
      <c r="B48" s="4">
        <v>2.0</v>
      </c>
      <c r="C48" s="4">
        <v>11.0</v>
      </c>
      <c r="D48" s="4">
        <v>3.0</v>
      </c>
      <c r="E48" s="4">
        <v>2.0</v>
      </c>
      <c r="F48" s="4">
        <v>5.0</v>
      </c>
      <c r="G48" s="35"/>
      <c r="H48" s="35"/>
      <c r="I48" s="35">
        <f t="shared" si="3"/>
        <v>23</v>
      </c>
      <c r="J48" s="35">
        <f t="shared" si="4"/>
        <v>66</v>
      </c>
      <c r="K48" s="35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4" t="s">
        <v>51</v>
      </c>
      <c r="B49" s="4">
        <v>2.0</v>
      </c>
      <c r="C49" s="4">
        <v>11.0</v>
      </c>
      <c r="D49" s="4">
        <v>3.0</v>
      </c>
      <c r="E49" s="4">
        <v>2.0</v>
      </c>
      <c r="F49" s="4">
        <v>5.0</v>
      </c>
      <c r="G49" s="4"/>
      <c r="H49" s="35"/>
      <c r="I49" s="35">
        <f t="shared" si="3"/>
        <v>23</v>
      </c>
      <c r="J49" s="35">
        <f t="shared" si="4"/>
        <v>66</v>
      </c>
      <c r="K49" s="35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4" t="s">
        <v>52</v>
      </c>
      <c r="B50" s="4">
        <v>1.0</v>
      </c>
      <c r="C50" s="4">
        <v>10.0</v>
      </c>
      <c r="D50" s="4">
        <v>2.0</v>
      </c>
      <c r="E50" s="4">
        <v>3.0</v>
      </c>
      <c r="F50" s="4">
        <v>2.0</v>
      </c>
      <c r="G50" s="4">
        <v>5.0</v>
      </c>
      <c r="H50" s="35"/>
      <c r="I50" s="35">
        <f t="shared" si="3"/>
        <v>23</v>
      </c>
      <c r="J50" s="35">
        <f t="shared" si="4"/>
        <v>79</v>
      </c>
      <c r="K50" s="35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4" t="s">
        <v>53</v>
      </c>
      <c r="B51" s="4">
        <v>2.0</v>
      </c>
      <c r="C51" s="4">
        <v>11.0</v>
      </c>
      <c r="D51" s="4">
        <v>3.0</v>
      </c>
      <c r="E51" s="4">
        <v>2.0</v>
      </c>
      <c r="F51" s="4">
        <v>5.0</v>
      </c>
      <c r="G51" s="35"/>
      <c r="H51" s="35"/>
      <c r="I51" s="35">
        <f t="shared" si="3"/>
        <v>23</v>
      </c>
      <c r="J51" s="35">
        <f t="shared" si="4"/>
        <v>66</v>
      </c>
      <c r="K51" s="35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4" t="s">
        <v>54</v>
      </c>
      <c r="B52" s="4">
        <v>2.0</v>
      </c>
      <c r="C52" s="4">
        <v>11.0</v>
      </c>
      <c r="D52" s="4">
        <v>3.0</v>
      </c>
      <c r="E52" s="4">
        <v>2.0</v>
      </c>
      <c r="F52" s="4">
        <v>5.0</v>
      </c>
      <c r="G52" s="4"/>
      <c r="H52" s="35"/>
      <c r="I52" s="35">
        <f t="shared" si="3"/>
        <v>23</v>
      </c>
      <c r="J52" s="35">
        <f t="shared" si="4"/>
        <v>66</v>
      </c>
      <c r="K52" s="35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4" t="s">
        <v>55</v>
      </c>
      <c r="B53" s="4">
        <v>1.0</v>
      </c>
      <c r="C53" s="4">
        <v>10.0</v>
      </c>
      <c r="D53" s="4">
        <v>2.0</v>
      </c>
      <c r="E53" s="4">
        <v>3.0</v>
      </c>
      <c r="F53" s="4">
        <v>2.0</v>
      </c>
      <c r="G53" s="4">
        <v>5.0</v>
      </c>
      <c r="H53" s="35"/>
      <c r="I53" s="35">
        <f t="shared" si="3"/>
        <v>23</v>
      </c>
      <c r="J53" s="35">
        <f t="shared" si="4"/>
        <v>79</v>
      </c>
      <c r="K53" s="35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4" t="s">
        <v>56</v>
      </c>
      <c r="B54" s="4">
        <v>1.0</v>
      </c>
      <c r="C54" s="4">
        <v>10.0</v>
      </c>
      <c r="D54" s="4">
        <v>2.0</v>
      </c>
      <c r="E54" s="4">
        <v>3.0</v>
      </c>
      <c r="F54" s="4">
        <v>2.0</v>
      </c>
      <c r="G54" s="4">
        <v>5.0</v>
      </c>
      <c r="H54" s="35"/>
      <c r="I54" s="35">
        <f t="shared" si="3"/>
        <v>23</v>
      </c>
      <c r="J54" s="35">
        <f t="shared" si="4"/>
        <v>79</v>
      </c>
      <c r="K54" s="35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5" t="s">
        <v>69</v>
      </c>
      <c r="B56" s="2"/>
      <c r="C56" s="2"/>
      <c r="D56" s="2"/>
      <c r="E56" s="2"/>
      <c r="F56" s="2"/>
      <c r="G56" s="2"/>
      <c r="H56" s="2"/>
      <c r="I56" s="2"/>
      <c r="J56" s="2"/>
      <c r="K56" s="3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5"/>
      <c r="B57" s="4" t="s">
        <v>28</v>
      </c>
      <c r="C57" s="4" t="s">
        <v>29</v>
      </c>
      <c r="D57" s="4" t="s">
        <v>30</v>
      </c>
      <c r="E57" s="4" t="s">
        <v>31</v>
      </c>
      <c r="F57" s="4" t="s">
        <v>32</v>
      </c>
      <c r="G57" s="4" t="s">
        <v>59</v>
      </c>
      <c r="H57" s="4" t="s">
        <v>60</v>
      </c>
      <c r="I57" s="35"/>
      <c r="J57" s="35"/>
      <c r="K57" s="35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4" t="s">
        <v>33</v>
      </c>
      <c r="B58" s="4">
        <v>1.0</v>
      </c>
      <c r="C58" s="4">
        <v>10.0</v>
      </c>
      <c r="D58" s="4">
        <v>12.0</v>
      </c>
      <c r="E58" s="4"/>
      <c r="F58" s="4"/>
      <c r="G58" s="4"/>
      <c r="H58" s="35"/>
      <c r="I58" s="35">
        <f t="shared" ref="I58:I81" si="5">sum(B58:H58)</f>
        <v>23</v>
      </c>
      <c r="J58" s="35">
        <f t="shared" ref="J58:J81" si="6">B58+C58*2+D58*3+E58*4+F58*5+G58*6+H58*7</f>
        <v>57</v>
      </c>
      <c r="K58" s="35">
        <f>sum(J58:J81)/(24*24)</f>
        <v>2.354166667</v>
      </c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4" t="s">
        <v>34</v>
      </c>
      <c r="B59" s="4">
        <v>1.0</v>
      </c>
      <c r="C59" s="4">
        <v>10.0</v>
      </c>
      <c r="D59" s="4">
        <v>12.0</v>
      </c>
      <c r="E59" s="4"/>
      <c r="F59" s="4"/>
      <c r="G59" s="4"/>
      <c r="H59" s="35"/>
      <c r="I59" s="35">
        <f t="shared" si="5"/>
        <v>23</v>
      </c>
      <c r="J59" s="35">
        <f t="shared" si="6"/>
        <v>57</v>
      </c>
      <c r="K59" s="35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4" t="s">
        <v>35</v>
      </c>
      <c r="B60" s="4">
        <v>1.0</v>
      </c>
      <c r="C60" s="4">
        <v>10.0</v>
      </c>
      <c r="D60" s="4">
        <v>12.0</v>
      </c>
      <c r="E60" s="4"/>
      <c r="F60" s="4"/>
      <c r="G60" s="4"/>
      <c r="H60" s="35"/>
      <c r="I60" s="35">
        <f t="shared" si="5"/>
        <v>23</v>
      </c>
      <c r="J60" s="35">
        <f t="shared" si="6"/>
        <v>57</v>
      </c>
      <c r="K60" s="35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4" t="s">
        <v>36</v>
      </c>
      <c r="B61" s="4">
        <v>1.0</v>
      </c>
      <c r="C61" s="4">
        <v>10.0</v>
      </c>
      <c r="D61" s="4">
        <v>12.0</v>
      </c>
      <c r="E61" s="4"/>
      <c r="F61" s="4"/>
      <c r="G61" s="4"/>
      <c r="H61" s="35"/>
      <c r="I61" s="35">
        <f t="shared" si="5"/>
        <v>23</v>
      </c>
      <c r="J61" s="35">
        <f t="shared" si="6"/>
        <v>57</v>
      </c>
      <c r="K61" s="35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4" t="s">
        <v>37</v>
      </c>
      <c r="B62" s="4">
        <v>1.0</v>
      </c>
      <c r="C62" s="4">
        <v>10.0</v>
      </c>
      <c r="D62" s="4">
        <v>12.0</v>
      </c>
      <c r="E62" s="4"/>
      <c r="F62" s="4"/>
      <c r="G62" s="4"/>
      <c r="H62" s="35"/>
      <c r="I62" s="35">
        <f t="shared" si="5"/>
        <v>23</v>
      </c>
      <c r="J62" s="35">
        <f t="shared" si="6"/>
        <v>57</v>
      </c>
      <c r="K62" s="35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4" t="s">
        <v>38</v>
      </c>
      <c r="B63" s="4">
        <v>9.0</v>
      </c>
      <c r="C63" s="4">
        <v>14.0</v>
      </c>
      <c r="D63" s="4"/>
      <c r="E63" s="4"/>
      <c r="F63" s="4"/>
      <c r="G63" s="35"/>
      <c r="H63" s="35"/>
      <c r="I63" s="35">
        <f t="shared" si="5"/>
        <v>23</v>
      </c>
      <c r="J63" s="35">
        <f t="shared" si="6"/>
        <v>37</v>
      </c>
      <c r="K63" s="35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4" t="s">
        <v>39</v>
      </c>
      <c r="B64" s="4">
        <v>2.0</v>
      </c>
      <c r="C64" s="4">
        <v>10.0</v>
      </c>
      <c r="D64" s="4">
        <v>11.0</v>
      </c>
      <c r="E64" s="4"/>
      <c r="F64" s="4"/>
      <c r="G64" s="35"/>
      <c r="H64" s="35"/>
      <c r="I64" s="35">
        <f t="shared" si="5"/>
        <v>23</v>
      </c>
      <c r="J64" s="35">
        <f t="shared" si="6"/>
        <v>55</v>
      </c>
      <c r="K64" s="35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4" t="s">
        <v>40</v>
      </c>
      <c r="B65" s="4">
        <v>6.0</v>
      </c>
      <c r="C65" s="4">
        <v>6.0</v>
      </c>
      <c r="D65" s="4">
        <v>5.0</v>
      </c>
      <c r="E65" s="4">
        <v>6.0</v>
      </c>
      <c r="F65" s="35"/>
      <c r="G65" s="35"/>
      <c r="H65" s="35"/>
      <c r="I65" s="35">
        <f t="shared" si="5"/>
        <v>23</v>
      </c>
      <c r="J65" s="35">
        <f t="shared" si="6"/>
        <v>57</v>
      </c>
      <c r="K65" s="35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4" t="s">
        <v>41</v>
      </c>
      <c r="B66" s="4">
        <v>2.0</v>
      </c>
      <c r="C66" s="4">
        <v>5.0</v>
      </c>
      <c r="D66" s="4">
        <v>10.0</v>
      </c>
      <c r="E66" s="4">
        <v>6.0</v>
      </c>
      <c r="F66" s="4"/>
      <c r="G66" s="35"/>
      <c r="H66" s="35"/>
      <c r="I66" s="35">
        <f t="shared" si="5"/>
        <v>23</v>
      </c>
      <c r="J66" s="35">
        <f t="shared" si="6"/>
        <v>66</v>
      </c>
      <c r="K66" s="35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4" t="s">
        <v>42</v>
      </c>
      <c r="B67" s="4">
        <v>3.0</v>
      </c>
      <c r="C67" s="37">
        <v>10.0</v>
      </c>
      <c r="D67" s="37">
        <v>10.0</v>
      </c>
      <c r="E67" s="4"/>
      <c r="F67" s="35"/>
      <c r="G67" s="35"/>
      <c r="H67" s="35"/>
      <c r="I67" s="35">
        <f t="shared" si="5"/>
        <v>23</v>
      </c>
      <c r="J67" s="35">
        <f t="shared" si="6"/>
        <v>53</v>
      </c>
      <c r="K67" s="35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4" t="s">
        <v>43</v>
      </c>
      <c r="B68" s="4">
        <v>3.0</v>
      </c>
      <c r="C68" s="4">
        <v>9.0</v>
      </c>
      <c r="D68" s="4">
        <v>5.0</v>
      </c>
      <c r="E68" s="4">
        <v>6.0</v>
      </c>
      <c r="F68" s="4"/>
      <c r="G68" s="4"/>
      <c r="H68" s="35"/>
      <c r="I68" s="35">
        <f t="shared" si="5"/>
        <v>23</v>
      </c>
      <c r="J68" s="35">
        <f t="shared" si="6"/>
        <v>60</v>
      </c>
      <c r="K68" s="35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4" t="s">
        <v>44</v>
      </c>
      <c r="B69" s="37">
        <v>6.0</v>
      </c>
      <c r="C69" s="37">
        <v>5.0</v>
      </c>
      <c r="D69" s="37">
        <v>12.0</v>
      </c>
      <c r="E69" s="4"/>
      <c r="F69" s="35"/>
      <c r="G69" s="35"/>
      <c r="H69" s="35"/>
      <c r="I69" s="35">
        <f t="shared" si="5"/>
        <v>23</v>
      </c>
      <c r="J69" s="35">
        <f t="shared" si="6"/>
        <v>52</v>
      </c>
      <c r="K69" s="35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4" t="s">
        <v>45</v>
      </c>
      <c r="B70" s="37">
        <v>7.0</v>
      </c>
      <c r="C70" s="37">
        <v>10.0</v>
      </c>
      <c r="D70" s="4">
        <v>2.0</v>
      </c>
      <c r="E70" s="4">
        <v>4.0</v>
      </c>
      <c r="F70" s="35"/>
      <c r="G70" s="35"/>
      <c r="H70" s="35"/>
      <c r="I70" s="35">
        <f t="shared" si="5"/>
        <v>23</v>
      </c>
      <c r="J70" s="35">
        <f t="shared" si="6"/>
        <v>49</v>
      </c>
      <c r="K70" s="35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4" t="s">
        <v>46</v>
      </c>
      <c r="B71" s="4">
        <v>2.0</v>
      </c>
      <c r="C71" s="4">
        <v>11.0</v>
      </c>
      <c r="D71" s="4">
        <v>5.0</v>
      </c>
      <c r="E71" s="4">
        <v>5.0</v>
      </c>
      <c r="F71" s="4"/>
      <c r="G71" s="35"/>
      <c r="H71" s="35"/>
      <c r="I71" s="35">
        <f t="shared" si="5"/>
        <v>23</v>
      </c>
      <c r="J71" s="35">
        <f t="shared" si="6"/>
        <v>59</v>
      </c>
      <c r="K71" s="35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4" t="s">
        <v>47</v>
      </c>
      <c r="B72" s="4">
        <v>2.0</v>
      </c>
      <c r="C72" s="4">
        <v>11.0</v>
      </c>
      <c r="D72" s="4">
        <v>5.0</v>
      </c>
      <c r="E72" s="4">
        <v>5.0</v>
      </c>
      <c r="F72" s="35"/>
      <c r="G72" s="35"/>
      <c r="H72" s="35"/>
      <c r="I72" s="35">
        <f t="shared" si="5"/>
        <v>23</v>
      </c>
      <c r="J72" s="35">
        <f t="shared" si="6"/>
        <v>59</v>
      </c>
      <c r="K72" s="35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4" t="s">
        <v>48</v>
      </c>
      <c r="B73" s="4">
        <v>2.0</v>
      </c>
      <c r="C73" s="4">
        <v>11.0</v>
      </c>
      <c r="D73" s="4">
        <v>5.0</v>
      </c>
      <c r="E73" s="4">
        <v>5.0</v>
      </c>
      <c r="F73" s="4"/>
      <c r="G73" s="35"/>
      <c r="H73" s="35"/>
      <c r="I73" s="35">
        <f t="shared" si="5"/>
        <v>23</v>
      </c>
      <c r="J73" s="35">
        <f t="shared" si="6"/>
        <v>59</v>
      </c>
      <c r="K73" s="35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4" t="s">
        <v>49</v>
      </c>
      <c r="B74" s="4">
        <v>12.0</v>
      </c>
      <c r="C74" s="4">
        <v>11.0</v>
      </c>
      <c r="D74" s="4"/>
      <c r="E74" s="4"/>
      <c r="F74" s="4"/>
      <c r="G74" s="35"/>
      <c r="H74" s="35"/>
      <c r="I74" s="35">
        <f t="shared" si="5"/>
        <v>23</v>
      </c>
      <c r="J74" s="35">
        <f t="shared" si="6"/>
        <v>34</v>
      </c>
      <c r="K74" s="35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4" t="s">
        <v>50</v>
      </c>
      <c r="B75" s="4">
        <v>1.0</v>
      </c>
      <c r="C75" s="4">
        <v>12.0</v>
      </c>
      <c r="D75" s="4">
        <v>3.0</v>
      </c>
      <c r="E75" s="4">
        <v>7.0</v>
      </c>
      <c r="F75" s="4"/>
      <c r="G75" s="35"/>
      <c r="H75" s="35"/>
      <c r="I75" s="35">
        <f t="shared" si="5"/>
        <v>23</v>
      </c>
      <c r="J75" s="35">
        <f t="shared" si="6"/>
        <v>62</v>
      </c>
      <c r="K75" s="35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4" t="s">
        <v>51</v>
      </c>
      <c r="B76" s="4">
        <v>2.0</v>
      </c>
      <c r="C76" s="4">
        <v>11.0</v>
      </c>
      <c r="D76" s="4">
        <v>5.0</v>
      </c>
      <c r="E76" s="4">
        <v>5.0</v>
      </c>
      <c r="F76" s="4"/>
      <c r="G76" s="4"/>
      <c r="H76" s="35"/>
      <c r="I76" s="35">
        <f t="shared" si="5"/>
        <v>23</v>
      </c>
      <c r="J76" s="35">
        <f t="shared" si="6"/>
        <v>59</v>
      </c>
      <c r="K76" s="35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4" t="s">
        <v>52</v>
      </c>
      <c r="B77" s="4">
        <v>1.0</v>
      </c>
      <c r="C77" s="4">
        <v>12.0</v>
      </c>
      <c r="D77" s="4">
        <v>3.0</v>
      </c>
      <c r="E77" s="4">
        <v>7.0</v>
      </c>
      <c r="F77" s="4"/>
      <c r="G77" s="4"/>
      <c r="H77" s="35"/>
      <c r="I77" s="35">
        <f t="shared" si="5"/>
        <v>23</v>
      </c>
      <c r="J77" s="35">
        <f t="shared" si="6"/>
        <v>62</v>
      </c>
      <c r="K77" s="35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4" t="s">
        <v>53</v>
      </c>
      <c r="B78" s="4">
        <v>1.0</v>
      </c>
      <c r="C78" s="4">
        <v>12.0</v>
      </c>
      <c r="D78" s="4">
        <v>3.0</v>
      </c>
      <c r="E78" s="4">
        <v>7.0</v>
      </c>
      <c r="F78" s="4"/>
      <c r="G78" s="35"/>
      <c r="H78" s="35"/>
      <c r="I78" s="35">
        <f t="shared" si="5"/>
        <v>23</v>
      </c>
      <c r="J78" s="35">
        <f t="shared" si="6"/>
        <v>62</v>
      </c>
      <c r="K78" s="35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4" t="s">
        <v>54</v>
      </c>
      <c r="B79" s="4">
        <v>1.0</v>
      </c>
      <c r="C79" s="4">
        <v>12.0</v>
      </c>
      <c r="D79" s="4">
        <v>3.0</v>
      </c>
      <c r="E79" s="4">
        <v>7.0</v>
      </c>
      <c r="F79" s="4"/>
      <c r="G79" s="4"/>
      <c r="H79" s="35"/>
      <c r="I79" s="35">
        <f t="shared" si="5"/>
        <v>23</v>
      </c>
      <c r="J79" s="35">
        <f t="shared" si="6"/>
        <v>62</v>
      </c>
      <c r="K79" s="35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4" t="s">
        <v>55</v>
      </c>
      <c r="B80" s="4">
        <v>1.0</v>
      </c>
      <c r="C80" s="4">
        <v>12.0</v>
      </c>
      <c r="D80" s="4">
        <v>3.0</v>
      </c>
      <c r="E80" s="4">
        <v>7.0</v>
      </c>
      <c r="F80" s="4"/>
      <c r="G80" s="4"/>
      <c r="H80" s="35"/>
      <c r="I80" s="35">
        <f t="shared" si="5"/>
        <v>23</v>
      </c>
      <c r="J80" s="35">
        <f t="shared" si="6"/>
        <v>62</v>
      </c>
      <c r="K80" s="35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4" t="s">
        <v>56</v>
      </c>
      <c r="B81" s="4">
        <v>1.0</v>
      </c>
      <c r="C81" s="4">
        <v>12.0</v>
      </c>
      <c r="D81" s="4">
        <v>3.0</v>
      </c>
      <c r="E81" s="4">
        <v>7.0</v>
      </c>
      <c r="F81" s="4"/>
      <c r="G81" s="4"/>
      <c r="H81" s="35"/>
      <c r="I81" s="35">
        <f t="shared" si="5"/>
        <v>23</v>
      </c>
      <c r="J81" s="35">
        <f t="shared" si="6"/>
        <v>62</v>
      </c>
      <c r="K81" s="35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5" t="s">
        <v>70</v>
      </c>
      <c r="B84" s="2"/>
      <c r="C84" s="2"/>
      <c r="D84" s="2"/>
      <c r="E84" s="2"/>
      <c r="F84" s="2"/>
      <c r="G84" s="2"/>
      <c r="H84" s="2"/>
      <c r="I84" s="2"/>
      <c r="J84" s="2"/>
      <c r="K84" s="3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5"/>
      <c r="B85" s="4" t="s">
        <v>28</v>
      </c>
      <c r="C85" s="4" t="s">
        <v>29</v>
      </c>
      <c r="D85" s="4" t="s">
        <v>30</v>
      </c>
      <c r="E85" s="4" t="s">
        <v>31</v>
      </c>
      <c r="F85" s="4" t="s">
        <v>32</v>
      </c>
      <c r="G85" s="4" t="s">
        <v>59</v>
      </c>
      <c r="H85" s="4" t="s">
        <v>60</v>
      </c>
      <c r="I85" s="35"/>
      <c r="J85" s="35"/>
      <c r="K85" s="35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4" t="s">
        <v>33</v>
      </c>
      <c r="B86" s="4">
        <v>2.0</v>
      </c>
      <c r="C86" s="4">
        <v>11.0</v>
      </c>
      <c r="D86" s="4">
        <v>8.0</v>
      </c>
      <c r="E86" s="4">
        <v>2.0</v>
      </c>
      <c r="F86" s="4"/>
      <c r="G86" s="4"/>
      <c r="H86" s="35"/>
      <c r="I86" s="35">
        <f t="shared" ref="I86:I109" si="7">sum(B86:H86)</f>
        <v>23</v>
      </c>
      <c r="J86" s="35">
        <f t="shared" ref="J86:J109" si="8">B86+C86*2+D86*3+E86*4+F86*5+G86*6+H86*7</f>
        <v>56</v>
      </c>
      <c r="K86" s="35">
        <f>sum(J86:J109)/(24*24)</f>
        <v>2.260416667</v>
      </c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4" t="s">
        <v>34</v>
      </c>
      <c r="B87" s="4">
        <v>2.0</v>
      </c>
      <c r="C87" s="4">
        <v>11.0</v>
      </c>
      <c r="D87" s="4">
        <v>8.0</v>
      </c>
      <c r="E87" s="4">
        <v>2.0</v>
      </c>
      <c r="F87" s="4"/>
      <c r="G87" s="4"/>
      <c r="H87" s="35"/>
      <c r="I87" s="35">
        <f t="shared" si="7"/>
        <v>23</v>
      </c>
      <c r="J87" s="35">
        <f t="shared" si="8"/>
        <v>56</v>
      </c>
      <c r="K87" s="35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4" t="s">
        <v>35</v>
      </c>
      <c r="B88" s="4">
        <v>2.0</v>
      </c>
      <c r="C88" s="4">
        <v>11.0</v>
      </c>
      <c r="D88" s="4">
        <v>8.0</v>
      </c>
      <c r="E88" s="4">
        <v>2.0</v>
      </c>
      <c r="F88" s="4"/>
      <c r="G88" s="4"/>
      <c r="H88" s="35"/>
      <c r="I88" s="35">
        <f t="shared" si="7"/>
        <v>23</v>
      </c>
      <c r="J88" s="35">
        <f t="shared" si="8"/>
        <v>56</v>
      </c>
      <c r="K88" s="35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4" t="s">
        <v>36</v>
      </c>
      <c r="B89" s="4">
        <v>2.0</v>
      </c>
      <c r="C89" s="4">
        <v>11.0</v>
      </c>
      <c r="D89" s="4">
        <v>8.0</v>
      </c>
      <c r="E89" s="4">
        <v>2.0</v>
      </c>
      <c r="F89" s="4"/>
      <c r="G89" s="4"/>
      <c r="H89" s="35"/>
      <c r="I89" s="35">
        <f t="shared" si="7"/>
        <v>23</v>
      </c>
      <c r="J89" s="35">
        <f t="shared" si="8"/>
        <v>56</v>
      </c>
      <c r="K89" s="35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4" t="s">
        <v>37</v>
      </c>
      <c r="B90" s="4">
        <v>2.0</v>
      </c>
      <c r="C90" s="4">
        <v>11.0</v>
      </c>
      <c r="D90" s="4">
        <v>8.0</v>
      </c>
      <c r="E90" s="4">
        <v>2.0</v>
      </c>
      <c r="F90" s="4"/>
      <c r="G90" s="4"/>
      <c r="H90" s="35"/>
      <c r="I90" s="35">
        <f t="shared" si="7"/>
        <v>23</v>
      </c>
      <c r="J90" s="35">
        <f t="shared" si="8"/>
        <v>56</v>
      </c>
      <c r="K90" s="35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4" t="s">
        <v>38</v>
      </c>
      <c r="B91" s="4">
        <v>2.0</v>
      </c>
      <c r="C91" s="4">
        <v>11.0</v>
      </c>
      <c r="D91" s="4">
        <v>8.0</v>
      </c>
      <c r="E91" s="4">
        <v>2.0</v>
      </c>
      <c r="F91" s="4"/>
      <c r="G91" s="35"/>
      <c r="H91" s="35"/>
      <c r="I91" s="35">
        <f t="shared" si="7"/>
        <v>23</v>
      </c>
      <c r="J91" s="35">
        <f t="shared" si="8"/>
        <v>56</v>
      </c>
      <c r="K91" s="35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4" t="s">
        <v>39</v>
      </c>
      <c r="B92" s="4">
        <v>2.0</v>
      </c>
      <c r="C92" s="4">
        <v>11.0</v>
      </c>
      <c r="D92" s="4">
        <v>8.0</v>
      </c>
      <c r="E92" s="4">
        <v>2.0</v>
      </c>
      <c r="F92" s="4"/>
      <c r="G92" s="35"/>
      <c r="H92" s="35"/>
      <c r="I92" s="35">
        <f t="shared" si="7"/>
        <v>23</v>
      </c>
      <c r="J92" s="35">
        <f t="shared" si="8"/>
        <v>56</v>
      </c>
      <c r="K92" s="35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4" t="s">
        <v>40</v>
      </c>
      <c r="B93" s="4">
        <v>12.0</v>
      </c>
      <c r="C93" s="4">
        <v>8.0</v>
      </c>
      <c r="D93" s="4">
        <v>1.0</v>
      </c>
      <c r="E93" s="4">
        <v>2.0</v>
      </c>
      <c r="F93" s="35"/>
      <c r="G93" s="35"/>
      <c r="H93" s="35"/>
      <c r="I93" s="35">
        <f t="shared" si="7"/>
        <v>23</v>
      </c>
      <c r="J93" s="35">
        <f t="shared" si="8"/>
        <v>39</v>
      </c>
      <c r="K93" s="35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4" t="s">
        <v>41</v>
      </c>
      <c r="B94" s="4">
        <v>3.0</v>
      </c>
      <c r="C94" s="4">
        <v>14.0</v>
      </c>
      <c r="D94" s="4">
        <v>6.0</v>
      </c>
      <c r="E94" s="4"/>
      <c r="F94" s="4"/>
      <c r="G94" s="35"/>
      <c r="H94" s="35"/>
      <c r="I94" s="35">
        <f t="shared" si="7"/>
        <v>23</v>
      </c>
      <c r="J94" s="35">
        <f t="shared" si="8"/>
        <v>49</v>
      </c>
      <c r="K94" s="35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4" t="s">
        <v>42</v>
      </c>
      <c r="B95" s="4">
        <v>3.0</v>
      </c>
      <c r="C95" s="4">
        <v>14.0</v>
      </c>
      <c r="D95" s="4">
        <v>6.0</v>
      </c>
      <c r="E95" s="4"/>
      <c r="F95" s="35"/>
      <c r="G95" s="35"/>
      <c r="H95" s="35"/>
      <c r="I95" s="35">
        <f t="shared" si="7"/>
        <v>23</v>
      </c>
      <c r="J95" s="35">
        <f t="shared" si="8"/>
        <v>49</v>
      </c>
      <c r="K95" s="35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4" t="s">
        <v>43</v>
      </c>
      <c r="B96" s="4">
        <v>2.0</v>
      </c>
      <c r="C96" s="4">
        <v>11.0</v>
      </c>
      <c r="D96" s="4">
        <v>8.0</v>
      </c>
      <c r="E96" s="4">
        <v>2.0</v>
      </c>
      <c r="F96" s="4"/>
      <c r="G96" s="4"/>
      <c r="H96" s="35"/>
      <c r="I96" s="35">
        <f t="shared" si="7"/>
        <v>23</v>
      </c>
      <c r="J96" s="35">
        <f t="shared" si="8"/>
        <v>56</v>
      </c>
      <c r="K96" s="35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4" t="s">
        <v>44</v>
      </c>
      <c r="B97" s="37">
        <v>14.0</v>
      </c>
      <c r="C97" s="37">
        <v>4.0</v>
      </c>
      <c r="D97" s="37">
        <v>3.0</v>
      </c>
      <c r="E97" s="4">
        <v>2.0</v>
      </c>
      <c r="F97" s="35"/>
      <c r="G97" s="35"/>
      <c r="H97" s="35"/>
      <c r="I97" s="35">
        <f t="shared" si="7"/>
        <v>23</v>
      </c>
      <c r="J97" s="35">
        <f t="shared" si="8"/>
        <v>39</v>
      </c>
      <c r="K97" s="35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4" t="s">
        <v>45</v>
      </c>
      <c r="B98" s="37">
        <v>8.0</v>
      </c>
      <c r="C98" s="37">
        <v>13.0</v>
      </c>
      <c r="D98" s="4">
        <v>2.0</v>
      </c>
      <c r="E98" s="4"/>
      <c r="F98" s="35"/>
      <c r="G98" s="35"/>
      <c r="H98" s="35"/>
      <c r="I98" s="35">
        <f t="shared" si="7"/>
        <v>23</v>
      </c>
      <c r="J98" s="35">
        <f t="shared" si="8"/>
        <v>40</v>
      </c>
      <c r="K98" s="35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4" t="s">
        <v>46</v>
      </c>
      <c r="B99" s="4">
        <v>1.0</v>
      </c>
      <c r="C99" s="4">
        <v>8.0</v>
      </c>
      <c r="D99" s="4">
        <v>3.0</v>
      </c>
      <c r="E99" s="4">
        <v>10.0</v>
      </c>
      <c r="F99" s="4">
        <v>1.0</v>
      </c>
      <c r="G99" s="35"/>
      <c r="H99" s="35"/>
      <c r="I99" s="35">
        <f t="shared" si="7"/>
        <v>23</v>
      </c>
      <c r="J99" s="35">
        <f t="shared" si="8"/>
        <v>71</v>
      </c>
      <c r="K99" s="35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4" t="s">
        <v>47</v>
      </c>
      <c r="B100" s="4">
        <v>9.0</v>
      </c>
      <c r="C100" s="4">
        <v>3.0</v>
      </c>
      <c r="D100" s="4">
        <v>10.0</v>
      </c>
      <c r="E100" s="4">
        <v>1.0</v>
      </c>
      <c r="F100" s="4"/>
      <c r="G100" s="35"/>
      <c r="H100" s="35"/>
      <c r="I100" s="35">
        <f t="shared" si="7"/>
        <v>23</v>
      </c>
      <c r="J100" s="35">
        <f t="shared" si="8"/>
        <v>49</v>
      </c>
      <c r="K100" s="35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4" t="s">
        <v>48</v>
      </c>
      <c r="B101" s="4">
        <v>2.0</v>
      </c>
      <c r="C101" s="4">
        <v>9.0</v>
      </c>
      <c r="D101" s="4">
        <v>3.0</v>
      </c>
      <c r="E101" s="4">
        <v>8.0</v>
      </c>
      <c r="F101" s="4">
        <v>1.0</v>
      </c>
      <c r="G101" s="35"/>
      <c r="H101" s="35"/>
      <c r="I101" s="35">
        <f t="shared" si="7"/>
        <v>23</v>
      </c>
      <c r="J101" s="35">
        <f t="shared" si="8"/>
        <v>66</v>
      </c>
      <c r="K101" s="35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4" t="s">
        <v>49</v>
      </c>
      <c r="B102" s="4">
        <v>3.0</v>
      </c>
      <c r="C102" s="4">
        <v>11.0</v>
      </c>
      <c r="D102" s="4">
        <v>8.0</v>
      </c>
      <c r="E102" s="4">
        <v>1.0</v>
      </c>
      <c r="F102" s="4"/>
      <c r="G102" s="35"/>
      <c r="H102" s="35"/>
      <c r="I102" s="35">
        <f t="shared" si="7"/>
        <v>23</v>
      </c>
      <c r="J102" s="35">
        <f t="shared" si="8"/>
        <v>53</v>
      </c>
      <c r="K102" s="35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4" t="s">
        <v>50</v>
      </c>
      <c r="B103" s="4">
        <v>3.0</v>
      </c>
      <c r="C103" s="4">
        <v>11.0</v>
      </c>
      <c r="D103" s="4">
        <v>8.0</v>
      </c>
      <c r="E103" s="4">
        <v>1.0</v>
      </c>
      <c r="F103" s="4"/>
      <c r="G103" s="35"/>
      <c r="H103" s="35"/>
      <c r="I103" s="35">
        <f t="shared" si="7"/>
        <v>23</v>
      </c>
      <c r="J103" s="35">
        <f t="shared" si="8"/>
        <v>53</v>
      </c>
      <c r="K103" s="35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4" t="s">
        <v>51</v>
      </c>
      <c r="B104" s="4">
        <v>2.0</v>
      </c>
      <c r="C104" s="4">
        <v>9.0</v>
      </c>
      <c r="D104" s="4">
        <v>3.0</v>
      </c>
      <c r="E104" s="4">
        <v>8.0</v>
      </c>
      <c r="F104" s="4">
        <v>1.0</v>
      </c>
      <c r="G104" s="4"/>
      <c r="H104" s="35"/>
      <c r="I104" s="35">
        <f t="shared" si="7"/>
        <v>23</v>
      </c>
      <c r="J104" s="35">
        <f t="shared" si="8"/>
        <v>66</v>
      </c>
      <c r="K104" s="35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4" t="s">
        <v>52</v>
      </c>
      <c r="B105" s="4">
        <v>3.0</v>
      </c>
      <c r="C105" s="4">
        <v>11.0</v>
      </c>
      <c r="D105" s="4">
        <v>8.0</v>
      </c>
      <c r="E105" s="4">
        <v>1.0</v>
      </c>
      <c r="F105" s="4"/>
      <c r="G105" s="4"/>
      <c r="H105" s="35"/>
      <c r="I105" s="35">
        <f t="shared" si="7"/>
        <v>23</v>
      </c>
      <c r="J105" s="35">
        <f t="shared" si="8"/>
        <v>53</v>
      </c>
      <c r="K105" s="35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4" t="s">
        <v>53</v>
      </c>
      <c r="B106" s="4">
        <v>2.0</v>
      </c>
      <c r="C106" s="4">
        <v>9.0</v>
      </c>
      <c r="D106" s="4">
        <v>3.0</v>
      </c>
      <c r="E106" s="4">
        <v>8.0</v>
      </c>
      <c r="F106" s="4">
        <v>1.0</v>
      </c>
      <c r="G106" s="35"/>
      <c r="H106" s="35"/>
      <c r="I106" s="35">
        <f t="shared" si="7"/>
        <v>23</v>
      </c>
      <c r="J106" s="35">
        <f t="shared" si="8"/>
        <v>66</v>
      </c>
      <c r="K106" s="35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4" t="s">
        <v>54</v>
      </c>
      <c r="B107" s="4">
        <v>10.0</v>
      </c>
      <c r="C107" s="4">
        <v>10.0</v>
      </c>
      <c r="D107" s="4">
        <v>3.0</v>
      </c>
      <c r="E107" s="4"/>
      <c r="F107" s="4"/>
      <c r="G107" s="4"/>
      <c r="H107" s="35"/>
      <c r="I107" s="35">
        <f t="shared" si="7"/>
        <v>23</v>
      </c>
      <c r="J107" s="35">
        <f t="shared" si="8"/>
        <v>39</v>
      </c>
      <c r="K107" s="35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4" t="s">
        <v>55</v>
      </c>
      <c r="B108" s="4">
        <v>1.0</v>
      </c>
      <c r="C108" s="4">
        <v>9.0</v>
      </c>
      <c r="D108" s="4">
        <v>10.0</v>
      </c>
      <c r="E108" s="4">
        <v>3.0</v>
      </c>
      <c r="F108" s="4"/>
      <c r="G108" s="4"/>
      <c r="H108" s="35"/>
      <c r="I108" s="35">
        <f t="shared" si="7"/>
        <v>23</v>
      </c>
      <c r="J108" s="35">
        <f t="shared" si="8"/>
        <v>61</v>
      </c>
      <c r="K108" s="35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4" t="s">
        <v>56</v>
      </c>
      <c r="B109" s="4">
        <v>1.0</v>
      </c>
      <c r="C109" s="4">
        <v>9.0</v>
      </c>
      <c r="D109" s="4">
        <v>10.0</v>
      </c>
      <c r="E109" s="4">
        <v>3.0</v>
      </c>
      <c r="F109" s="4"/>
      <c r="G109" s="4"/>
      <c r="H109" s="35"/>
      <c r="I109" s="35">
        <f t="shared" si="7"/>
        <v>23</v>
      </c>
      <c r="J109" s="35">
        <f t="shared" si="8"/>
        <v>61</v>
      </c>
      <c r="K109" s="35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4">
    <mergeCell ref="A1:K1"/>
    <mergeCell ref="A29:K29"/>
    <mergeCell ref="A56:K56"/>
    <mergeCell ref="A84:K8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63</v>
      </c>
      <c r="B1" s="2"/>
      <c r="C1" s="2"/>
      <c r="D1" s="2"/>
      <c r="E1" s="2"/>
      <c r="F1" s="2"/>
      <c r="G1" s="2"/>
      <c r="H1" s="2"/>
      <c r="I1" s="2"/>
      <c r="J1" s="2"/>
      <c r="K1" s="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/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59</v>
      </c>
      <c r="H2" s="4" t="s">
        <v>60</v>
      </c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4" t="s">
        <v>33</v>
      </c>
      <c r="B3" s="4">
        <v>1.0</v>
      </c>
      <c r="C3" s="4">
        <v>6.0</v>
      </c>
      <c r="D3" s="4">
        <v>3.0</v>
      </c>
      <c r="E3" s="4">
        <v>5.0</v>
      </c>
      <c r="F3" s="4">
        <v>4.0</v>
      </c>
      <c r="G3" s="4">
        <v>4.0</v>
      </c>
      <c r="H3" s="35"/>
      <c r="I3" s="35">
        <f t="shared" ref="I3:I26" si="1">sum(B3:H3)</f>
        <v>23</v>
      </c>
      <c r="J3" s="35">
        <f t="shared" ref="J3:J26" si="2">B3+C3*2+D3*3+E3*4+F3*5+G3*6+H3*7</f>
        <v>86</v>
      </c>
      <c r="K3" s="35">
        <f>sum(J3:J26)/((24*24)-24)</f>
        <v>3.355072464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4" t="s">
        <v>34</v>
      </c>
      <c r="B4" s="4">
        <v>1.0</v>
      </c>
      <c r="C4" s="4">
        <v>6.0</v>
      </c>
      <c r="D4" s="4">
        <v>3.0</v>
      </c>
      <c r="E4" s="4">
        <v>5.0</v>
      </c>
      <c r="F4" s="4">
        <v>4.0</v>
      </c>
      <c r="G4" s="4">
        <v>4.0</v>
      </c>
      <c r="H4" s="35"/>
      <c r="I4" s="35">
        <f t="shared" si="1"/>
        <v>23</v>
      </c>
      <c r="J4" s="35">
        <f t="shared" si="2"/>
        <v>86</v>
      </c>
      <c r="K4" s="35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" t="s">
        <v>35</v>
      </c>
      <c r="B5" s="4">
        <v>1.0</v>
      </c>
      <c r="C5" s="4">
        <v>6.0</v>
      </c>
      <c r="D5" s="4">
        <v>3.0</v>
      </c>
      <c r="E5" s="4">
        <v>5.0</v>
      </c>
      <c r="F5" s="4">
        <v>4.0</v>
      </c>
      <c r="G5" s="4">
        <v>4.0</v>
      </c>
      <c r="H5" s="35"/>
      <c r="I5" s="35">
        <f t="shared" si="1"/>
        <v>23</v>
      </c>
      <c r="J5" s="35">
        <f t="shared" si="2"/>
        <v>86</v>
      </c>
      <c r="K5" s="35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4" t="s">
        <v>36</v>
      </c>
      <c r="B6" s="4">
        <v>1.0</v>
      </c>
      <c r="C6" s="4">
        <v>6.0</v>
      </c>
      <c r="D6" s="4">
        <v>3.0</v>
      </c>
      <c r="E6" s="4">
        <v>5.0</v>
      </c>
      <c r="F6" s="4">
        <v>4.0</v>
      </c>
      <c r="G6" s="4">
        <v>4.0</v>
      </c>
      <c r="H6" s="35"/>
      <c r="I6" s="35">
        <f t="shared" si="1"/>
        <v>23</v>
      </c>
      <c r="J6" s="35">
        <f t="shared" si="2"/>
        <v>86</v>
      </c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" t="s">
        <v>37</v>
      </c>
      <c r="B7" s="4">
        <v>1.0</v>
      </c>
      <c r="C7" s="4">
        <v>6.0</v>
      </c>
      <c r="D7" s="4">
        <v>3.0</v>
      </c>
      <c r="E7" s="4">
        <v>5.0</v>
      </c>
      <c r="F7" s="4">
        <v>4.0</v>
      </c>
      <c r="G7" s="4">
        <v>4.0</v>
      </c>
      <c r="H7" s="35"/>
      <c r="I7" s="35">
        <f t="shared" si="1"/>
        <v>23</v>
      </c>
      <c r="J7" s="35">
        <f t="shared" si="2"/>
        <v>86</v>
      </c>
      <c r="K7" s="35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4" t="s">
        <v>38</v>
      </c>
      <c r="B8" s="37">
        <v>7.0</v>
      </c>
      <c r="C8" s="37">
        <v>3.0</v>
      </c>
      <c r="D8" s="37">
        <v>5.0</v>
      </c>
      <c r="E8" s="4">
        <v>4.0</v>
      </c>
      <c r="F8" s="4">
        <v>4.0</v>
      </c>
      <c r="G8" s="35"/>
      <c r="H8" s="35"/>
      <c r="I8" s="35">
        <f t="shared" si="1"/>
        <v>23</v>
      </c>
      <c r="J8" s="35">
        <f t="shared" si="2"/>
        <v>64</v>
      </c>
      <c r="K8" s="35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4" t="s">
        <v>39</v>
      </c>
      <c r="B9" s="4">
        <v>1.0</v>
      </c>
      <c r="C9" s="4">
        <v>3.0</v>
      </c>
      <c r="D9" s="4">
        <v>11.0</v>
      </c>
      <c r="E9" s="4">
        <v>4.0</v>
      </c>
      <c r="F9" s="4">
        <v>4.0</v>
      </c>
      <c r="G9" s="4"/>
      <c r="H9" s="35"/>
      <c r="I9" s="35">
        <f t="shared" si="1"/>
        <v>23</v>
      </c>
      <c r="J9" s="35">
        <f t="shared" si="2"/>
        <v>76</v>
      </c>
      <c r="K9" s="35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4" t="s">
        <v>40</v>
      </c>
      <c r="B10" s="37">
        <v>4.0</v>
      </c>
      <c r="C10" s="37">
        <v>11.0</v>
      </c>
      <c r="D10" s="37">
        <v>4.0</v>
      </c>
      <c r="E10" s="4">
        <v>4.0</v>
      </c>
      <c r="F10" s="35"/>
      <c r="G10" s="35"/>
      <c r="H10" s="35"/>
      <c r="I10" s="35">
        <f t="shared" si="1"/>
        <v>23</v>
      </c>
      <c r="J10" s="35">
        <f t="shared" si="2"/>
        <v>54</v>
      </c>
      <c r="K10" s="35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4" t="s">
        <v>41</v>
      </c>
      <c r="B11" s="4">
        <v>1.0</v>
      </c>
      <c r="C11" s="4">
        <v>3.0</v>
      </c>
      <c r="D11" s="4">
        <v>11.0</v>
      </c>
      <c r="E11" s="4">
        <v>4.0</v>
      </c>
      <c r="F11" s="4">
        <v>4.0</v>
      </c>
      <c r="G11" s="35"/>
      <c r="H11" s="35"/>
      <c r="I11" s="35">
        <f t="shared" si="1"/>
        <v>23</v>
      </c>
      <c r="J11" s="35">
        <f t="shared" si="2"/>
        <v>76</v>
      </c>
      <c r="K11" s="35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4" t="s">
        <v>42</v>
      </c>
      <c r="B12" s="4">
        <v>1.0</v>
      </c>
      <c r="C12" s="37">
        <v>5.0</v>
      </c>
      <c r="D12" s="37">
        <v>7.0</v>
      </c>
      <c r="E12" s="4">
        <v>10.0</v>
      </c>
      <c r="F12" s="35"/>
      <c r="G12" s="35"/>
      <c r="H12" s="35"/>
      <c r="I12" s="35">
        <f t="shared" si="1"/>
        <v>23</v>
      </c>
      <c r="J12" s="35">
        <f t="shared" si="2"/>
        <v>72</v>
      </c>
      <c r="K12" s="35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4" t="s">
        <v>43</v>
      </c>
      <c r="B13" s="4">
        <v>1.0</v>
      </c>
      <c r="C13" s="4">
        <v>6.0</v>
      </c>
      <c r="D13" s="4">
        <v>3.0</v>
      </c>
      <c r="E13" s="4">
        <v>5.0</v>
      </c>
      <c r="F13" s="4">
        <v>4.0</v>
      </c>
      <c r="G13" s="4">
        <v>4.0</v>
      </c>
      <c r="H13" s="35"/>
      <c r="I13" s="35">
        <f t="shared" si="1"/>
        <v>23</v>
      </c>
      <c r="J13" s="35">
        <f t="shared" si="2"/>
        <v>86</v>
      </c>
      <c r="K13" s="35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4" t="s">
        <v>44</v>
      </c>
      <c r="B14" s="4">
        <v>1.0</v>
      </c>
      <c r="C14" s="37">
        <v>5.0</v>
      </c>
      <c r="D14" s="37">
        <v>7.0</v>
      </c>
      <c r="E14" s="4">
        <v>10.0</v>
      </c>
      <c r="F14" s="35"/>
      <c r="G14" s="35"/>
      <c r="H14" s="35"/>
      <c r="I14" s="35">
        <f t="shared" si="1"/>
        <v>23</v>
      </c>
      <c r="J14" s="35">
        <f t="shared" si="2"/>
        <v>72</v>
      </c>
      <c r="K14" s="35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4" t="s">
        <v>45</v>
      </c>
      <c r="B15" s="4">
        <v>6.0</v>
      </c>
      <c r="C15" s="4">
        <v>7.0</v>
      </c>
      <c r="D15" s="4">
        <v>10.0</v>
      </c>
      <c r="E15" s="35"/>
      <c r="F15" s="35"/>
      <c r="G15" s="35"/>
      <c r="H15" s="35"/>
      <c r="I15" s="35">
        <f t="shared" si="1"/>
        <v>23</v>
      </c>
      <c r="J15" s="35">
        <f t="shared" si="2"/>
        <v>50</v>
      </c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4" t="s">
        <v>46</v>
      </c>
      <c r="B16" s="4">
        <v>1.0</v>
      </c>
      <c r="C16" s="4">
        <v>4.0</v>
      </c>
      <c r="D16" s="4">
        <v>9.0</v>
      </c>
      <c r="E16" s="4">
        <v>3.0</v>
      </c>
      <c r="F16" s="4">
        <v>6.0</v>
      </c>
      <c r="G16" s="35"/>
      <c r="H16" s="35"/>
      <c r="I16" s="35">
        <f t="shared" si="1"/>
        <v>23</v>
      </c>
      <c r="J16" s="35">
        <f t="shared" si="2"/>
        <v>78</v>
      </c>
      <c r="K16" s="35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4" t="s">
        <v>47</v>
      </c>
      <c r="B17" s="4">
        <v>5.0</v>
      </c>
      <c r="C17" s="4">
        <v>9.0</v>
      </c>
      <c r="D17" s="4">
        <v>3.0</v>
      </c>
      <c r="E17" s="4">
        <v>6.0</v>
      </c>
      <c r="F17" s="35"/>
      <c r="G17" s="35"/>
      <c r="H17" s="35"/>
      <c r="I17" s="35">
        <f t="shared" si="1"/>
        <v>23</v>
      </c>
      <c r="J17" s="35">
        <f t="shared" si="2"/>
        <v>56</v>
      </c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4" t="s">
        <v>48</v>
      </c>
      <c r="B18" s="4">
        <v>1.0</v>
      </c>
      <c r="C18" s="4">
        <v>4.0</v>
      </c>
      <c r="D18" s="4">
        <v>9.0</v>
      </c>
      <c r="E18" s="4">
        <v>3.0</v>
      </c>
      <c r="F18" s="4">
        <v>6.0</v>
      </c>
      <c r="G18" s="35"/>
      <c r="H18" s="35"/>
      <c r="I18" s="35">
        <f t="shared" si="1"/>
        <v>23</v>
      </c>
      <c r="J18" s="35">
        <f t="shared" si="2"/>
        <v>78</v>
      </c>
      <c r="K18" s="35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4" t="s">
        <v>49</v>
      </c>
      <c r="B19" s="4">
        <v>1.0</v>
      </c>
      <c r="C19" s="37">
        <v>5.0</v>
      </c>
      <c r="D19" s="37">
        <v>7.0</v>
      </c>
      <c r="E19" s="4">
        <v>10.0</v>
      </c>
      <c r="F19" s="35"/>
      <c r="G19" s="35"/>
      <c r="H19" s="35"/>
      <c r="I19" s="35">
        <f t="shared" si="1"/>
        <v>23</v>
      </c>
      <c r="J19" s="35">
        <f t="shared" si="2"/>
        <v>72</v>
      </c>
      <c r="K19" s="35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4" t="s">
        <v>50</v>
      </c>
      <c r="B20" s="4">
        <v>1.0</v>
      </c>
      <c r="C20" s="4">
        <v>4.0</v>
      </c>
      <c r="D20" s="4">
        <v>9.0</v>
      </c>
      <c r="E20" s="4">
        <v>3.0</v>
      </c>
      <c r="F20" s="4">
        <v>6.0</v>
      </c>
      <c r="G20" s="35"/>
      <c r="H20" s="35"/>
      <c r="I20" s="35">
        <f t="shared" si="1"/>
        <v>23</v>
      </c>
      <c r="J20" s="35">
        <f t="shared" si="2"/>
        <v>78</v>
      </c>
      <c r="K20" s="35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4" t="s">
        <v>51</v>
      </c>
      <c r="B21" s="4">
        <v>1.0</v>
      </c>
      <c r="C21" s="4">
        <v>4.0</v>
      </c>
      <c r="D21" s="4">
        <v>4.0</v>
      </c>
      <c r="E21" s="4">
        <v>5.0</v>
      </c>
      <c r="F21" s="4">
        <v>3.0</v>
      </c>
      <c r="G21" s="4">
        <v>6.0</v>
      </c>
      <c r="H21" s="35"/>
      <c r="I21" s="35">
        <f t="shared" si="1"/>
        <v>23</v>
      </c>
      <c r="J21" s="35">
        <f t="shared" si="2"/>
        <v>92</v>
      </c>
      <c r="K21" s="35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4" t="s">
        <v>52</v>
      </c>
      <c r="B22" s="4">
        <v>1.0</v>
      </c>
      <c r="C22" s="37">
        <v>5.0</v>
      </c>
      <c r="D22" s="37">
        <v>7.0</v>
      </c>
      <c r="E22" s="4">
        <v>10.0</v>
      </c>
      <c r="F22" s="4"/>
      <c r="G22" s="35"/>
      <c r="H22" s="35"/>
      <c r="I22" s="35">
        <f t="shared" si="1"/>
        <v>23</v>
      </c>
      <c r="J22" s="35">
        <f t="shared" si="2"/>
        <v>72</v>
      </c>
      <c r="K22" s="35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4" t="s">
        <v>53</v>
      </c>
      <c r="B23" s="4">
        <v>5.0</v>
      </c>
      <c r="C23" s="4">
        <v>4.0</v>
      </c>
      <c r="D23" s="4">
        <v>5.0</v>
      </c>
      <c r="E23" s="4">
        <v>3.0</v>
      </c>
      <c r="F23" s="4">
        <v>6.0</v>
      </c>
      <c r="G23" s="35"/>
      <c r="H23" s="35"/>
      <c r="I23" s="35">
        <f t="shared" si="1"/>
        <v>23</v>
      </c>
      <c r="J23" s="35">
        <f t="shared" si="2"/>
        <v>70</v>
      </c>
      <c r="K23" s="35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4" t="s">
        <v>54</v>
      </c>
      <c r="B24" s="4">
        <v>1.0</v>
      </c>
      <c r="C24" s="4">
        <v>4.0</v>
      </c>
      <c r="D24" s="4">
        <v>4.0</v>
      </c>
      <c r="E24" s="4">
        <v>5.0</v>
      </c>
      <c r="F24" s="4">
        <v>3.0</v>
      </c>
      <c r="G24" s="4">
        <v>6.0</v>
      </c>
      <c r="H24" s="35"/>
      <c r="I24" s="35">
        <f t="shared" si="1"/>
        <v>23</v>
      </c>
      <c r="J24" s="35">
        <f t="shared" si="2"/>
        <v>92</v>
      </c>
      <c r="K24" s="35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4" t="s">
        <v>55</v>
      </c>
      <c r="B25" s="4">
        <v>1.0</v>
      </c>
      <c r="C25" s="4">
        <v>4.0</v>
      </c>
      <c r="D25" s="4">
        <v>4.0</v>
      </c>
      <c r="E25" s="4">
        <v>5.0</v>
      </c>
      <c r="F25" s="4">
        <v>3.0</v>
      </c>
      <c r="G25" s="4">
        <v>6.0</v>
      </c>
      <c r="H25" s="35"/>
      <c r="I25" s="35">
        <f t="shared" si="1"/>
        <v>23</v>
      </c>
      <c r="J25" s="35">
        <f t="shared" si="2"/>
        <v>92</v>
      </c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4" t="s">
        <v>56</v>
      </c>
      <c r="B26" s="4">
        <v>1.0</v>
      </c>
      <c r="C26" s="4">
        <v>4.0</v>
      </c>
      <c r="D26" s="4">
        <v>4.0</v>
      </c>
      <c r="E26" s="4">
        <v>5.0</v>
      </c>
      <c r="F26" s="4">
        <v>3.0</v>
      </c>
      <c r="G26" s="4">
        <v>6.0</v>
      </c>
      <c r="H26" s="35"/>
      <c r="I26" s="35">
        <f t="shared" si="1"/>
        <v>23</v>
      </c>
      <c r="J26" s="35">
        <f t="shared" si="2"/>
        <v>92</v>
      </c>
      <c r="K26" s="35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9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9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5" t="s">
        <v>64</v>
      </c>
      <c r="B29" s="2"/>
      <c r="C29" s="2"/>
      <c r="D29" s="2"/>
      <c r="E29" s="2"/>
      <c r="F29" s="2"/>
      <c r="G29" s="2"/>
      <c r="H29" s="2"/>
      <c r="I29" s="2"/>
      <c r="J29" s="2"/>
      <c r="K29" s="3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5"/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59</v>
      </c>
      <c r="H30" s="4" t="s">
        <v>60</v>
      </c>
      <c r="I30" s="35"/>
      <c r="J30" s="35"/>
      <c r="K30" s="35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4" t="s">
        <v>33</v>
      </c>
      <c r="B31" s="4">
        <v>1.0</v>
      </c>
      <c r="C31" s="4">
        <v>5.0</v>
      </c>
      <c r="D31" s="4">
        <v>3.0</v>
      </c>
      <c r="E31" s="4">
        <v>3.0</v>
      </c>
      <c r="F31" s="4">
        <v>3.0</v>
      </c>
      <c r="G31" s="4">
        <v>8.0</v>
      </c>
      <c r="H31" s="35"/>
      <c r="I31" s="35">
        <f t="shared" ref="I31:I54" si="3">sum(B31:H31)</f>
        <v>23</v>
      </c>
      <c r="J31" s="35">
        <f t="shared" ref="J31:J54" si="4">B31+C31*2+D31*3+E31*4+F31*5+G31*6+H31*7</f>
        <v>95</v>
      </c>
      <c r="K31" s="35">
        <f>sum(J31:J54)/((24*24)-24)</f>
        <v>3.474637681</v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4" t="s">
        <v>34</v>
      </c>
      <c r="B32" s="4">
        <v>1.0</v>
      </c>
      <c r="C32" s="4">
        <v>5.0</v>
      </c>
      <c r="D32" s="4">
        <v>3.0</v>
      </c>
      <c r="E32" s="4">
        <v>3.0</v>
      </c>
      <c r="F32" s="4">
        <v>3.0</v>
      </c>
      <c r="G32" s="4">
        <v>8.0</v>
      </c>
      <c r="H32" s="35"/>
      <c r="I32" s="35">
        <f t="shared" si="3"/>
        <v>23</v>
      </c>
      <c r="J32" s="35">
        <f t="shared" si="4"/>
        <v>95</v>
      </c>
      <c r="K32" s="35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4" t="s">
        <v>35</v>
      </c>
      <c r="B33" s="4">
        <v>1.0</v>
      </c>
      <c r="C33" s="4">
        <v>5.0</v>
      </c>
      <c r="D33" s="4">
        <v>3.0</v>
      </c>
      <c r="E33" s="4">
        <v>3.0</v>
      </c>
      <c r="F33" s="4">
        <v>3.0</v>
      </c>
      <c r="G33" s="4">
        <v>8.0</v>
      </c>
      <c r="H33" s="35"/>
      <c r="I33" s="35">
        <f t="shared" si="3"/>
        <v>23</v>
      </c>
      <c r="J33" s="35">
        <f t="shared" si="4"/>
        <v>95</v>
      </c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4" t="s">
        <v>36</v>
      </c>
      <c r="B34" s="4">
        <v>1.0</v>
      </c>
      <c r="C34" s="4">
        <v>5.0</v>
      </c>
      <c r="D34" s="4">
        <v>3.0</v>
      </c>
      <c r="E34" s="4">
        <v>3.0</v>
      </c>
      <c r="F34" s="4">
        <v>3.0</v>
      </c>
      <c r="G34" s="4">
        <v>8.0</v>
      </c>
      <c r="H34" s="35"/>
      <c r="I34" s="35">
        <f t="shared" si="3"/>
        <v>23</v>
      </c>
      <c r="J34" s="35">
        <f t="shared" si="4"/>
        <v>95</v>
      </c>
      <c r="K34" s="35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4" t="s">
        <v>37</v>
      </c>
      <c r="B35" s="4">
        <v>1.0</v>
      </c>
      <c r="C35" s="4">
        <v>5.0</v>
      </c>
      <c r="D35" s="4">
        <v>3.0</v>
      </c>
      <c r="E35" s="4">
        <v>3.0</v>
      </c>
      <c r="F35" s="4">
        <v>3.0</v>
      </c>
      <c r="G35" s="4">
        <v>8.0</v>
      </c>
      <c r="H35" s="35"/>
      <c r="I35" s="35">
        <f t="shared" si="3"/>
        <v>23</v>
      </c>
      <c r="J35" s="35">
        <f t="shared" si="4"/>
        <v>95</v>
      </c>
      <c r="K35" s="35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4" t="s">
        <v>38</v>
      </c>
      <c r="B36" s="37">
        <v>6.0</v>
      </c>
      <c r="C36" s="37">
        <v>3.0</v>
      </c>
      <c r="D36" s="37">
        <v>3.0</v>
      </c>
      <c r="E36" s="4">
        <v>3.0</v>
      </c>
      <c r="F36" s="4">
        <v>8.0</v>
      </c>
      <c r="G36" s="35"/>
      <c r="H36" s="35"/>
      <c r="I36" s="35">
        <f t="shared" si="3"/>
        <v>23</v>
      </c>
      <c r="J36" s="35">
        <f t="shared" si="4"/>
        <v>73</v>
      </c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4" t="s">
        <v>39</v>
      </c>
      <c r="B37" s="4">
        <v>1.0</v>
      </c>
      <c r="C37" s="4">
        <v>3.0</v>
      </c>
      <c r="D37" s="4">
        <v>8.0</v>
      </c>
      <c r="E37" s="4">
        <v>3.0</v>
      </c>
      <c r="F37" s="4">
        <v>8.0</v>
      </c>
      <c r="G37" s="4"/>
      <c r="H37" s="35"/>
      <c r="I37" s="35">
        <f t="shared" si="3"/>
        <v>23</v>
      </c>
      <c r="J37" s="35">
        <f t="shared" si="4"/>
        <v>83</v>
      </c>
      <c r="K37" s="35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4" t="s">
        <v>40</v>
      </c>
      <c r="B38" s="37">
        <v>4.0</v>
      </c>
      <c r="C38" s="37">
        <v>8.0</v>
      </c>
      <c r="D38" s="37">
        <v>3.0</v>
      </c>
      <c r="E38" s="4">
        <v>8.0</v>
      </c>
      <c r="F38" s="35"/>
      <c r="G38" s="35"/>
      <c r="H38" s="35"/>
      <c r="I38" s="35">
        <f t="shared" si="3"/>
        <v>23</v>
      </c>
      <c r="J38" s="35">
        <f t="shared" si="4"/>
        <v>61</v>
      </c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4" t="s">
        <v>41</v>
      </c>
      <c r="B39" s="4">
        <v>1.0</v>
      </c>
      <c r="C39" s="4">
        <v>3.0</v>
      </c>
      <c r="D39" s="4">
        <v>8.0</v>
      </c>
      <c r="E39" s="4">
        <v>3.0</v>
      </c>
      <c r="F39" s="4">
        <v>8.0</v>
      </c>
      <c r="G39" s="35"/>
      <c r="H39" s="35"/>
      <c r="I39" s="35">
        <f t="shared" si="3"/>
        <v>23</v>
      </c>
      <c r="J39" s="35">
        <f t="shared" si="4"/>
        <v>83</v>
      </c>
      <c r="K39" s="35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4" t="s">
        <v>42</v>
      </c>
      <c r="B40" s="4">
        <v>1.0</v>
      </c>
      <c r="C40" s="37">
        <v>3.0</v>
      </c>
      <c r="D40" s="37">
        <v>6.0</v>
      </c>
      <c r="E40" s="4">
        <v>13.0</v>
      </c>
      <c r="F40" s="35"/>
      <c r="G40" s="35"/>
      <c r="H40" s="35"/>
      <c r="I40" s="35">
        <f t="shared" si="3"/>
        <v>23</v>
      </c>
      <c r="J40" s="35">
        <f t="shared" si="4"/>
        <v>77</v>
      </c>
      <c r="K40" s="35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4" t="s">
        <v>43</v>
      </c>
      <c r="B41" s="4">
        <v>1.0</v>
      </c>
      <c r="C41" s="37">
        <v>3.0</v>
      </c>
      <c r="D41" s="37">
        <v>6.0</v>
      </c>
      <c r="E41" s="4">
        <v>13.0</v>
      </c>
      <c r="F41" s="4"/>
      <c r="G41" s="4"/>
      <c r="H41" s="35"/>
      <c r="I41" s="35">
        <f t="shared" si="3"/>
        <v>23</v>
      </c>
      <c r="J41" s="35">
        <f t="shared" si="4"/>
        <v>77</v>
      </c>
      <c r="K41" s="35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4" t="s">
        <v>44</v>
      </c>
      <c r="B42" s="4">
        <v>4.0</v>
      </c>
      <c r="C42" s="37">
        <v>6.0</v>
      </c>
      <c r="D42" s="37">
        <v>13.0</v>
      </c>
      <c r="E42" s="4"/>
      <c r="F42" s="35"/>
      <c r="G42" s="35"/>
      <c r="H42" s="35"/>
      <c r="I42" s="35">
        <f t="shared" si="3"/>
        <v>23</v>
      </c>
      <c r="J42" s="35">
        <f t="shared" si="4"/>
        <v>55</v>
      </c>
      <c r="K42" s="35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4" t="s">
        <v>45</v>
      </c>
      <c r="B43" s="4">
        <v>4.0</v>
      </c>
      <c r="C43" s="4">
        <v>11.0</v>
      </c>
      <c r="D43" s="4">
        <v>3.0</v>
      </c>
      <c r="E43" s="4">
        <v>5.0</v>
      </c>
      <c r="F43" s="35"/>
      <c r="G43" s="35"/>
      <c r="H43" s="35"/>
      <c r="I43" s="35">
        <f t="shared" si="3"/>
        <v>23</v>
      </c>
      <c r="J43" s="35">
        <f t="shared" si="4"/>
        <v>55</v>
      </c>
      <c r="K43" s="35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4" t="s">
        <v>46</v>
      </c>
      <c r="B44" s="4">
        <v>1.0</v>
      </c>
      <c r="C44" s="4">
        <v>3.0</v>
      </c>
      <c r="D44" s="4">
        <v>11.0</v>
      </c>
      <c r="E44" s="4">
        <v>3.0</v>
      </c>
      <c r="F44" s="4">
        <v>5.0</v>
      </c>
      <c r="G44" s="35"/>
      <c r="H44" s="35"/>
      <c r="I44" s="35">
        <f t="shared" si="3"/>
        <v>23</v>
      </c>
      <c r="J44" s="35">
        <f t="shared" si="4"/>
        <v>77</v>
      </c>
      <c r="K44" s="35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4" t="s">
        <v>47</v>
      </c>
      <c r="B45" s="4">
        <v>1.0</v>
      </c>
      <c r="C45" s="4">
        <v>3.0</v>
      </c>
      <c r="D45" s="4">
        <v>11.0</v>
      </c>
      <c r="E45" s="4">
        <v>3.0</v>
      </c>
      <c r="F45" s="4">
        <v>5.0</v>
      </c>
      <c r="G45" s="35"/>
      <c r="H45" s="35"/>
      <c r="I45" s="35">
        <f t="shared" si="3"/>
        <v>23</v>
      </c>
      <c r="J45" s="35">
        <f t="shared" si="4"/>
        <v>77</v>
      </c>
      <c r="K45" s="35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4" t="s">
        <v>48</v>
      </c>
      <c r="B46" s="4">
        <v>1.0</v>
      </c>
      <c r="C46" s="4">
        <v>8.0</v>
      </c>
      <c r="D46" s="4">
        <v>3.0</v>
      </c>
      <c r="E46" s="4">
        <v>3.0</v>
      </c>
      <c r="F46" s="4">
        <v>3.0</v>
      </c>
      <c r="G46" s="4">
        <v>5.0</v>
      </c>
      <c r="H46" s="35"/>
      <c r="I46" s="35">
        <f t="shared" si="3"/>
        <v>23</v>
      </c>
      <c r="J46" s="35">
        <f t="shared" si="4"/>
        <v>83</v>
      </c>
      <c r="K46" s="35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4" t="s">
        <v>49</v>
      </c>
      <c r="B47" s="4">
        <v>9.0</v>
      </c>
      <c r="C47" s="37">
        <v>3.0</v>
      </c>
      <c r="D47" s="37">
        <v>3.0</v>
      </c>
      <c r="E47" s="4">
        <v>3.0</v>
      </c>
      <c r="F47" s="4">
        <v>5.0</v>
      </c>
      <c r="G47" s="35"/>
      <c r="H47" s="35"/>
      <c r="I47" s="35">
        <f t="shared" si="3"/>
        <v>23</v>
      </c>
      <c r="J47" s="35">
        <f t="shared" si="4"/>
        <v>61</v>
      </c>
      <c r="K47" s="35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4" t="s">
        <v>50</v>
      </c>
      <c r="B48" s="4">
        <v>1.0</v>
      </c>
      <c r="C48" s="4">
        <v>8.0</v>
      </c>
      <c r="D48" s="4">
        <v>3.0</v>
      </c>
      <c r="E48" s="4">
        <v>3.0</v>
      </c>
      <c r="F48" s="4">
        <v>3.0</v>
      </c>
      <c r="G48" s="4">
        <v>5.0</v>
      </c>
      <c r="H48" s="35"/>
      <c r="I48" s="35">
        <f t="shared" si="3"/>
        <v>23</v>
      </c>
      <c r="J48" s="35">
        <f t="shared" si="4"/>
        <v>83</v>
      </c>
      <c r="K48" s="35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4" t="s">
        <v>51</v>
      </c>
      <c r="B49" s="4">
        <v>1.0</v>
      </c>
      <c r="C49" s="4">
        <v>8.0</v>
      </c>
      <c r="D49" s="4">
        <v>3.0</v>
      </c>
      <c r="E49" s="4">
        <v>3.0</v>
      </c>
      <c r="F49" s="4">
        <v>3.0</v>
      </c>
      <c r="G49" s="4">
        <v>5.0</v>
      </c>
      <c r="H49" s="35"/>
      <c r="I49" s="35">
        <f t="shared" si="3"/>
        <v>23</v>
      </c>
      <c r="J49" s="35">
        <f t="shared" si="4"/>
        <v>83</v>
      </c>
      <c r="K49" s="35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4" t="s">
        <v>52</v>
      </c>
      <c r="B50" s="4">
        <v>1.0</v>
      </c>
      <c r="C50" s="4">
        <v>8.0</v>
      </c>
      <c r="D50" s="4">
        <v>3.0</v>
      </c>
      <c r="E50" s="4">
        <v>3.0</v>
      </c>
      <c r="F50" s="4">
        <v>3.0</v>
      </c>
      <c r="G50" s="4">
        <v>5.0</v>
      </c>
      <c r="H50" s="35"/>
      <c r="I50" s="35">
        <f t="shared" si="3"/>
        <v>23</v>
      </c>
      <c r="J50" s="35">
        <f t="shared" si="4"/>
        <v>83</v>
      </c>
      <c r="K50" s="35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4" t="s">
        <v>53</v>
      </c>
      <c r="B51" s="4">
        <v>1.0</v>
      </c>
      <c r="C51" s="4">
        <v>8.0</v>
      </c>
      <c r="D51" s="4">
        <v>3.0</v>
      </c>
      <c r="E51" s="4">
        <v>3.0</v>
      </c>
      <c r="F51" s="4">
        <v>3.0</v>
      </c>
      <c r="G51" s="4">
        <v>5.0</v>
      </c>
      <c r="H51" s="35"/>
      <c r="I51" s="35">
        <f t="shared" si="3"/>
        <v>23</v>
      </c>
      <c r="J51" s="35">
        <f t="shared" si="4"/>
        <v>83</v>
      </c>
      <c r="K51" s="35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4" t="s">
        <v>54</v>
      </c>
      <c r="B52" s="4">
        <v>1.0</v>
      </c>
      <c r="C52" s="4">
        <v>8.0</v>
      </c>
      <c r="D52" s="4">
        <v>3.0</v>
      </c>
      <c r="E52" s="4">
        <v>3.0</v>
      </c>
      <c r="F52" s="4">
        <v>3.0</v>
      </c>
      <c r="G52" s="4">
        <v>5.0</v>
      </c>
      <c r="H52" s="35"/>
      <c r="I52" s="35">
        <f t="shared" si="3"/>
        <v>23</v>
      </c>
      <c r="J52" s="35">
        <f t="shared" si="4"/>
        <v>83</v>
      </c>
      <c r="K52" s="35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4" t="s">
        <v>55</v>
      </c>
      <c r="B53" s="4">
        <v>1.0</v>
      </c>
      <c r="C53" s="4">
        <v>8.0</v>
      </c>
      <c r="D53" s="4">
        <v>3.0</v>
      </c>
      <c r="E53" s="4">
        <v>3.0</v>
      </c>
      <c r="F53" s="4">
        <v>3.0</v>
      </c>
      <c r="G53" s="4">
        <v>5.0</v>
      </c>
      <c r="H53" s="35"/>
      <c r="I53" s="35">
        <f t="shared" si="3"/>
        <v>23</v>
      </c>
      <c r="J53" s="35">
        <f t="shared" si="4"/>
        <v>83</v>
      </c>
      <c r="K53" s="35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4" t="s">
        <v>56</v>
      </c>
      <c r="B54" s="4">
        <v>1.0</v>
      </c>
      <c r="C54" s="4">
        <v>8.0</v>
      </c>
      <c r="D54" s="4">
        <v>3.0</v>
      </c>
      <c r="E54" s="4">
        <v>3.0</v>
      </c>
      <c r="F54" s="4">
        <v>3.0</v>
      </c>
      <c r="G54" s="4">
        <v>5.0</v>
      </c>
      <c r="H54" s="35"/>
      <c r="I54" s="35">
        <f t="shared" si="3"/>
        <v>23</v>
      </c>
      <c r="J54" s="35">
        <f t="shared" si="4"/>
        <v>83</v>
      </c>
      <c r="K54" s="35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5" t="s">
        <v>65</v>
      </c>
      <c r="B57" s="2"/>
      <c r="C57" s="2"/>
      <c r="D57" s="2"/>
      <c r="E57" s="2"/>
      <c r="F57" s="2"/>
      <c r="G57" s="2"/>
      <c r="H57" s="2"/>
      <c r="I57" s="2"/>
      <c r="J57" s="2"/>
      <c r="K57" s="3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5"/>
      <c r="B58" s="4" t="s">
        <v>28</v>
      </c>
      <c r="C58" s="4" t="s">
        <v>29</v>
      </c>
      <c r="D58" s="4" t="s">
        <v>30</v>
      </c>
      <c r="E58" s="4" t="s">
        <v>31</v>
      </c>
      <c r="F58" s="4" t="s">
        <v>32</v>
      </c>
      <c r="G58" s="4" t="s">
        <v>59</v>
      </c>
      <c r="H58" s="4" t="s">
        <v>60</v>
      </c>
      <c r="I58" s="35"/>
      <c r="J58" s="35"/>
      <c r="K58" s="35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4" t="s">
        <v>33</v>
      </c>
      <c r="B59" s="4">
        <v>1.0</v>
      </c>
      <c r="C59" s="4">
        <v>5.0</v>
      </c>
      <c r="D59" s="4">
        <v>3.0</v>
      </c>
      <c r="E59" s="4">
        <v>3.0</v>
      </c>
      <c r="F59" s="4">
        <v>3.0</v>
      </c>
      <c r="G59" s="4">
        <v>8.0</v>
      </c>
      <c r="H59" s="35"/>
      <c r="I59" s="35">
        <f t="shared" ref="I59:I82" si="5">sum(B59:H59)</f>
        <v>23</v>
      </c>
      <c r="J59" s="35">
        <f t="shared" ref="J59:J82" si="6">B59+C59*2+D59*3+E59*4+F59*5+G59*6+H59*7</f>
        <v>95</v>
      </c>
      <c r="K59" s="35">
        <f>sum(J59:J82)/((24*24)-24)</f>
        <v>3.474637681</v>
      </c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4" t="s">
        <v>34</v>
      </c>
      <c r="B60" s="4">
        <v>1.0</v>
      </c>
      <c r="C60" s="4">
        <v>5.0</v>
      </c>
      <c r="D60" s="4">
        <v>3.0</v>
      </c>
      <c r="E60" s="4">
        <v>3.0</v>
      </c>
      <c r="F60" s="4">
        <v>3.0</v>
      </c>
      <c r="G60" s="4">
        <v>8.0</v>
      </c>
      <c r="H60" s="35"/>
      <c r="I60" s="35">
        <f t="shared" si="5"/>
        <v>23</v>
      </c>
      <c r="J60" s="35">
        <f t="shared" si="6"/>
        <v>95</v>
      </c>
      <c r="K60" s="35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4" t="s">
        <v>35</v>
      </c>
      <c r="B61" s="4">
        <v>1.0</v>
      </c>
      <c r="C61" s="4">
        <v>5.0</v>
      </c>
      <c r="D61" s="4">
        <v>3.0</v>
      </c>
      <c r="E61" s="4">
        <v>3.0</v>
      </c>
      <c r="F61" s="4">
        <v>3.0</v>
      </c>
      <c r="G61" s="4">
        <v>8.0</v>
      </c>
      <c r="H61" s="35"/>
      <c r="I61" s="35">
        <f t="shared" si="5"/>
        <v>23</v>
      </c>
      <c r="J61" s="35">
        <f t="shared" si="6"/>
        <v>95</v>
      </c>
      <c r="K61" s="35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4" t="s">
        <v>36</v>
      </c>
      <c r="B62" s="4">
        <v>1.0</v>
      </c>
      <c r="C62" s="4">
        <v>5.0</v>
      </c>
      <c r="D62" s="4">
        <v>3.0</v>
      </c>
      <c r="E62" s="4">
        <v>3.0</v>
      </c>
      <c r="F62" s="4">
        <v>3.0</v>
      </c>
      <c r="G62" s="4">
        <v>8.0</v>
      </c>
      <c r="H62" s="35"/>
      <c r="I62" s="35">
        <f t="shared" si="5"/>
        <v>23</v>
      </c>
      <c r="J62" s="35">
        <f t="shared" si="6"/>
        <v>95</v>
      </c>
      <c r="K62" s="35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4" t="s">
        <v>37</v>
      </c>
      <c r="B63" s="4">
        <v>1.0</v>
      </c>
      <c r="C63" s="4">
        <v>5.0</v>
      </c>
      <c r="D63" s="4">
        <v>3.0</v>
      </c>
      <c r="E63" s="4">
        <v>3.0</v>
      </c>
      <c r="F63" s="4">
        <v>3.0</v>
      </c>
      <c r="G63" s="4">
        <v>8.0</v>
      </c>
      <c r="H63" s="35"/>
      <c r="I63" s="35">
        <f t="shared" si="5"/>
        <v>23</v>
      </c>
      <c r="J63" s="35">
        <f t="shared" si="6"/>
        <v>95</v>
      </c>
      <c r="K63" s="35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4" t="s">
        <v>38</v>
      </c>
      <c r="B64" s="37">
        <v>6.0</v>
      </c>
      <c r="C64" s="37">
        <v>3.0</v>
      </c>
      <c r="D64" s="37">
        <v>3.0</v>
      </c>
      <c r="E64" s="4">
        <v>3.0</v>
      </c>
      <c r="F64" s="4">
        <v>8.0</v>
      </c>
      <c r="G64" s="35"/>
      <c r="H64" s="35"/>
      <c r="I64" s="35">
        <f t="shared" si="5"/>
        <v>23</v>
      </c>
      <c r="J64" s="35">
        <f t="shared" si="6"/>
        <v>73</v>
      </c>
      <c r="K64" s="35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4" t="s">
        <v>39</v>
      </c>
      <c r="B65" s="4">
        <v>1.0</v>
      </c>
      <c r="C65" s="4">
        <v>3.0</v>
      </c>
      <c r="D65" s="4">
        <v>8.0</v>
      </c>
      <c r="E65" s="4">
        <v>3.0</v>
      </c>
      <c r="F65" s="4">
        <v>8.0</v>
      </c>
      <c r="G65" s="4"/>
      <c r="H65" s="35"/>
      <c r="I65" s="35">
        <f t="shared" si="5"/>
        <v>23</v>
      </c>
      <c r="J65" s="35">
        <f t="shared" si="6"/>
        <v>83</v>
      </c>
      <c r="K65" s="35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4" t="s">
        <v>40</v>
      </c>
      <c r="B66" s="37">
        <v>4.0</v>
      </c>
      <c r="C66" s="37">
        <v>8.0</v>
      </c>
      <c r="D66" s="37">
        <v>3.0</v>
      </c>
      <c r="E66" s="4">
        <v>8.0</v>
      </c>
      <c r="F66" s="35"/>
      <c r="G66" s="35"/>
      <c r="H66" s="35"/>
      <c r="I66" s="35">
        <f t="shared" si="5"/>
        <v>23</v>
      </c>
      <c r="J66" s="35">
        <f t="shared" si="6"/>
        <v>61</v>
      </c>
      <c r="K66" s="35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4" t="s">
        <v>41</v>
      </c>
      <c r="B67" s="4">
        <v>1.0</v>
      </c>
      <c r="C67" s="4">
        <v>3.0</v>
      </c>
      <c r="D67" s="4">
        <v>8.0</v>
      </c>
      <c r="E67" s="4">
        <v>3.0</v>
      </c>
      <c r="F67" s="4">
        <v>8.0</v>
      </c>
      <c r="G67" s="35"/>
      <c r="H67" s="35"/>
      <c r="I67" s="35">
        <f t="shared" si="5"/>
        <v>23</v>
      </c>
      <c r="J67" s="35">
        <f t="shared" si="6"/>
        <v>83</v>
      </c>
      <c r="K67" s="35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4" t="s">
        <v>42</v>
      </c>
      <c r="B68" s="4">
        <v>1.0</v>
      </c>
      <c r="C68" s="37">
        <v>3.0</v>
      </c>
      <c r="D68" s="37">
        <v>6.0</v>
      </c>
      <c r="E68" s="4">
        <v>13.0</v>
      </c>
      <c r="F68" s="35"/>
      <c r="G68" s="35"/>
      <c r="H68" s="35"/>
      <c r="I68" s="35">
        <f t="shared" si="5"/>
        <v>23</v>
      </c>
      <c r="J68" s="35">
        <f t="shared" si="6"/>
        <v>77</v>
      </c>
      <c r="K68" s="35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4" t="s">
        <v>43</v>
      </c>
      <c r="B69" s="4">
        <v>1.0</v>
      </c>
      <c r="C69" s="37">
        <v>3.0</v>
      </c>
      <c r="D69" s="37">
        <v>6.0</v>
      </c>
      <c r="E69" s="4">
        <v>13.0</v>
      </c>
      <c r="F69" s="4"/>
      <c r="G69" s="4"/>
      <c r="H69" s="35"/>
      <c r="I69" s="35">
        <f t="shared" si="5"/>
        <v>23</v>
      </c>
      <c r="J69" s="35">
        <f t="shared" si="6"/>
        <v>77</v>
      </c>
      <c r="K69" s="35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4" t="s">
        <v>44</v>
      </c>
      <c r="B70" s="4">
        <v>4.0</v>
      </c>
      <c r="C70" s="37">
        <v>6.0</v>
      </c>
      <c r="D70" s="37">
        <v>13.0</v>
      </c>
      <c r="E70" s="4"/>
      <c r="F70" s="35"/>
      <c r="G70" s="35"/>
      <c r="H70" s="35"/>
      <c r="I70" s="35">
        <f t="shared" si="5"/>
        <v>23</v>
      </c>
      <c r="J70" s="35">
        <f t="shared" si="6"/>
        <v>55</v>
      </c>
      <c r="K70" s="35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4" t="s">
        <v>45</v>
      </c>
      <c r="B71" s="4">
        <v>4.0</v>
      </c>
      <c r="C71" s="4">
        <v>11.0</v>
      </c>
      <c r="D71" s="4">
        <v>3.0</v>
      </c>
      <c r="E71" s="4">
        <v>5.0</v>
      </c>
      <c r="F71" s="35"/>
      <c r="G71" s="35"/>
      <c r="H71" s="35"/>
      <c r="I71" s="35">
        <f t="shared" si="5"/>
        <v>23</v>
      </c>
      <c r="J71" s="35">
        <f t="shared" si="6"/>
        <v>55</v>
      </c>
      <c r="K71" s="35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4" t="s">
        <v>46</v>
      </c>
      <c r="B72" s="4">
        <v>1.0</v>
      </c>
      <c r="C72" s="4">
        <v>3.0</v>
      </c>
      <c r="D72" s="4">
        <v>11.0</v>
      </c>
      <c r="E72" s="4">
        <v>3.0</v>
      </c>
      <c r="F72" s="4">
        <v>5.0</v>
      </c>
      <c r="G72" s="35"/>
      <c r="H72" s="35"/>
      <c r="I72" s="35">
        <f t="shared" si="5"/>
        <v>23</v>
      </c>
      <c r="J72" s="35">
        <f t="shared" si="6"/>
        <v>77</v>
      </c>
      <c r="K72" s="35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4" t="s">
        <v>47</v>
      </c>
      <c r="B73" s="4">
        <v>1.0</v>
      </c>
      <c r="C73" s="4">
        <v>3.0</v>
      </c>
      <c r="D73" s="4">
        <v>11.0</v>
      </c>
      <c r="E73" s="4">
        <v>3.0</v>
      </c>
      <c r="F73" s="4">
        <v>5.0</v>
      </c>
      <c r="G73" s="35"/>
      <c r="H73" s="35"/>
      <c r="I73" s="35">
        <f t="shared" si="5"/>
        <v>23</v>
      </c>
      <c r="J73" s="35">
        <f t="shared" si="6"/>
        <v>77</v>
      </c>
      <c r="K73" s="35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4" t="s">
        <v>48</v>
      </c>
      <c r="B74" s="4">
        <v>1.0</v>
      </c>
      <c r="C74" s="4">
        <v>8.0</v>
      </c>
      <c r="D74" s="4">
        <v>3.0</v>
      </c>
      <c r="E74" s="4">
        <v>3.0</v>
      </c>
      <c r="F74" s="4">
        <v>3.0</v>
      </c>
      <c r="G74" s="4">
        <v>5.0</v>
      </c>
      <c r="H74" s="35"/>
      <c r="I74" s="35">
        <f t="shared" si="5"/>
        <v>23</v>
      </c>
      <c r="J74" s="35">
        <f t="shared" si="6"/>
        <v>83</v>
      </c>
      <c r="K74" s="35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4" t="s">
        <v>49</v>
      </c>
      <c r="B75" s="4">
        <v>9.0</v>
      </c>
      <c r="C75" s="37">
        <v>3.0</v>
      </c>
      <c r="D75" s="37">
        <v>3.0</v>
      </c>
      <c r="E75" s="4">
        <v>3.0</v>
      </c>
      <c r="F75" s="4">
        <v>5.0</v>
      </c>
      <c r="G75" s="35"/>
      <c r="H75" s="35"/>
      <c r="I75" s="35">
        <f t="shared" si="5"/>
        <v>23</v>
      </c>
      <c r="J75" s="35">
        <f t="shared" si="6"/>
        <v>61</v>
      </c>
      <c r="K75" s="35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4" t="s">
        <v>50</v>
      </c>
      <c r="B76" s="4">
        <v>1.0</v>
      </c>
      <c r="C76" s="4">
        <v>8.0</v>
      </c>
      <c r="D76" s="4">
        <v>3.0</v>
      </c>
      <c r="E76" s="4">
        <v>3.0</v>
      </c>
      <c r="F76" s="4">
        <v>3.0</v>
      </c>
      <c r="G76" s="4">
        <v>5.0</v>
      </c>
      <c r="H76" s="35"/>
      <c r="I76" s="35">
        <f t="shared" si="5"/>
        <v>23</v>
      </c>
      <c r="J76" s="35">
        <f t="shared" si="6"/>
        <v>83</v>
      </c>
      <c r="K76" s="35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4" t="s">
        <v>51</v>
      </c>
      <c r="B77" s="4">
        <v>1.0</v>
      </c>
      <c r="C77" s="4">
        <v>8.0</v>
      </c>
      <c r="D77" s="4">
        <v>3.0</v>
      </c>
      <c r="E77" s="4">
        <v>3.0</v>
      </c>
      <c r="F77" s="4">
        <v>3.0</v>
      </c>
      <c r="G77" s="4">
        <v>5.0</v>
      </c>
      <c r="H77" s="35"/>
      <c r="I77" s="35">
        <f t="shared" si="5"/>
        <v>23</v>
      </c>
      <c r="J77" s="35">
        <f t="shared" si="6"/>
        <v>83</v>
      </c>
      <c r="K77" s="35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4" t="s">
        <v>52</v>
      </c>
      <c r="B78" s="4">
        <v>1.0</v>
      </c>
      <c r="C78" s="4">
        <v>8.0</v>
      </c>
      <c r="D78" s="4">
        <v>3.0</v>
      </c>
      <c r="E78" s="4">
        <v>3.0</v>
      </c>
      <c r="F78" s="4">
        <v>3.0</v>
      </c>
      <c r="G78" s="4">
        <v>5.0</v>
      </c>
      <c r="H78" s="35"/>
      <c r="I78" s="35">
        <f t="shared" si="5"/>
        <v>23</v>
      </c>
      <c r="J78" s="35">
        <f t="shared" si="6"/>
        <v>83</v>
      </c>
      <c r="K78" s="35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4" t="s">
        <v>53</v>
      </c>
      <c r="B79" s="4">
        <v>1.0</v>
      </c>
      <c r="C79" s="4">
        <v>8.0</v>
      </c>
      <c r="D79" s="4">
        <v>3.0</v>
      </c>
      <c r="E79" s="4">
        <v>3.0</v>
      </c>
      <c r="F79" s="4">
        <v>3.0</v>
      </c>
      <c r="G79" s="4">
        <v>5.0</v>
      </c>
      <c r="H79" s="35"/>
      <c r="I79" s="35">
        <f t="shared" si="5"/>
        <v>23</v>
      </c>
      <c r="J79" s="35">
        <f t="shared" si="6"/>
        <v>83</v>
      </c>
      <c r="K79" s="35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4" t="s">
        <v>54</v>
      </c>
      <c r="B80" s="4">
        <v>1.0</v>
      </c>
      <c r="C80" s="4">
        <v>8.0</v>
      </c>
      <c r="D80" s="4">
        <v>3.0</v>
      </c>
      <c r="E80" s="4">
        <v>3.0</v>
      </c>
      <c r="F80" s="4">
        <v>3.0</v>
      </c>
      <c r="G80" s="4">
        <v>5.0</v>
      </c>
      <c r="H80" s="35"/>
      <c r="I80" s="35">
        <f t="shared" si="5"/>
        <v>23</v>
      </c>
      <c r="J80" s="35">
        <f t="shared" si="6"/>
        <v>83</v>
      </c>
      <c r="K80" s="35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4" t="s">
        <v>55</v>
      </c>
      <c r="B81" s="4">
        <v>1.0</v>
      </c>
      <c r="C81" s="4">
        <v>8.0</v>
      </c>
      <c r="D81" s="4">
        <v>3.0</v>
      </c>
      <c r="E81" s="4">
        <v>3.0</v>
      </c>
      <c r="F81" s="4">
        <v>3.0</v>
      </c>
      <c r="G81" s="4">
        <v>5.0</v>
      </c>
      <c r="H81" s="35"/>
      <c r="I81" s="35">
        <f t="shared" si="5"/>
        <v>23</v>
      </c>
      <c r="J81" s="35">
        <f t="shared" si="6"/>
        <v>83</v>
      </c>
      <c r="K81" s="35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4" t="s">
        <v>56</v>
      </c>
      <c r="B82" s="4">
        <v>1.0</v>
      </c>
      <c r="C82" s="4">
        <v>8.0</v>
      </c>
      <c r="D82" s="4">
        <v>3.0</v>
      </c>
      <c r="E82" s="4">
        <v>3.0</v>
      </c>
      <c r="F82" s="4">
        <v>3.0</v>
      </c>
      <c r="G82" s="4">
        <v>5.0</v>
      </c>
      <c r="H82" s="35"/>
      <c r="I82" s="35">
        <f t="shared" si="5"/>
        <v>23</v>
      </c>
      <c r="J82" s="35">
        <f t="shared" si="6"/>
        <v>83</v>
      </c>
      <c r="K82" s="35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5" t="s">
        <v>66</v>
      </c>
      <c r="B85" s="2"/>
      <c r="C85" s="2"/>
      <c r="D85" s="2"/>
      <c r="E85" s="2"/>
      <c r="F85" s="2"/>
      <c r="G85" s="2"/>
      <c r="H85" s="2"/>
      <c r="I85" s="2"/>
      <c r="J85" s="2"/>
      <c r="K85" s="3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5"/>
      <c r="B86" s="4" t="s">
        <v>28</v>
      </c>
      <c r="C86" s="4" t="s">
        <v>29</v>
      </c>
      <c r="D86" s="4" t="s">
        <v>30</v>
      </c>
      <c r="E86" s="4" t="s">
        <v>31</v>
      </c>
      <c r="F86" s="4" t="s">
        <v>32</v>
      </c>
      <c r="G86" s="4" t="s">
        <v>59</v>
      </c>
      <c r="H86" s="4" t="s">
        <v>60</v>
      </c>
      <c r="I86" s="35"/>
      <c r="J86" s="35"/>
      <c r="K86" s="35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4" t="s">
        <v>33</v>
      </c>
      <c r="B87" s="4">
        <v>1.0</v>
      </c>
      <c r="C87" s="4">
        <v>5.0</v>
      </c>
      <c r="D87" s="4">
        <v>2.0</v>
      </c>
      <c r="E87" s="4">
        <v>4.0</v>
      </c>
      <c r="F87" s="4">
        <v>3.0</v>
      </c>
      <c r="G87" s="4">
        <v>8.0</v>
      </c>
      <c r="H87" s="35"/>
      <c r="I87" s="35">
        <f t="shared" ref="I87:I110" si="7">sum(B87:H87)</f>
        <v>23</v>
      </c>
      <c r="J87" s="35">
        <f t="shared" ref="J87:J110" si="8">B87+C87*2+D87*3+E87*4+F87*5+G87*6+H87*7</f>
        <v>96</v>
      </c>
      <c r="K87" s="35">
        <f>sum(J87:J110)/((24*24)-24)</f>
        <v>3.449275362</v>
      </c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4" t="s">
        <v>34</v>
      </c>
      <c r="B88" s="4">
        <v>1.0</v>
      </c>
      <c r="C88" s="4">
        <v>5.0</v>
      </c>
      <c r="D88" s="4">
        <v>2.0</v>
      </c>
      <c r="E88" s="4">
        <v>4.0</v>
      </c>
      <c r="F88" s="4">
        <v>3.0</v>
      </c>
      <c r="G88" s="4">
        <v>8.0</v>
      </c>
      <c r="H88" s="35"/>
      <c r="I88" s="35">
        <f t="shared" si="7"/>
        <v>23</v>
      </c>
      <c r="J88" s="35">
        <f t="shared" si="8"/>
        <v>96</v>
      </c>
      <c r="K88" s="35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4" t="s">
        <v>35</v>
      </c>
      <c r="B89" s="4">
        <v>1.0</v>
      </c>
      <c r="C89" s="4">
        <v>5.0</v>
      </c>
      <c r="D89" s="4">
        <v>2.0</v>
      </c>
      <c r="E89" s="4">
        <v>4.0</v>
      </c>
      <c r="F89" s="4">
        <v>3.0</v>
      </c>
      <c r="G89" s="4">
        <v>8.0</v>
      </c>
      <c r="H89" s="35"/>
      <c r="I89" s="35">
        <f t="shared" si="7"/>
        <v>23</v>
      </c>
      <c r="J89" s="35">
        <f t="shared" si="8"/>
        <v>96</v>
      </c>
      <c r="K89" s="35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4" t="s">
        <v>36</v>
      </c>
      <c r="B90" s="4">
        <v>1.0</v>
      </c>
      <c r="C90" s="4">
        <v>5.0</v>
      </c>
      <c r="D90" s="4">
        <v>2.0</v>
      </c>
      <c r="E90" s="4">
        <v>4.0</v>
      </c>
      <c r="F90" s="4">
        <v>3.0</v>
      </c>
      <c r="G90" s="4">
        <v>8.0</v>
      </c>
      <c r="H90" s="35"/>
      <c r="I90" s="35">
        <f t="shared" si="7"/>
        <v>23</v>
      </c>
      <c r="J90" s="35">
        <f t="shared" si="8"/>
        <v>96</v>
      </c>
      <c r="K90" s="35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4" t="s">
        <v>37</v>
      </c>
      <c r="B91" s="4">
        <v>1.0</v>
      </c>
      <c r="C91" s="4">
        <v>5.0</v>
      </c>
      <c r="D91" s="4">
        <v>2.0</v>
      </c>
      <c r="E91" s="4">
        <v>4.0</v>
      </c>
      <c r="F91" s="4">
        <v>3.0</v>
      </c>
      <c r="G91" s="4">
        <v>8.0</v>
      </c>
      <c r="H91" s="35"/>
      <c r="I91" s="35">
        <f t="shared" si="7"/>
        <v>23</v>
      </c>
      <c r="J91" s="35">
        <f t="shared" si="8"/>
        <v>96</v>
      </c>
      <c r="K91" s="35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4" t="s">
        <v>38</v>
      </c>
      <c r="B92" s="37">
        <v>6.0</v>
      </c>
      <c r="C92" s="37">
        <v>2.0</v>
      </c>
      <c r="D92" s="37">
        <v>4.0</v>
      </c>
      <c r="E92" s="4">
        <v>3.0</v>
      </c>
      <c r="F92" s="4">
        <v>8.0</v>
      </c>
      <c r="G92" s="35"/>
      <c r="H92" s="35"/>
      <c r="I92" s="35">
        <f t="shared" si="7"/>
        <v>23</v>
      </c>
      <c r="J92" s="35">
        <f t="shared" si="8"/>
        <v>74</v>
      </c>
      <c r="K92" s="35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4" t="s">
        <v>39</v>
      </c>
      <c r="B93" s="4">
        <v>1.0</v>
      </c>
      <c r="C93" s="4">
        <v>2.0</v>
      </c>
      <c r="D93" s="4">
        <v>9.0</v>
      </c>
      <c r="E93" s="4">
        <v>3.0</v>
      </c>
      <c r="F93" s="4">
        <v>8.0</v>
      </c>
      <c r="G93" s="4"/>
      <c r="H93" s="35"/>
      <c r="I93" s="35">
        <f t="shared" si="7"/>
        <v>23</v>
      </c>
      <c r="J93" s="35">
        <f t="shared" si="8"/>
        <v>84</v>
      </c>
      <c r="K93" s="35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4" t="s">
        <v>40</v>
      </c>
      <c r="B94" s="37">
        <v>3.0</v>
      </c>
      <c r="C94" s="37">
        <v>9.0</v>
      </c>
      <c r="D94" s="37">
        <v>3.0</v>
      </c>
      <c r="E94" s="4">
        <v>8.0</v>
      </c>
      <c r="F94" s="35"/>
      <c r="G94" s="35"/>
      <c r="H94" s="35"/>
      <c r="I94" s="35">
        <f t="shared" si="7"/>
        <v>23</v>
      </c>
      <c r="J94" s="35">
        <f t="shared" si="8"/>
        <v>62</v>
      </c>
      <c r="K94" s="35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4" t="s">
        <v>41</v>
      </c>
      <c r="B95" s="4">
        <v>1.0</v>
      </c>
      <c r="C95" s="4">
        <v>4.0</v>
      </c>
      <c r="D95" s="4">
        <v>5.0</v>
      </c>
      <c r="E95" s="4">
        <v>13.0</v>
      </c>
      <c r="F95" s="4"/>
      <c r="G95" s="35"/>
      <c r="H95" s="35"/>
      <c r="I95" s="35">
        <f t="shared" si="7"/>
        <v>23</v>
      </c>
      <c r="J95" s="35">
        <f t="shared" si="8"/>
        <v>76</v>
      </c>
      <c r="K95" s="35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4" t="s">
        <v>42</v>
      </c>
      <c r="B96" s="4">
        <v>1.0</v>
      </c>
      <c r="C96" s="37">
        <v>4.0</v>
      </c>
      <c r="D96" s="37">
        <v>5.0</v>
      </c>
      <c r="E96" s="4">
        <v>13.0</v>
      </c>
      <c r="F96" s="35"/>
      <c r="G96" s="35"/>
      <c r="H96" s="35"/>
      <c r="I96" s="35">
        <f t="shared" si="7"/>
        <v>23</v>
      </c>
      <c r="J96" s="35">
        <f t="shared" si="8"/>
        <v>76</v>
      </c>
      <c r="K96" s="35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4" t="s">
        <v>43</v>
      </c>
      <c r="B97" s="4">
        <v>1.0</v>
      </c>
      <c r="C97" s="37">
        <v>4.0</v>
      </c>
      <c r="D97" s="37">
        <v>5.0</v>
      </c>
      <c r="E97" s="4">
        <v>13.0</v>
      </c>
      <c r="F97" s="4"/>
      <c r="G97" s="4"/>
      <c r="H97" s="35"/>
      <c r="I97" s="35">
        <f t="shared" si="7"/>
        <v>23</v>
      </c>
      <c r="J97" s="35">
        <f t="shared" si="8"/>
        <v>76</v>
      </c>
      <c r="K97" s="35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4" t="s">
        <v>44</v>
      </c>
      <c r="B98" s="4">
        <v>5.0</v>
      </c>
      <c r="C98" s="37">
        <v>5.0</v>
      </c>
      <c r="D98" s="37">
        <v>13.0</v>
      </c>
      <c r="E98" s="4"/>
      <c r="F98" s="35"/>
      <c r="G98" s="35"/>
      <c r="H98" s="35"/>
      <c r="I98" s="35">
        <f t="shared" si="7"/>
        <v>23</v>
      </c>
      <c r="J98" s="35">
        <f t="shared" si="8"/>
        <v>54</v>
      </c>
      <c r="K98" s="35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4" t="s">
        <v>45</v>
      </c>
      <c r="B99" s="4">
        <v>4.0</v>
      </c>
      <c r="C99" s="4">
        <v>12.0</v>
      </c>
      <c r="D99" s="4">
        <v>2.0</v>
      </c>
      <c r="E99" s="4">
        <v>5.0</v>
      </c>
      <c r="F99" s="35"/>
      <c r="G99" s="35"/>
      <c r="H99" s="35"/>
      <c r="I99" s="35">
        <f t="shared" si="7"/>
        <v>23</v>
      </c>
      <c r="J99" s="35">
        <f t="shared" si="8"/>
        <v>54</v>
      </c>
      <c r="K99" s="35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4" t="s">
        <v>46</v>
      </c>
      <c r="B100" s="4">
        <v>1.0</v>
      </c>
      <c r="C100" s="4">
        <v>3.0</v>
      </c>
      <c r="D100" s="4">
        <v>12.0</v>
      </c>
      <c r="E100" s="4">
        <v>2.0</v>
      </c>
      <c r="F100" s="4">
        <v>5.0</v>
      </c>
      <c r="G100" s="35"/>
      <c r="H100" s="35"/>
      <c r="I100" s="35">
        <f t="shared" si="7"/>
        <v>23</v>
      </c>
      <c r="J100" s="35">
        <f t="shared" si="8"/>
        <v>76</v>
      </c>
      <c r="K100" s="35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4" t="s">
        <v>47</v>
      </c>
      <c r="B101" s="4">
        <v>1.0</v>
      </c>
      <c r="C101" s="4">
        <v>3.0</v>
      </c>
      <c r="D101" s="4">
        <v>12.0</v>
      </c>
      <c r="E101" s="4">
        <v>2.0</v>
      </c>
      <c r="F101" s="4">
        <v>5.0</v>
      </c>
      <c r="G101" s="35"/>
      <c r="H101" s="35"/>
      <c r="I101" s="35">
        <f t="shared" si="7"/>
        <v>23</v>
      </c>
      <c r="J101" s="35">
        <f t="shared" si="8"/>
        <v>76</v>
      </c>
      <c r="K101" s="35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4" t="s">
        <v>48</v>
      </c>
      <c r="B102" s="4">
        <v>1.0</v>
      </c>
      <c r="C102" s="4">
        <v>8.0</v>
      </c>
      <c r="D102" s="4">
        <v>3.0</v>
      </c>
      <c r="E102" s="4">
        <v>4.0</v>
      </c>
      <c r="F102" s="4">
        <v>2.0</v>
      </c>
      <c r="G102" s="4">
        <v>5.0</v>
      </c>
      <c r="H102" s="35"/>
      <c r="I102" s="35">
        <f t="shared" si="7"/>
        <v>23</v>
      </c>
      <c r="J102" s="35">
        <f t="shared" si="8"/>
        <v>82</v>
      </c>
      <c r="K102" s="35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4" t="s">
        <v>49</v>
      </c>
      <c r="B103" s="4">
        <v>9.0</v>
      </c>
      <c r="C103" s="37">
        <v>3.0</v>
      </c>
      <c r="D103" s="37">
        <v>4.0</v>
      </c>
      <c r="E103" s="4">
        <v>2.0</v>
      </c>
      <c r="F103" s="4">
        <v>5.0</v>
      </c>
      <c r="G103" s="35"/>
      <c r="H103" s="35"/>
      <c r="I103" s="35">
        <f t="shared" si="7"/>
        <v>23</v>
      </c>
      <c r="J103" s="35">
        <f t="shared" si="8"/>
        <v>60</v>
      </c>
      <c r="K103" s="35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4" t="s">
        <v>50</v>
      </c>
      <c r="B104" s="4">
        <v>1.0</v>
      </c>
      <c r="C104" s="4">
        <v>8.0</v>
      </c>
      <c r="D104" s="4">
        <v>3.0</v>
      </c>
      <c r="E104" s="4">
        <v>4.0</v>
      </c>
      <c r="F104" s="4">
        <v>2.0</v>
      </c>
      <c r="G104" s="4">
        <v>5.0</v>
      </c>
      <c r="H104" s="35"/>
      <c r="I104" s="35">
        <f t="shared" si="7"/>
        <v>23</v>
      </c>
      <c r="J104" s="35">
        <f t="shared" si="8"/>
        <v>82</v>
      </c>
      <c r="K104" s="35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4" t="s">
        <v>51</v>
      </c>
      <c r="B105" s="4">
        <v>1.0</v>
      </c>
      <c r="C105" s="4">
        <v>8.0</v>
      </c>
      <c r="D105" s="4">
        <v>3.0</v>
      </c>
      <c r="E105" s="4">
        <v>4.0</v>
      </c>
      <c r="F105" s="4">
        <v>2.0</v>
      </c>
      <c r="G105" s="4">
        <v>5.0</v>
      </c>
      <c r="H105" s="35"/>
      <c r="I105" s="35">
        <f t="shared" si="7"/>
        <v>23</v>
      </c>
      <c r="J105" s="35">
        <f t="shared" si="8"/>
        <v>82</v>
      </c>
      <c r="K105" s="35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4" t="s">
        <v>52</v>
      </c>
      <c r="B106" s="4">
        <v>1.0</v>
      </c>
      <c r="C106" s="4">
        <v>8.0</v>
      </c>
      <c r="D106" s="4">
        <v>3.0</v>
      </c>
      <c r="E106" s="4">
        <v>4.0</v>
      </c>
      <c r="F106" s="4">
        <v>2.0</v>
      </c>
      <c r="G106" s="4">
        <v>5.0</v>
      </c>
      <c r="H106" s="35"/>
      <c r="I106" s="35">
        <f t="shared" si="7"/>
        <v>23</v>
      </c>
      <c r="J106" s="35">
        <f t="shared" si="8"/>
        <v>82</v>
      </c>
      <c r="K106" s="35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4" t="s">
        <v>53</v>
      </c>
      <c r="B107" s="4">
        <v>1.0</v>
      </c>
      <c r="C107" s="4">
        <v>8.0</v>
      </c>
      <c r="D107" s="4">
        <v>3.0</v>
      </c>
      <c r="E107" s="4">
        <v>4.0</v>
      </c>
      <c r="F107" s="4">
        <v>2.0</v>
      </c>
      <c r="G107" s="4">
        <v>5.0</v>
      </c>
      <c r="H107" s="35"/>
      <c r="I107" s="35">
        <f t="shared" si="7"/>
        <v>23</v>
      </c>
      <c r="J107" s="35">
        <f t="shared" si="8"/>
        <v>82</v>
      </c>
      <c r="K107" s="35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4" t="s">
        <v>54</v>
      </c>
      <c r="B108" s="4">
        <v>1.0</v>
      </c>
      <c r="C108" s="4">
        <v>8.0</v>
      </c>
      <c r="D108" s="4">
        <v>3.0</v>
      </c>
      <c r="E108" s="4">
        <v>4.0</v>
      </c>
      <c r="F108" s="4">
        <v>2.0</v>
      </c>
      <c r="G108" s="4">
        <v>5.0</v>
      </c>
      <c r="H108" s="35"/>
      <c r="I108" s="35">
        <f t="shared" si="7"/>
        <v>23</v>
      </c>
      <c r="J108" s="35">
        <f t="shared" si="8"/>
        <v>82</v>
      </c>
      <c r="K108" s="35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4" t="s">
        <v>55</v>
      </c>
      <c r="B109" s="4">
        <v>1.0</v>
      </c>
      <c r="C109" s="4">
        <v>8.0</v>
      </c>
      <c r="D109" s="4">
        <v>3.0</v>
      </c>
      <c r="E109" s="4">
        <v>4.0</v>
      </c>
      <c r="F109" s="4">
        <v>2.0</v>
      </c>
      <c r="G109" s="4">
        <v>5.0</v>
      </c>
      <c r="H109" s="35"/>
      <c r="I109" s="35">
        <f t="shared" si="7"/>
        <v>23</v>
      </c>
      <c r="J109" s="35">
        <f t="shared" si="8"/>
        <v>82</v>
      </c>
      <c r="K109" s="35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4" t="s">
        <v>56</v>
      </c>
      <c r="B110" s="4">
        <v>1.0</v>
      </c>
      <c r="C110" s="4">
        <v>8.0</v>
      </c>
      <c r="D110" s="4">
        <v>3.0</v>
      </c>
      <c r="E110" s="4">
        <v>4.0</v>
      </c>
      <c r="F110" s="4">
        <v>2.0</v>
      </c>
      <c r="G110" s="4">
        <v>5.0</v>
      </c>
      <c r="H110" s="35"/>
      <c r="I110" s="35">
        <f t="shared" si="7"/>
        <v>23</v>
      </c>
      <c r="J110" s="35">
        <f t="shared" si="8"/>
        <v>82</v>
      </c>
      <c r="K110" s="35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4">
    <mergeCell ref="A1:K1"/>
    <mergeCell ref="A29:K29"/>
    <mergeCell ref="A57:K57"/>
    <mergeCell ref="A85:K8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67</v>
      </c>
      <c r="B1" s="2"/>
      <c r="C1" s="2"/>
      <c r="D1" s="2"/>
      <c r="E1" s="2"/>
      <c r="F1" s="2"/>
      <c r="G1" s="2"/>
      <c r="H1" s="2"/>
      <c r="I1" s="2"/>
      <c r="J1" s="2"/>
      <c r="K1" s="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/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59</v>
      </c>
      <c r="H2" s="4" t="s">
        <v>60</v>
      </c>
      <c r="I2" s="35"/>
      <c r="J2" s="35"/>
      <c r="K2" s="35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4" t="s">
        <v>33</v>
      </c>
      <c r="B3" s="4">
        <v>1.0</v>
      </c>
      <c r="C3" s="4">
        <v>6.0</v>
      </c>
      <c r="D3" s="4">
        <v>4.0</v>
      </c>
      <c r="E3" s="4">
        <v>4.0</v>
      </c>
      <c r="F3" s="4">
        <v>4.0</v>
      </c>
      <c r="G3" s="4">
        <v>4.0</v>
      </c>
      <c r="H3" s="35"/>
      <c r="I3" s="35">
        <f t="shared" ref="I3:I26" si="1">sum(B3:H3)</f>
        <v>23</v>
      </c>
      <c r="J3" s="35">
        <f t="shared" ref="J3:J26" si="2">B3+C3*2+D3*3+E3*4+F3*5+G3*6+H3*7</f>
        <v>85</v>
      </c>
      <c r="K3" s="35">
        <f>sum(J3:J26)/(24*24)</f>
        <v>3.0625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4" t="s">
        <v>34</v>
      </c>
      <c r="B4" s="4">
        <v>1.0</v>
      </c>
      <c r="C4" s="4">
        <v>6.0</v>
      </c>
      <c r="D4" s="4">
        <v>4.0</v>
      </c>
      <c r="E4" s="4">
        <v>4.0</v>
      </c>
      <c r="F4" s="4">
        <v>4.0</v>
      </c>
      <c r="G4" s="4">
        <v>4.0</v>
      </c>
      <c r="H4" s="35"/>
      <c r="I4" s="35">
        <f t="shared" si="1"/>
        <v>23</v>
      </c>
      <c r="J4" s="35">
        <f t="shared" si="2"/>
        <v>85</v>
      </c>
      <c r="K4" s="35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" t="s">
        <v>35</v>
      </c>
      <c r="B5" s="4">
        <v>1.0</v>
      </c>
      <c r="C5" s="4">
        <v>6.0</v>
      </c>
      <c r="D5" s="4">
        <v>4.0</v>
      </c>
      <c r="E5" s="4">
        <v>4.0</v>
      </c>
      <c r="F5" s="4">
        <v>4.0</v>
      </c>
      <c r="G5" s="4">
        <v>4.0</v>
      </c>
      <c r="H5" s="35"/>
      <c r="I5" s="35">
        <f t="shared" si="1"/>
        <v>23</v>
      </c>
      <c r="J5" s="35">
        <f t="shared" si="2"/>
        <v>85</v>
      </c>
      <c r="K5" s="35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4" t="s">
        <v>36</v>
      </c>
      <c r="B6" s="4">
        <v>1.0</v>
      </c>
      <c r="C6" s="4">
        <v>6.0</v>
      </c>
      <c r="D6" s="4">
        <v>4.0</v>
      </c>
      <c r="E6" s="4">
        <v>4.0</v>
      </c>
      <c r="F6" s="4">
        <v>4.0</v>
      </c>
      <c r="G6" s="4">
        <v>4.0</v>
      </c>
      <c r="H6" s="35"/>
      <c r="I6" s="35">
        <f t="shared" si="1"/>
        <v>23</v>
      </c>
      <c r="J6" s="35">
        <f t="shared" si="2"/>
        <v>85</v>
      </c>
      <c r="K6" s="3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" t="s">
        <v>37</v>
      </c>
      <c r="B7" s="4">
        <v>1.0</v>
      </c>
      <c r="C7" s="4">
        <v>6.0</v>
      </c>
      <c r="D7" s="4">
        <v>4.0</v>
      </c>
      <c r="E7" s="4">
        <v>4.0</v>
      </c>
      <c r="F7" s="4">
        <v>4.0</v>
      </c>
      <c r="G7" s="4">
        <v>4.0</v>
      </c>
      <c r="H7" s="35"/>
      <c r="I7" s="35">
        <f t="shared" si="1"/>
        <v>23</v>
      </c>
      <c r="J7" s="35">
        <f t="shared" si="2"/>
        <v>85</v>
      </c>
      <c r="K7" s="35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4" t="s">
        <v>38</v>
      </c>
      <c r="B8" s="4">
        <v>7.0</v>
      </c>
      <c r="C8" s="4">
        <v>4.0</v>
      </c>
      <c r="D8" s="4">
        <v>4.0</v>
      </c>
      <c r="E8" s="4">
        <v>4.0</v>
      </c>
      <c r="F8" s="4">
        <v>4.0</v>
      </c>
      <c r="G8" s="35"/>
      <c r="H8" s="35"/>
      <c r="I8" s="35">
        <f t="shared" si="1"/>
        <v>23</v>
      </c>
      <c r="J8" s="35">
        <f t="shared" si="2"/>
        <v>63</v>
      </c>
      <c r="K8" s="35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4" t="s">
        <v>39</v>
      </c>
      <c r="B9" s="4">
        <v>1.0</v>
      </c>
      <c r="C9" s="4">
        <v>4.0</v>
      </c>
      <c r="D9" s="4">
        <v>10.0</v>
      </c>
      <c r="E9" s="4">
        <v>5.0</v>
      </c>
      <c r="F9" s="4">
        <v>4.0</v>
      </c>
      <c r="G9" s="35"/>
      <c r="H9" s="35"/>
      <c r="I9" s="35">
        <f t="shared" si="1"/>
        <v>24</v>
      </c>
      <c r="J9" s="35">
        <f t="shared" si="2"/>
        <v>79</v>
      </c>
      <c r="K9" s="35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4" t="s">
        <v>40</v>
      </c>
      <c r="B10" s="4">
        <v>5.0</v>
      </c>
      <c r="C10" s="4">
        <v>10.0</v>
      </c>
      <c r="D10" s="4">
        <v>5.0</v>
      </c>
      <c r="E10" s="4">
        <v>4.0</v>
      </c>
      <c r="F10" s="35"/>
      <c r="G10" s="35"/>
      <c r="H10" s="35"/>
      <c r="I10" s="35">
        <f t="shared" si="1"/>
        <v>24</v>
      </c>
      <c r="J10" s="35">
        <f t="shared" si="2"/>
        <v>56</v>
      </c>
      <c r="K10" s="35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4" t="s">
        <v>41</v>
      </c>
      <c r="B11" s="4">
        <v>4.0</v>
      </c>
      <c r="C11" s="4">
        <v>10.0</v>
      </c>
      <c r="D11" s="4">
        <v>5.0</v>
      </c>
      <c r="E11" s="4">
        <v>4.0</v>
      </c>
      <c r="F11" s="4"/>
      <c r="G11" s="35"/>
      <c r="H11" s="35"/>
      <c r="I11" s="35">
        <f t="shared" si="1"/>
        <v>23</v>
      </c>
      <c r="J11" s="35">
        <f t="shared" si="2"/>
        <v>55</v>
      </c>
      <c r="K11" s="35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4" t="s">
        <v>42</v>
      </c>
      <c r="B12" s="4">
        <v>2.0</v>
      </c>
      <c r="C12" s="37">
        <v>7.0</v>
      </c>
      <c r="D12" s="37">
        <v>10.0</v>
      </c>
      <c r="E12" s="4">
        <v>4.0</v>
      </c>
      <c r="F12" s="35"/>
      <c r="G12" s="35"/>
      <c r="H12" s="35"/>
      <c r="I12" s="35">
        <f t="shared" si="1"/>
        <v>23</v>
      </c>
      <c r="J12" s="35">
        <f t="shared" si="2"/>
        <v>62</v>
      </c>
      <c r="K12" s="35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4" t="s">
        <v>43</v>
      </c>
      <c r="B13" s="4">
        <v>1.0</v>
      </c>
      <c r="C13" s="4">
        <v>6.0</v>
      </c>
      <c r="D13" s="4">
        <v>4.0</v>
      </c>
      <c r="E13" s="4">
        <v>4.0</v>
      </c>
      <c r="F13" s="4">
        <v>4.0</v>
      </c>
      <c r="G13" s="4">
        <v>4.0</v>
      </c>
      <c r="H13" s="35"/>
      <c r="I13" s="35">
        <f t="shared" si="1"/>
        <v>23</v>
      </c>
      <c r="J13" s="35">
        <f t="shared" si="2"/>
        <v>85</v>
      </c>
      <c r="K13" s="35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4" t="s">
        <v>44</v>
      </c>
      <c r="B14" s="37">
        <v>1.0</v>
      </c>
      <c r="C14" s="37">
        <v>5.0</v>
      </c>
      <c r="D14" s="37">
        <v>7.0</v>
      </c>
      <c r="E14" s="4">
        <v>10.0</v>
      </c>
      <c r="F14" s="35"/>
      <c r="G14" s="35"/>
      <c r="H14" s="35"/>
      <c r="I14" s="35">
        <f t="shared" si="1"/>
        <v>23</v>
      </c>
      <c r="J14" s="35">
        <f t="shared" si="2"/>
        <v>72</v>
      </c>
      <c r="K14" s="35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4" t="s">
        <v>45</v>
      </c>
      <c r="B15" s="37">
        <v>6.0</v>
      </c>
      <c r="C15" s="37">
        <v>7.0</v>
      </c>
      <c r="D15" s="4">
        <v>10.0</v>
      </c>
      <c r="E15" s="35"/>
      <c r="F15" s="35"/>
      <c r="G15" s="35"/>
      <c r="H15" s="35"/>
      <c r="I15" s="35">
        <f t="shared" si="1"/>
        <v>23</v>
      </c>
      <c r="J15" s="35">
        <f t="shared" si="2"/>
        <v>50</v>
      </c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4" t="s">
        <v>46</v>
      </c>
      <c r="B16" s="4">
        <v>1.0</v>
      </c>
      <c r="C16" s="4">
        <v>6.0</v>
      </c>
      <c r="D16" s="4">
        <v>7.0</v>
      </c>
      <c r="E16" s="4">
        <v>3.0</v>
      </c>
      <c r="F16" s="4">
        <v>6.0</v>
      </c>
      <c r="G16" s="35"/>
      <c r="H16" s="35"/>
      <c r="I16" s="35">
        <f t="shared" si="1"/>
        <v>23</v>
      </c>
      <c r="J16" s="35">
        <f t="shared" si="2"/>
        <v>76</v>
      </c>
      <c r="K16" s="35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4" t="s">
        <v>47</v>
      </c>
      <c r="B17" s="4">
        <v>7.0</v>
      </c>
      <c r="C17" s="4">
        <v>7.0</v>
      </c>
      <c r="D17" s="4">
        <v>3.0</v>
      </c>
      <c r="E17" s="4">
        <v>6.0</v>
      </c>
      <c r="F17" s="35"/>
      <c r="G17" s="35"/>
      <c r="H17" s="35"/>
      <c r="I17" s="35">
        <f t="shared" si="1"/>
        <v>23</v>
      </c>
      <c r="J17" s="35">
        <f t="shared" si="2"/>
        <v>54</v>
      </c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4" t="s">
        <v>48</v>
      </c>
      <c r="B18" s="4">
        <v>1.0</v>
      </c>
      <c r="C18" s="4">
        <v>6.0</v>
      </c>
      <c r="D18" s="4">
        <v>7.0</v>
      </c>
      <c r="E18" s="4">
        <v>3.0</v>
      </c>
      <c r="F18" s="4">
        <v>6.0</v>
      </c>
      <c r="G18" s="35"/>
      <c r="H18" s="35"/>
      <c r="I18" s="35">
        <f t="shared" si="1"/>
        <v>23</v>
      </c>
      <c r="J18" s="35">
        <f t="shared" si="2"/>
        <v>76</v>
      </c>
      <c r="K18" s="35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4" t="s">
        <v>49</v>
      </c>
      <c r="B19" s="4">
        <v>2.0</v>
      </c>
      <c r="C19" s="4">
        <v>8.0</v>
      </c>
      <c r="D19" s="4">
        <v>7.0</v>
      </c>
      <c r="E19" s="4">
        <v>6.0</v>
      </c>
      <c r="F19" s="35"/>
      <c r="G19" s="35"/>
      <c r="H19" s="35"/>
      <c r="I19" s="35">
        <f t="shared" si="1"/>
        <v>23</v>
      </c>
      <c r="J19" s="35">
        <f t="shared" si="2"/>
        <v>63</v>
      </c>
      <c r="K19" s="35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4" t="s">
        <v>50</v>
      </c>
      <c r="B20" s="4">
        <v>2.0</v>
      </c>
      <c r="C20" s="4">
        <v>8.0</v>
      </c>
      <c r="D20" s="4">
        <v>4.0</v>
      </c>
      <c r="E20" s="4">
        <v>3.0</v>
      </c>
      <c r="F20" s="4">
        <v>6.0</v>
      </c>
      <c r="G20" s="35"/>
      <c r="H20" s="35"/>
      <c r="I20" s="35">
        <f t="shared" si="1"/>
        <v>23</v>
      </c>
      <c r="J20" s="35">
        <f t="shared" si="2"/>
        <v>72</v>
      </c>
      <c r="K20" s="35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4" t="s">
        <v>51</v>
      </c>
      <c r="B21" s="4">
        <v>1.0</v>
      </c>
      <c r="C21" s="4">
        <v>6.0</v>
      </c>
      <c r="D21" s="4">
        <v>4.0</v>
      </c>
      <c r="E21" s="4">
        <v>3.0</v>
      </c>
      <c r="F21" s="4">
        <v>3.0</v>
      </c>
      <c r="G21" s="4">
        <v>6.0</v>
      </c>
      <c r="H21" s="35"/>
      <c r="I21" s="35">
        <f t="shared" si="1"/>
        <v>23</v>
      </c>
      <c r="J21" s="35">
        <f t="shared" si="2"/>
        <v>88</v>
      </c>
      <c r="K21" s="35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4" t="s">
        <v>52</v>
      </c>
      <c r="B22" s="4">
        <v>3.0</v>
      </c>
      <c r="C22" s="4">
        <v>11.0</v>
      </c>
      <c r="D22" s="4">
        <v>3.0</v>
      </c>
      <c r="E22" s="4">
        <v>6.0</v>
      </c>
      <c r="F22" s="4"/>
      <c r="G22" s="35"/>
      <c r="H22" s="35"/>
      <c r="I22" s="35">
        <f t="shared" si="1"/>
        <v>23</v>
      </c>
      <c r="J22" s="35">
        <f t="shared" si="2"/>
        <v>58</v>
      </c>
      <c r="K22" s="35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4" t="s">
        <v>53</v>
      </c>
      <c r="B23" s="4">
        <v>7.0</v>
      </c>
      <c r="C23" s="4">
        <v>4.0</v>
      </c>
      <c r="D23" s="4">
        <v>3.0</v>
      </c>
      <c r="E23" s="4">
        <v>3.0</v>
      </c>
      <c r="F23" s="4">
        <v>6.0</v>
      </c>
      <c r="G23" s="35"/>
      <c r="H23" s="35"/>
      <c r="I23" s="35">
        <f t="shared" si="1"/>
        <v>23</v>
      </c>
      <c r="J23" s="35">
        <f t="shared" si="2"/>
        <v>66</v>
      </c>
      <c r="K23" s="35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4" t="s">
        <v>54</v>
      </c>
      <c r="B24" s="4">
        <v>1.0</v>
      </c>
      <c r="C24" s="4">
        <v>6.0</v>
      </c>
      <c r="D24" s="4">
        <v>4.0</v>
      </c>
      <c r="E24" s="4">
        <v>3.0</v>
      </c>
      <c r="F24" s="4">
        <v>3.0</v>
      </c>
      <c r="G24" s="4">
        <v>6.0</v>
      </c>
      <c r="H24" s="35"/>
      <c r="I24" s="35">
        <f t="shared" si="1"/>
        <v>23</v>
      </c>
      <c r="J24" s="35">
        <f t="shared" si="2"/>
        <v>88</v>
      </c>
      <c r="K24" s="35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4" t="s">
        <v>55</v>
      </c>
      <c r="B25" s="4">
        <v>1.0</v>
      </c>
      <c r="C25" s="4">
        <v>6.0</v>
      </c>
      <c r="D25" s="4">
        <v>4.0</v>
      </c>
      <c r="E25" s="4">
        <v>3.0</v>
      </c>
      <c r="F25" s="4">
        <v>3.0</v>
      </c>
      <c r="G25" s="4">
        <v>6.0</v>
      </c>
      <c r="H25" s="35"/>
      <c r="I25" s="35">
        <f t="shared" si="1"/>
        <v>23</v>
      </c>
      <c r="J25" s="35">
        <f t="shared" si="2"/>
        <v>88</v>
      </c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4" t="s">
        <v>56</v>
      </c>
      <c r="B26" s="4">
        <v>1.0</v>
      </c>
      <c r="C26" s="4">
        <v>6.0</v>
      </c>
      <c r="D26" s="4">
        <v>4.0</v>
      </c>
      <c r="E26" s="4">
        <v>3.0</v>
      </c>
      <c r="F26" s="4">
        <v>3.0</v>
      </c>
      <c r="G26" s="4">
        <v>6.0</v>
      </c>
      <c r="H26" s="35"/>
      <c r="I26" s="35">
        <f t="shared" si="1"/>
        <v>23</v>
      </c>
      <c r="J26" s="35">
        <f t="shared" si="2"/>
        <v>88</v>
      </c>
      <c r="K26" s="35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9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9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5" t="s">
        <v>68</v>
      </c>
      <c r="B29" s="2"/>
      <c r="C29" s="2"/>
      <c r="D29" s="2"/>
      <c r="E29" s="2"/>
      <c r="F29" s="2"/>
      <c r="G29" s="2"/>
      <c r="H29" s="2"/>
      <c r="I29" s="2"/>
      <c r="J29" s="2"/>
      <c r="K29" s="3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5"/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59</v>
      </c>
      <c r="H30" s="4" t="s">
        <v>60</v>
      </c>
      <c r="I30" s="35"/>
      <c r="J30" s="35"/>
      <c r="K30" s="35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4" t="s">
        <v>33</v>
      </c>
      <c r="B31" s="4">
        <v>1.0</v>
      </c>
      <c r="C31" s="4">
        <v>7.0</v>
      </c>
      <c r="D31" s="4">
        <v>3.0</v>
      </c>
      <c r="E31" s="4">
        <v>2.0</v>
      </c>
      <c r="F31" s="4">
        <v>6.0</v>
      </c>
      <c r="G31" s="4">
        <v>4.0</v>
      </c>
      <c r="H31" s="35"/>
      <c r="I31" s="35">
        <f t="shared" ref="I31:I54" si="3">sum(B31:H31)</f>
        <v>23</v>
      </c>
      <c r="J31" s="35">
        <f t="shared" ref="J31:J54" si="4">B31+C31*2+D31*3+E31*4+F31*5+G31*6+H31*7</f>
        <v>86</v>
      </c>
      <c r="K31" s="35">
        <f>sum(J31:J54)/(24*24)</f>
        <v>2.895833333</v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4" t="s">
        <v>34</v>
      </c>
      <c r="B32" s="4">
        <v>1.0</v>
      </c>
      <c r="C32" s="4">
        <v>7.0</v>
      </c>
      <c r="D32" s="4">
        <v>3.0</v>
      </c>
      <c r="E32" s="4">
        <v>2.0</v>
      </c>
      <c r="F32" s="4">
        <v>6.0</v>
      </c>
      <c r="G32" s="4">
        <v>4.0</v>
      </c>
      <c r="H32" s="35"/>
      <c r="I32" s="35">
        <f t="shared" si="3"/>
        <v>23</v>
      </c>
      <c r="J32" s="35">
        <f t="shared" si="4"/>
        <v>86</v>
      </c>
      <c r="K32" s="35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4" t="s">
        <v>35</v>
      </c>
      <c r="B33" s="4">
        <v>1.0</v>
      </c>
      <c r="C33" s="4">
        <v>7.0</v>
      </c>
      <c r="D33" s="4">
        <v>3.0</v>
      </c>
      <c r="E33" s="4">
        <v>2.0</v>
      </c>
      <c r="F33" s="4">
        <v>6.0</v>
      </c>
      <c r="G33" s="4">
        <v>4.0</v>
      </c>
      <c r="H33" s="35"/>
      <c r="I33" s="35">
        <f t="shared" si="3"/>
        <v>23</v>
      </c>
      <c r="J33" s="35">
        <f t="shared" si="4"/>
        <v>86</v>
      </c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4" t="s">
        <v>36</v>
      </c>
      <c r="B34" s="4">
        <v>1.0</v>
      </c>
      <c r="C34" s="4">
        <v>7.0</v>
      </c>
      <c r="D34" s="4">
        <v>3.0</v>
      </c>
      <c r="E34" s="4">
        <v>2.0</v>
      </c>
      <c r="F34" s="4">
        <v>6.0</v>
      </c>
      <c r="G34" s="4">
        <v>4.0</v>
      </c>
      <c r="H34" s="35"/>
      <c r="I34" s="35">
        <f t="shared" si="3"/>
        <v>23</v>
      </c>
      <c r="J34" s="35">
        <f t="shared" si="4"/>
        <v>86</v>
      </c>
      <c r="K34" s="35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4" t="s">
        <v>37</v>
      </c>
      <c r="B35" s="4">
        <v>1.0</v>
      </c>
      <c r="C35" s="4">
        <v>7.0</v>
      </c>
      <c r="D35" s="4">
        <v>3.0</v>
      </c>
      <c r="E35" s="4">
        <v>2.0</v>
      </c>
      <c r="F35" s="4">
        <v>6.0</v>
      </c>
      <c r="G35" s="4">
        <v>4.0</v>
      </c>
      <c r="H35" s="35"/>
      <c r="I35" s="35">
        <f t="shared" si="3"/>
        <v>23</v>
      </c>
      <c r="J35" s="35">
        <f t="shared" si="4"/>
        <v>86</v>
      </c>
      <c r="K35" s="35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4" t="s">
        <v>38</v>
      </c>
      <c r="B36" s="4">
        <v>8.0</v>
      </c>
      <c r="C36" s="4">
        <v>3.0</v>
      </c>
      <c r="D36" s="4">
        <v>2.0</v>
      </c>
      <c r="E36" s="4">
        <v>6.0</v>
      </c>
      <c r="F36" s="4">
        <v>4.0</v>
      </c>
      <c r="G36" s="35"/>
      <c r="H36" s="35"/>
      <c r="I36" s="35">
        <f t="shared" si="3"/>
        <v>23</v>
      </c>
      <c r="J36" s="35">
        <f t="shared" si="4"/>
        <v>64</v>
      </c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4" t="s">
        <v>39</v>
      </c>
      <c r="B37" s="4">
        <v>2.0</v>
      </c>
      <c r="C37" s="4">
        <v>9.0</v>
      </c>
      <c r="D37" s="4">
        <v>2.0</v>
      </c>
      <c r="E37" s="4">
        <v>6.0</v>
      </c>
      <c r="F37" s="4">
        <v>4.0</v>
      </c>
      <c r="G37" s="35"/>
      <c r="H37" s="35"/>
      <c r="I37" s="35">
        <f t="shared" si="3"/>
        <v>23</v>
      </c>
      <c r="J37" s="35">
        <f t="shared" si="4"/>
        <v>70</v>
      </c>
      <c r="K37" s="35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4" t="s">
        <v>40</v>
      </c>
      <c r="B38" s="4">
        <v>5.0</v>
      </c>
      <c r="C38" s="4">
        <v>8.0</v>
      </c>
      <c r="D38" s="4">
        <v>6.0</v>
      </c>
      <c r="E38" s="4">
        <v>4.0</v>
      </c>
      <c r="F38" s="35"/>
      <c r="G38" s="35"/>
      <c r="H38" s="35"/>
      <c r="I38" s="35">
        <f t="shared" si="3"/>
        <v>23</v>
      </c>
      <c r="J38" s="35">
        <f t="shared" si="4"/>
        <v>55</v>
      </c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4" t="s">
        <v>41</v>
      </c>
      <c r="B39" s="4">
        <v>2.0</v>
      </c>
      <c r="C39" s="4">
        <v>6.0</v>
      </c>
      <c r="D39" s="4">
        <v>11.0</v>
      </c>
      <c r="E39" s="4">
        <v>4.0</v>
      </c>
      <c r="F39" s="4"/>
      <c r="G39" s="35"/>
      <c r="H39" s="35"/>
      <c r="I39" s="35">
        <f t="shared" si="3"/>
        <v>23</v>
      </c>
      <c r="J39" s="35">
        <f t="shared" si="4"/>
        <v>63</v>
      </c>
      <c r="K39" s="35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4" t="s">
        <v>42</v>
      </c>
      <c r="B40" s="4">
        <v>3.0</v>
      </c>
      <c r="C40" s="37">
        <v>14.0</v>
      </c>
      <c r="D40" s="37">
        <v>6.0</v>
      </c>
      <c r="E40" s="4"/>
      <c r="F40" s="35"/>
      <c r="G40" s="35"/>
      <c r="H40" s="35"/>
      <c r="I40" s="35">
        <f t="shared" si="3"/>
        <v>23</v>
      </c>
      <c r="J40" s="35">
        <f t="shared" si="4"/>
        <v>49</v>
      </c>
      <c r="K40" s="35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4" t="s">
        <v>43</v>
      </c>
      <c r="B41" s="4">
        <v>1.0</v>
      </c>
      <c r="C41" s="4">
        <v>6.0</v>
      </c>
      <c r="D41" s="4">
        <v>4.0</v>
      </c>
      <c r="E41" s="4">
        <v>2.0</v>
      </c>
      <c r="F41" s="4">
        <v>6.0</v>
      </c>
      <c r="G41" s="4">
        <v>4.0</v>
      </c>
      <c r="H41" s="35"/>
      <c r="I41" s="35">
        <f t="shared" si="3"/>
        <v>23</v>
      </c>
      <c r="J41" s="35">
        <f t="shared" si="4"/>
        <v>87</v>
      </c>
      <c r="K41" s="35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4" t="s">
        <v>44</v>
      </c>
      <c r="B42" s="37">
        <v>6.0</v>
      </c>
      <c r="C42" s="37">
        <v>8.0</v>
      </c>
      <c r="D42" s="37">
        <v>9.0</v>
      </c>
      <c r="E42" s="4"/>
      <c r="F42" s="35"/>
      <c r="G42" s="35"/>
      <c r="H42" s="35"/>
      <c r="I42" s="35">
        <f t="shared" si="3"/>
        <v>23</v>
      </c>
      <c r="J42" s="35">
        <f t="shared" si="4"/>
        <v>49</v>
      </c>
      <c r="K42" s="35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4" t="s">
        <v>45</v>
      </c>
      <c r="B43" s="37">
        <v>3.0</v>
      </c>
      <c r="C43" s="37">
        <v>13.0</v>
      </c>
      <c r="D43" s="4">
        <v>2.0</v>
      </c>
      <c r="E43" s="4">
        <v>5.0</v>
      </c>
      <c r="F43" s="35"/>
      <c r="G43" s="35"/>
      <c r="H43" s="35"/>
      <c r="I43" s="35">
        <f t="shared" si="3"/>
        <v>23</v>
      </c>
      <c r="J43" s="35">
        <f t="shared" si="4"/>
        <v>55</v>
      </c>
      <c r="K43" s="35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4" t="s">
        <v>46</v>
      </c>
      <c r="B44" s="4">
        <v>1.0</v>
      </c>
      <c r="C44" s="4">
        <v>7.0</v>
      </c>
      <c r="D44" s="4">
        <v>8.0</v>
      </c>
      <c r="E44" s="4">
        <v>2.0</v>
      </c>
      <c r="F44" s="4">
        <v>5.0</v>
      </c>
      <c r="G44" s="35"/>
      <c r="H44" s="35"/>
      <c r="I44" s="35">
        <f t="shared" si="3"/>
        <v>23</v>
      </c>
      <c r="J44" s="35">
        <f t="shared" si="4"/>
        <v>72</v>
      </c>
      <c r="K44" s="35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4" t="s">
        <v>47</v>
      </c>
      <c r="B45" s="4">
        <v>8.0</v>
      </c>
      <c r="C45" s="4">
        <v>8.0</v>
      </c>
      <c r="D45" s="4">
        <v>2.0</v>
      </c>
      <c r="E45" s="4">
        <v>5.0</v>
      </c>
      <c r="F45" s="35"/>
      <c r="G45" s="35"/>
      <c r="H45" s="35"/>
      <c r="I45" s="35">
        <f t="shared" si="3"/>
        <v>23</v>
      </c>
      <c r="J45" s="35">
        <f t="shared" si="4"/>
        <v>50</v>
      </c>
      <c r="K45" s="35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4" t="s">
        <v>48</v>
      </c>
      <c r="B46" s="4">
        <v>2.0</v>
      </c>
      <c r="C46" s="4">
        <v>11.0</v>
      </c>
      <c r="D46" s="4">
        <v>3.0</v>
      </c>
      <c r="E46" s="4">
        <v>2.0</v>
      </c>
      <c r="F46" s="4">
        <v>5.0</v>
      </c>
      <c r="G46" s="35"/>
      <c r="H46" s="35"/>
      <c r="I46" s="35">
        <f t="shared" si="3"/>
        <v>23</v>
      </c>
      <c r="J46" s="35">
        <f t="shared" si="4"/>
        <v>66</v>
      </c>
      <c r="K46" s="35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4" t="s">
        <v>49</v>
      </c>
      <c r="B47" s="4">
        <v>11.0</v>
      </c>
      <c r="C47" s="4">
        <v>2.0</v>
      </c>
      <c r="D47" s="4">
        <v>3.0</v>
      </c>
      <c r="E47" s="4">
        <v>2.0</v>
      </c>
      <c r="F47" s="4">
        <v>5.0</v>
      </c>
      <c r="G47" s="35"/>
      <c r="H47" s="35"/>
      <c r="I47" s="35">
        <f t="shared" si="3"/>
        <v>23</v>
      </c>
      <c r="J47" s="35">
        <f t="shared" si="4"/>
        <v>57</v>
      </c>
      <c r="K47" s="35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4" t="s">
        <v>50</v>
      </c>
      <c r="B48" s="4">
        <v>2.0</v>
      </c>
      <c r="C48" s="4">
        <v>11.0</v>
      </c>
      <c r="D48" s="4">
        <v>3.0</v>
      </c>
      <c r="E48" s="4">
        <v>2.0</v>
      </c>
      <c r="F48" s="4">
        <v>5.0</v>
      </c>
      <c r="G48" s="35"/>
      <c r="H48" s="35"/>
      <c r="I48" s="35">
        <f t="shared" si="3"/>
        <v>23</v>
      </c>
      <c r="J48" s="35">
        <f t="shared" si="4"/>
        <v>66</v>
      </c>
      <c r="K48" s="35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4" t="s">
        <v>51</v>
      </c>
      <c r="B49" s="4">
        <v>2.0</v>
      </c>
      <c r="C49" s="4">
        <v>11.0</v>
      </c>
      <c r="D49" s="4">
        <v>3.0</v>
      </c>
      <c r="E49" s="4">
        <v>2.0</v>
      </c>
      <c r="F49" s="4">
        <v>5.0</v>
      </c>
      <c r="G49" s="4"/>
      <c r="H49" s="35"/>
      <c r="I49" s="35">
        <f t="shared" si="3"/>
        <v>23</v>
      </c>
      <c r="J49" s="35">
        <f t="shared" si="4"/>
        <v>66</v>
      </c>
      <c r="K49" s="35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4" t="s">
        <v>52</v>
      </c>
      <c r="B50" s="4">
        <v>1.0</v>
      </c>
      <c r="C50" s="4">
        <v>10.0</v>
      </c>
      <c r="D50" s="4">
        <v>2.0</v>
      </c>
      <c r="E50" s="4">
        <v>3.0</v>
      </c>
      <c r="F50" s="4">
        <v>2.0</v>
      </c>
      <c r="G50" s="4">
        <v>5.0</v>
      </c>
      <c r="H50" s="35"/>
      <c r="I50" s="35">
        <f t="shared" si="3"/>
        <v>23</v>
      </c>
      <c r="J50" s="35">
        <f t="shared" si="4"/>
        <v>79</v>
      </c>
      <c r="K50" s="35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4" t="s">
        <v>53</v>
      </c>
      <c r="B51" s="4">
        <v>2.0</v>
      </c>
      <c r="C51" s="4">
        <v>11.0</v>
      </c>
      <c r="D51" s="4">
        <v>3.0</v>
      </c>
      <c r="E51" s="4">
        <v>2.0</v>
      </c>
      <c r="F51" s="4">
        <v>5.0</v>
      </c>
      <c r="G51" s="35"/>
      <c r="H51" s="35"/>
      <c r="I51" s="35">
        <f t="shared" si="3"/>
        <v>23</v>
      </c>
      <c r="J51" s="35">
        <f t="shared" si="4"/>
        <v>66</v>
      </c>
      <c r="K51" s="35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4" t="s">
        <v>54</v>
      </c>
      <c r="B52" s="4">
        <v>2.0</v>
      </c>
      <c r="C52" s="4">
        <v>11.0</v>
      </c>
      <c r="D52" s="4">
        <v>3.0</v>
      </c>
      <c r="E52" s="4">
        <v>2.0</v>
      </c>
      <c r="F52" s="4">
        <v>5.0</v>
      </c>
      <c r="G52" s="4"/>
      <c r="H52" s="35"/>
      <c r="I52" s="35">
        <f t="shared" si="3"/>
        <v>23</v>
      </c>
      <c r="J52" s="35">
        <f t="shared" si="4"/>
        <v>66</v>
      </c>
      <c r="K52" s="35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4" t="s">
        <v>55</v>
      </c>
      <c r="B53" s="4">
        <v>1.0</v>
      </c>
      <c r="C53" s="4">
        <v>10.0</v>
      </c>
      <c r="D53" s="4">
        <v>2.0</v>
      </c>
      <c r="E53" s="4">
        <v>3.0</v>
      </c>
      <c r="F53" s="4">
        <v>2.0</v>
      </c>
      <c r="G53" s="4">
        <v>5.0</v>
      </c>
      <c r="H53" s="35"/>
      <c r="I53" s="35">
        <f t="shared" si="3"/>
        <v>23</v>
      </c>
      <c r="J53" s="35">
        <f t="shared" si="4"/>
        <v>79</v>
      </c>
      <c r="K53" s="35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4" t="s">
        <v>56</v>
      </c>
      <c r="B54" s="4">
        <v>1.0</v>
      </c>
      <c r="C54" s="4">
        <v>10.0</v>
      </c>
      <c r="D54" s="4">
        <v>2.0</v>
      </c>
      <c r="E54" s="4">
        <v>3.0</v>
      </c>
      <c r="F54" s="4">
        <v>2.0</v>
      </c>
      <c r="G54" s="4">
        <v>5.0</v>
      </c>
      <c r="H54" s="35"/>
      <c r="I54" s="35">
        <f t="shared" si="3"/>
        <v>23</v>
      </c>
      <c r="J54" s="35">
        <f t="shared" si="4"/>
        <v>79</v>
      </c>
      <c r="K54" s="35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5" t="s">
        <v>69</v>
      </c>
      <c r="B57" s="2"/>
      <c r="C57" s="2"/>
      <c r="D57" s="2"/>
      <c r="E57" s="2"/>
      <c r="F57" s="2"/>
      <c r="G57" s="2"/>
      <c r="H57" s="2"/>
      <c r="I57" s="2"/>
      <c r="J57" s="2"/>
      <c r="K57" s="3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5"/>
      <c r="B58" s="4" t="s">
        <v>28</v>
      </c>
      <c r="C58" s="4" t="s">
        <v>29</v>
      </c>
      <c r="D58" s="4" t="s">
        <v>30</v>
      </c>
      <c r="E58" s="4" t="s">
        <v>31</v>
      </c>
      <c r="F58" s="4" t="s">
        <v>32</v>
      </c>
      <c r="G58" s="4" t="s">
        <v>59</v>
      </c>
      <c r="H58" s="4" t="s">
        <v>60</v>
      </c>
      <c r="I58" s="35"/>
      <c r="J58" s="35"/>
      <c r="K58" s="35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4" t="s">
        <v>33</v>
      </c>
      <c r="B59" s="4">
        <v>1.0</v>
      </c>
      <c r="C59" s="4">
        <v>7.0</v>
      </c>
      <c r="D59" s="4">
        <v>3.0</v>
      </c>
      <c r="E59" s="4">
        <v>1.0</v>
      </c>
      <c r="F59" s="4">
        <v>5.0</v>
      </c>
      <c r="G59" s="4">
        <v>6.0</v>
      </c>
      <c r="H59" s="35"/>
      <c r="I59" s="35">
        <f t="shared" ref="I59:I82" si="5">sum(B59:H59)</f>
        <v>23</v>
      </c>
      <c r="J59" s="35">
        <f t="shared" ref="J59:J82" si="6">B59+C59*2+D59*3+E59*4+F59*5+G59*6+H59*7</f>
        <v>89</v>
      </c>
      <c r="K59" s="35">
        <f>sum(J59:J82)/(24*24)</f>
        <v>2.901041667</v>
      </c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4" t="s">
        <v>34</v>
      </c>
      <c r="B60" s="4">
        <v>1.0</v>
      </c>
      <c r="C60" s="4">
        <v>7.0</v>
      </c>
      <c r="D60" s="4">
        <v>3.0</v>
      </c>
      <c r="E60" s="4">
        <v>1.0</v>
      </c>
      <c r="F60" s="4">
        <v>5.0</v>
      </c>
      <c r="G60" s="4">
        <v>6.0</v>
      </c>
      <c r="H60" s="35"/>
      <c r="I60" s="35">
        <f t="shared" si="5"/>
        <v>23</v>
      </c>
      <c r="J60" s="35">
        <f t="shared" si="6"/>
        <v>89</v>
      </c>
      <c r="K60" s="35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4" t="s">
        <v>35</v>
      </c>
      <c r="B61" s="4">
        <v>2.0</v>
      </c>
      <c r="C61" s="4">
        <v>10.0</v>
      </c>
      <c r="D61" s="4">
        <v>5.0</v>
      </c>
      <c r="E61" s="4">
        <v>6.0</v>
      </c>
      <c r="F61" s="4"/>
      <c r="G61" s="4"/>
      <c r="H61" s="35"/>
      <c r="I61" s="35">
        <f t="shared" si="5"/>
        <v>23</v>
      </c>
      <c r="J61" s="35">
        <f t="shared" si="6"/>
        <v>61</v>
      </c>
      <c r="K61" s="35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4" t="s">
        <v>36</v>
      </c>
      <c r="B62" s="4">
        <v>1.0</v>
      </c>
      <c r="C62" s="4">
        <v>7.0</v>
      </c>
      <c r="D62" s="4">
        <v>3.0</v>
      </c>
      <c r="E62" s="4">
        <v>1.0</v>
      </c>
      <c r="F62" s="4">
        <v>5.0</v>
      </c>
      <c r="G62" s="4">
        <v>6.0</v>
      </c>
      <c r="H62" s="35"/>
      <c r="I62" s="35">
        <f t="shared" si="5"/>
        <v>23</v>
      </c>
      <c r="J62" s="35">
        <f t="shared" si="6"/>
        <v>89</v>
      </c>
      <c r="K62" s="35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4" t="s">
        <v>37</v>
      </c>
      <c r="B63" s="4">
        <v>1.0</v>
      </c>
      <c r="C63" s="4">
        <v>7.0</v>
      </c>
      <c r="D63" s="4">
        <v>3.0</v>
      </c>
      <c r="E63" s="4">
        <v>1.0</v>
      </c>
      <c r="F63" s="4">
        <v>5.0</v>
      </c>
      <c r="G63" s="4">
        <v>6.0</v>
      </c>
      <c r="H63" s="35"/>
      <c r="I63" s="35">
        <f t="shared" si="5"/>
        <v>23</v>
      </c>
      <c r="J63" s="35">
        <f t="shared" si="6"/>
        <v>89</v>
      </c>
      <c r="K63" s="35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4" t="s">
        <v>38</v>
      </c>
      <c r="B64" s="4">
        <v>8.0</v>
      </c>
      <c r="C64" s="4">
        <v>3.0</v>
      </c>
      <c r="D64" s="4">
        <v>1.0</v>
      </c>
      <c r="E64" s="4">
        <v>5.0</v>
      </c>
      <c r="F64" s="4">
        <v>6.0</v>
      </c>
      <c r="G64" s="35"/>
      <c r="H64" s="35"/>
      <c r="I64" s="35">
        <f t="shared" si="5"/>
        <v>23</v>
      </c>
      <c r="J64" s="35">
        <f t="shared" si="6"/>
        <v>67</v>
      </c>
      <c r="K64" s="35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4" t="s">
        <v>39</v>
      </c>
      <c r="B65" s="4">
        <v>2.0</v>
      </c>
      <c r="C65" s="4">
        <v>9.0</v>
      </c>
      <c r="D65" s="4">
        <v>1.0</v>
      </c>
      <c r="E65" s="4">
        <v>5.0</v>
      </c>
      <c r="F65" s="4">
        <v>6.0</v>
      </c>
      <c r="G65" s="35"/>
      <c r="H65" s="35"/>
      <c r="I65" s="35">
        <f t="shared" si="5"/>
        <v>23</v>
      </c>
      <c r="J65" s="35">
        <f t="shared" si="6"/>
        <v>73</v>
      </c>
      <c r="K65" s="35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4" t="s">
        <v>40</v>
      </c>
      <c r="B66" s="4">
        <v>6.0</v>
      </c>
      <c r="C66" s="4">
        <v>6.0</v>
      </c>
      <c r="D66" s="4">
        <v>5.0</v>
      </c>
      <c r="E66" s="4">
        <v>6.0</v>
      </c>
      <c r="F66" s="35"/>
      <c r="G66" s="35"/>
      <c r="H66" s="35"/>
      <c r="I66" s="35">
        <f t="shared" si="5"/>
        <v>23</v>
      </c>
      <c r="J66" s="35">
        <f t="shared" si="6"/>
        <v>57</v>
      </c>
      <c r="K66" s="35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4" t="s">
        <v>41</v>
      </c>
      <c r="B67" s="4">
        <v>2.0</v>
      </c>
      <c r="C67" s="4">
        <v>6.0</v>
      </c>
      <c r="D67" s="4">
        <v>9.0</v>
      </c>
      <c r="E67" s="4">
        <v>6.0</v>
      </c>
      <c r="F67" s="4"/>
      <c r="G67" s="35"/>
      <c r="H67" s="35"/>
      <c r="I67" s="35">
        <f t="shared" si="5"/>
        <v>23</v>
      </c>
      <c r="J67" s="35">
        <f t="shared" si="6"/>
        <v>65</v>
      </c>
      <c r="K67" s="35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4" t="s">
        <v>42</v>
      </c>
      <c r="B68" s="4">
        <v>3.0</v>
      </c>
      <c r="C68" s="37">
        <v>9.0</v>
      </c>
      <c r="D68" s="37">
        <v>11.0</v>
      </c>
      <c r="E68" s="4"/>
      <c r="F68" s="35"/>
      <c r="G68" s="35"/>
      <c r="H68" s="35"/>
      <c r="I68" s="35">
        <f t="shared" si="5"/>
        <v>23</v>
      </c>
      <c r="J68" s="35">
        <f t="shared" si="6"/>
        <v>54</v>
      </c>
      <c r="K68" s="35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4" t="s">
        <v>43</v>
      </c>
      <c r="B69" s="4">
        <v>3.0</v>
      </c>
      <c r="C69" s="4">
        <v>9.0</v>
      </c>
      <c r="D69" s="4">
        <v>5.0</v>
      </c>
      <c r="E69" s="4">
        <v>6.0</v>
      </c>
      <c r="F69" s="4"/>
      <c r="G69" s="4"/>
      <c r="H69" s="35"/>
      <c r="I69" s="35">
        <f t="shared" si="5"/>
        <v>23</v>
      </c>
      <c r="J69" s="35">
        <f t="shared" si="6"/>
        <v>60</v>
      </c>
      <c r="K69" s="35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4" t="s">
        <v>44</v>
      </c>
      <c r="B70" s="37">
        <v>6.0</v>
      </c>
      <c r="C70" s="37">
        <v>7.0</v>
      </c>
      <c r="D70" s="37">
        <v>10.0</v>
      </c>
      <c r="E70" s="4"/>
      <c r="F70" s="35"/>
      <c r="G70" s="35"/>
      <c r="H70" s="35"/>
      <c r="I70" s="35">
        <f t="shared" si="5"/>
        <v>23</v>
      </c>
      <c r="J70" s="35">
        <f t="shared" si="6"/>
        <v>50</v>
      </c>
      <c r="K70" s="35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4" t="s">
        <v>45</v>
      </c>
      <c r="B71" s="37">
        <v>7.0</v>
      </c>
      <c r="C71" s="37">
        <v>10.0</v>
      </c>
      <c r="D71" s="4">
        <v>2.0</v>
      </c>
      <c r="E71" s="4">
        <v>4.0</v>
      </c>
      <c r="F71" s="35"/>
      <c r="G71" s="35"/>
      <c r="H71" s="35"/>
      <c r="I71" s="35">
        <f t="shared" si="5"/>
        <v>23</v>
      </c>
      <c r="J71" s="35">
        <f t="shared" si="6"/>
        <v>49</v>
      </c>
      <c r="K71" s="35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4" t="s">
        <v>46</v>
      </c>
      <c r="B72" s="4">
        <v>2.0</v>
      </c>
      <c r="C72" s="4">
        <v>11.0</v>
      </c>
      <c r="D72" s="4">
        <v>4.0</v>
      </c>
      <c r="E72" s="4">
        <v>2.0</v>
      </c>
      <c r="F72" s="4">
        <v>4.0</v>
      </c>
      <c r="G72" s="35"/>
      <c r="H72" s="35"/>
      <c r="I72" s="35">
        <f t="shared" si="5"/>
        <v>23</v>
      </c>
      <c r="J72" s="35">
        <f t="shared" si="6"/>
        <v>64</v>
      </c>
      <c r="K72" s="35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4" t="s">
        <v>47</v>
      </c>
      <c r="B73" s="4">
        <v>2.0</v>
      </c>
      <c r="C73" s="4">
        <v>11.0</v>
      </c>
      <c r="D73" s="4">
        <v>4.0</v>
      </c>
      <c r="E73" s="4">
        <v>2.0</v>
      </c>
      <c r="F73" s="4">
        <v>4.0</v>
      </c>
      <c r="G73" s="35"/>
      <c r="H73" s="35"/>
      <c r="I73" s="35">
        <f t="shared" si="5"/>
        <v>23</v>
      </c>
      <c r="J73" s="35">
        <f t="shared" si="6"/>
        <v>64</v>
      </c>
      <c r="K73" s="35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4" t="s">
        <v>48</v>
      </c>
      <c r="B74" s="4">
        <v>2.0</v>
      </c>
      <c r="C74" s="4">
        <v>11.0</v>
      </c>
      <c r="D74" s="4">
        <v>4.0</v>
      </c>
      <c r="E74" s="4">
        <v>2.0</v>
      </c>
      <c r="F74" s="4">
        <v>4.0</v>
      </c>
      <c r="G74" s="35"/>
      <c r="H74" s="35"/>
      <c r="I74" s="35">
        <f t="shared" si="5"/>
        <v>23</v>
      </c>
      <c r="J74" s="35">
        <f t="shared" si="6"/>
        <v>64</v>
      </c>
      <c r="K74" s="35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4" t="s">
        <v>49</v>
      </c>
      <c r="B75" s="4">
        <v>11.0</v>
      </c>
      <c r="C75" s="4">
        <v>2.0</v>
      </c>
      <c r="D75" s="4">
        <v>4.0</v>
      </c>
      <c r="E75" s="4">
        <v>2.0</v>
      </c>
      <c r="F75" s="4">
        <v>4.0</v>
      </c>
      <c r="G75" s="35"/>
      <c r="H75" s="35"/>
      <c r="I75" s="35">
        <f t="shared" si="5"/>
        <v>23</v>
      </c>
      <c r="J75" s="35">
        <f t="shared" si="6"/>
        <v>55</v>
      </c>
      <c r="K75" s="35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4" t="s">
        <v>50</v>
      </c>
      <c r="B76" s="4">
        <v>1.0</v>
      </c>
      <c r="C76" s="4">
        <v>10.0</v>
      </c>
      <c r="D76" s="4">
        <v>1.0</v>
      </c>
      <c r="E76" s="4">
        <v>5.0</v>
      </c>
      <c r="F76" s="4">
        <v>2.0</v>
      </c>
      <c r="G76" s="4">
        <v>4.0</v>
      </c>
      <c r="H76" s="35"/>
      <c r="I76" s="35">
        <f t="shared" si="5"/>
        <v>23</v>
      </c>
      <c r="J76" s="35">
        <f t="shared" si="6"/>
        <v>78</v>
      </c>
      <c r="K76" s="35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4" t="s">
        <v>51</v>
      </c>
      <c r="B77" s="4">
        <v>2.0</v>
      </c>
      <c r="C77" s="4">
        <v>11.0</v>
      </c>
      <c r="D77" s="4">
        <v>4.0</v>
      </c>
      <c r="E77" s="4">
        <v>2.0</v>
      </c>
      <c r="F77" s="4">
        <v>4.0</v>
      </c>
      <c r="G77" s="4"/>
      <c r="H77" s="35"/>
      <c r="I77" s="35">
        <f t="shared" si="5"/>
        <v>23</v>
      </c>
      <c r="J77" s="35">
        <f t="shared" si="6"/>
        <v>64</v>
      </c>
      <c r="K77" s="35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4" t="s">
        <v>52</v>
      </c>
      <c r="B78" s="4">
        <v>1.0</v>
      </c>
      <c r="C78" s="4">
        <v>10.0</v>
      </c>
      <c r="D78" s="4">
        <v>1.0</v>
      </c>
      <c r="E78" s="4">
        <v>5.0</v>
      </c>
      <c r="F78" s="4">
        <v>2.0</v>
      </c>
      <c r="G78" s="4">
        <v>4.0</v>
      </c>
      <c r="H78" s="35"/>
      <c r="I78" s="35">
        <f t="shared" si="5"/>
        <v>23</v>
      </c>
      <c r="J78" s="35">
        <f t="shared" si="6"/>
        <v>78</v>
      </c>
      <c r="K78" s="35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4" t="s">
        <v>53</v>
      </c>
      <c r="B79" s="4">
        <v>1.0</v>
      </c>
      <c r="C79" s="4">
        <v>10.0</v>
      </c>
      <c r="D79" s="4">
        <v>1.0</v>
      </c>
      <c r="E79" s="4">
        <v>5.0</v>
      </c>
      <c r="F79" s="4">
        <v>2.0</v>
      </c>
      <c r="G79" s="4">
        <v>4.0</v>
      </c>
      <c r="H79" s="35"/>
      <c r="I79" s="35">
        <f t="shared" si="5"/>
        <v>23</v>
      </c>
      <c r="J79" s="35">
        <f t="shared" si="6"/>
        <v>78</v>
      </c>
      <c r="K79" s="35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4" t="s">
        <v>54</v>
      </c>
      <c r="B80" s="4">
        <v>1.0</v>
      </c>
      <c r="C80" s="4">
        <v>10.0</v>
      </c>
      <c r="D80" s="4">
        <v>1.0</v>
      </c>
      <c r="E80" s="4">
        <v>5.0</v>
      </c>
      <c r="F80" s="4">
        <v>2.0</v>
      </c>
      <c r="G80" s="4">
        <v>4.0</v>
      </c>
      <c r="H80" s="35"/>
      <c r="I80" s="35">
        <f t="shared" si="5"/>
        <v>23</v>
      </c>
      <c r="J80" s="35">
        <f t="shared" si="6"/>
        <v>78</v>
      </c>
      <c r="K80" s="35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4" t="s">
        <v>55</v>
      </c>
      <c r="B81" s="4">
        <v>1.0</v>
      </c>
      <c r="C81" s="4">
        <v>10.0</v>
      </c>
      <c r="D81" s="4">
        <v>1.0</v>
      </c>
      <c r="E81" s="4">
        <v>5.0</v>
      </c>
      <c r="F81" s="4">
        <v>2.0</v>
      </c>
      <c r="G81" s="4">
        <v>4.0</v>
      </c>
      <c r="H81" s="35"/>
      <c r="I81" s="35">
        <f t="shared" si="5"/>
        <v>23</v>
      </c>
      <c r="J81" s="35">
        <f t="shared" si="6"/>
        <v>78</v>
      </c>
      <c r="K81" s="35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4" t="s">
        <v>56</v>
      </c>
      <c r="B82" s="4">
        <v>1.0</v>
      </c>
      <c r="C82" s="4">
        <v>10.0</v>
      </c>
      <c r="D82" s="4">
        <v>1.0</v>
      </c>
      <c r="E82" s="4">
        <v>5.0</v>
      </c>
      <c r="F82" s="4">
        <v>2.0</v>
      </c>
      <c r="G82" s="4">
        <v>4.0</v>
      </c>
      <c r="H82" s="35"/>
      <c r="I82" s="35">
        <f t="shared" si="5"/>
        <v>23</v>
      </c>
      <c r="J82" s="35">
        <f t="shared" si="6"/>
        <v>78</v>
      </c>
      <c r="K82" s="35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5" t="s">
        <v>70</v>
      </c>
      <c r="B85" s="2"/>
      <c r="C85" s="2"/>
      <c r="D85" s="2"/>
      <c r="E85" s="2"/>
      <c r="F85" s="2"/>
      <c r="G85" s="2"/>
      <c r="H85" s="2"/>
      <c r="I85" s="2"/>
      <c r="J85" s="2"/>
      <c r="K85" s="3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5"/>
      <c r="B86" s="4" t="s">
        <v>28</v>
      </c>
      <c r="C86" s="4" t="s">
        <v>29</v>
      </c>
      <c r="D86" s="4" t="s">
        <v>30</v>
      </c>
      <c r="E86" s="4" t="s">
        <v>31</v>
      </c>
      <c r="F86" s="4" t="s">
        <v>32</v>
      </c>
      <c r="G86" s="4" t="s">
        <v>59</v>
      </c>
      <c r="H86" s="4" t="s">
        <v>60</v>
      </c>
      <c r="I86" s="35"/>
      <c r="J86" s="35"/>
      <c r="K86" s="35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4" t="s">
        <v>33</v>
      </c>
      <c r="B87" s="4">
        <v>1.0</v>
      </c>
      <c r="C87" s="4">
        <v>9.0</v>
      </c>
      <c r="D87" s="4">
        <v>2.0</v>
      </c>
      <c r="E87" s="4">
        <v>11.0</v>
      </c>
      <c r="F87" s="4"/>
      <c r="G87" s="4"/>
      <c r="H87" s="35"/>
      <c r="I87" s="35">
        <f t="shared" ref="I87:I110" si="7">sum(B87:H87)</f>
        <v>23</v>
      </c>
      <c r="J87" s="35">
        <f t="shared" ref="J87:J110" si="8">B87+C87*2+D87*3+E87*4+F87*5+G87*6+H87*7</f>
        <v>69</v>
      </c>
      <c r="K87" s="35">
        <f>sum(J87:J110)/(24*24)</f>
        <v>2.265625</v>
      </c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4" t="s">
        <v>34</v>
      </c>
      <c r="B88" s="4">
        <v>1.0</v>
      </c>
      <c r="C88" s="4">
        <v>9.0</v>
      </c>
      <c r="D88" s="4">
        <v>2.0</v>
      </c>
      <c r="E88" s="4">
        <v>11.0</v>
      </c>
      <c r="F88" s="4"/>
      <c r="G88" s="4"/>
      <c r="H88" s="35"/>
      <c r="I88" s="35">
        <f t="shared" si="7"/>
        <v>23</v>
      </c>
      <c r="J88" s="35">
        <f t="shared" si="8"/>
        <v>69</v>
      </c>
      <c r="K88" s="35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4" t="s">
        <v>35</v>
      </c>
      <c r="B89" s="4">
        <v>2.0</v>
      </c>
      <c r="C89" s="4">
        <v>10.0</v>
      </c>
      <c r="D89" s="4">
        <v>11.0</v>
      </c>
      <c r="E89" s="4"/>
      <c r="F89" s="4"/>
      <c r="G89" s="4"/>
      <c r="H89" s="35"/>
      <c r="I89" s="35">
        <f t="shared" si="7"/>
        <v>23</v>
      </c>
      <c r="J89" s="35">
        <f t="shared" si="8"/>
        <v>55</v>
      </c>
      <c r="K89" s="35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4" t="s">
        <v>36</v>
      </c>
      <c r="B90" s="4">
        <v>1.0</v>
      </c>
      <c r="C90" s="4">
        <v>9.0</v>
      </c>
      <c r="D90" s="4">
        <v>2.0</v>
      </c>
      <c r="E90" s="4">
        <v>11.0</v>
      </c>
      <c r="F90" s="4"/>
      <c r="G90" s="4"/>
      <c r="H90" s="35"/>
      <c r="I90" s="35">
        <f t="shared" si="7"/>
        <v>23</v>
      </c>
      <c r="J90" s="35">
        <f t="shared" si="8"/>
        <v>69</v>
      </c>
      <c r="K90" s="35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4" t="s">
        <v>37</v>
      </c>
      <c r="B91" s="4">
        <v>1.0</v>
      </c>
      <c r="C91" s="4">
        <v>9.0</v>
      </c>
      <c r="D91" s="4">
        <v>2.0</v>
      </c>
      <c r="E91" s="4">
        <v>11.0</v>
      </c>
      <c r="F91" s="4"/>
      <c r="G91" s="4"/>
      <c r="H91" s="35"/>
      <c r="I91" s="35">
        <f t="shared" si="7"/>
        <v>23</v>
      </c>
      <c r="J91" s="35">
        <f t="shared" si="8"/>
        <v>69</v>
      </c>
      <c r="K91" s="35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4" t="s">
        <v>38</v>
      </c>
      <c r="B92" s="4">
        <v>10.0</v>
      </c>
      <c r="C92" s="4">
        <v>2.0</v>
      </c>
      <c r="D92" s="4">
        <v>11.0</v>
      </c>
      <c r="E92" s="4"/>
      <c r="F92" s="4"/>
      <c r="G92" s="35"/>
      <c r="H92" s="35"/>
      <c r="I92" s="35">
        <f t="shared" si="7"/>
        <v>23</v>
      </c>
      <c r="J92" s="35">
        <f t="shared" si="8"/>
        <v>47</v>
      </c>
      <c r="K92" s="35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4" t="s">
        <v>39</v>
      </c>
      <c r="B93" s="4">
        <v>2.0</v>
      </c>
      <c r="C93" s="4">
        <v>10.0</v>
      </c>
      <c r="D93" s="4">
        <v>11.0</v>
      </c>
      <c r="E93" s="4"/>
      <c r="F93" s="4"/>
      <c r="G93" s="35"/>
      <c r="H93" s="35"/>
      <c r="I93" s="35">
        <f t="shared" si="7"/>
        <v>23</v>
      </c>
      <c r="J93" s="35">
        <f t="shared" si="8"/>
        <v>55</v>
      </c>
      <c r="K93" s="35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4" t="s">
        <v>40</v>
      </c>
      <c r="B94" s="4">
        <v>6.0</v>
      </c>
      <c r="C94" s="4">
        <v>17.0</v>
      </c>
      <c r="D94" s="4"/>
      <c r="E94" s="4"/>
      <c r="F94" s="35"/>
      <c r="G94" s="35"/>
      <c r="H94" s="35"/>
      <c r="I94" s="35">
        <f t="shared" si="7"/>
        <v>23</v>
      </c>
      <c r="J94" s="35">
        <f t="shared" si="8"/>
        <v>40</v>
      </c>
      <c r="K94" s="35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4" t="s">
        <v>41</v>
      </c>
      <c r="B95" s="4">
        <v>3.0</v>
      </c>
      <c r="C95" s="4">
        <v>16.0</v>
      </c>
      <c r="D95" s="4">
        <v>4.0</v>
      </c>
      <c r="E95" s="4"/>
      <c r="F95" s="4"/>
      <c r="G95" s="35"/>
      <c r="H95" s="35"/>
      <c r="I95" s="35">
        <f t="shared" si="7"/>
        <v>23</v>
      </c>
      <c r="J95" s="35">
        <f t="shared" si="8"/>
        <v>47</v>
      </c>
      <c r="K95" s="35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4" t="s">
        <v>42</v>
      </c>
      <c r="B96" s="4">
        <v>5.0</v>
      </c>
      <c r="C96" s="37">
        <v>18.0</v>
      </c>
      <c r="D96" s="37"/>
      <c r="E96" s="4"/>
      <c r="F96" s="35"/>
      <c r="G96" s="35"/>
      <c r="H96" s="35"/>
      <c r="I96" s="35">
        <f t="shared" si="7"/>
        <v>23</v>
      </c>
      <c r="J96" s="35">
        <f t="shared" si="8"/>
        <v>41</v>
      </c>
      <c r="K96" s="35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4" t="s">
        <v>43</v>
      </c>
      <c r="B97" s="4">
        <v>3.0</v>
      </c>
      <c r="C97" s="4">
        <v>9.0</v>
      </c>
      <c r="D97" s="4">
        <v>11.0</v>
      </c>
      <c r="E97" s="4"/>
      <c r="F97" s="4"/>
      <c r="G97" s="4"/>
      <c r="H97" s="35"/>
      <c r="I97" s="35">
        <f t="shared" si="7"/>
        <v>23</v>
      </c>
      <c r="J97" s="35">
        <f t="shared" si="8"/>
        <v>54</v>
      </c>
      <c r="K97" s="35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4" t="s">
        <v>44</v>
      </c>
      <c r="B98" s="37">
        <v>7.0</v>
      </c>
      <c r="C98" s="37">
        <v>16.0</v>
      </c>
      <c r="D98" s="37"/>
      <c r="E98" s="4"/>
      <c r="F98" s="35"/>
      <c r="G98" s="35"/>
      <c r="H98" s="35"/>
      <c r="I98" s="35">
        <f t="shared" si="7"/>
        <v>23</v>
      </c>
      <c r="J98" s="35">
        <f t="shared" si="8"/>
        <v>39</v>
      </c>
      <c r="K98" s="35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4" t="s">
        <v>45</v>
      </c>
      <c r="B99" s="37">
        <v>15.0</v>
      </c>
      <c r="C99" s="37">
        <v>4.0</v>
      </c>
      <c r="D99" s="4">
        <v>4.0</v>
      </c>
      <c r="E99" s="4"/>
      <c r="F99" s="35"/>
      <c r="G99" s="35"/>
      <c r="H99" s="35"/>
      <c r="I99" s="35">
        <f t="shared" si="7"/>
        <v>23</v>
      </c>
      <c r="J99" s="35">
        <f t="shared" si="8"/>
        <v>35</v>
      </c>
      <c r="K99" s="35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4" t="s">
        <v>46</v>
      </c>
      <c r="B100" s="4">
        <v>2.0</v>
      </c>
      <c r="C100" s="4">
        <v>12.0</v>
      </c>
      <c r="D100" s="4">
        <v>5.0</v>
      </c>
      <c r="E100" s="4">
        <v>4.0</v>
      </c>
      <c r="F100" s="4"/>
      <c r="G100" s="35"/>
      <c r="H100" s="35"/>
      <c r="I100" s="35">
        <f t="shared" si="7"/>
        <v>23</v>
      </c>
      <c r="J100" s="35">
        <f t="shared" si="8"/>
        <v>57</v>
      </c>
      <c r="K100" s="35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4" t="s">
        <v>47</v>
      </c>
      <c r="B101" s="4">
        <v>2.0</v>
      </c>
      <c r="C101" s="4">
        <v>12.0</v>
      </c>
      <c r="D101" s="4">
        <v>5.0</v>
      </c>
      <c r="E101" s="4">
        <v>4.0</v>
      </c>
      <c r="F101" s="35"/>
      <c r="G101" s="35"/>
      <c r="H101" s="35"/>
      <c r="I101" s="35">
        <f t="shared" si="7"/>
        <v>23</v>
      </c>
      <c r="J101" s="35">
        <f t="shared" si="8"/>
        <v>57</v>
      </c>
      <c r="K101" s="35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4" t="s">
        <v>48</v>
      </c>
      <c r="B102" s="4">
        <v>2.0</v>
      </c>
      <c r="C102" s="4">
        <v>12.0</v>
      </c>
      <c r="D102" s="4">
        <v>5.0</v>
      </c>
      <c r="E102" s="4">
        <v>4.0</v>
      </c>
      <c r="F102" s="4"/>
      <c r="G102" s="35"/>
      <c r="H102" s="35"/>
      <c r="I102" s="35">
        <f t="shared" si="7"/>
        <v>23</v>
      </c>
      <c r="J102" s="35">
        <f t="shared" si="8"/>
        <v>57</v>
      </c>
      <c r="K102" s="35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4" t="s">
        <v>49</v>
      </c>
      <c r="B103" s="4">
        <v>12.0</v>
      </c>
      <c r="C103" s="4">
        <v>3.0</v>
      </c>
      <c r="D103" s="4">
        <v>4.0</v>
      </c>
      <c r="E103" s="4">
        <v>4.0</v>
      </c>
      <c r="F103" s="4"/>
      <c r="G103" s="35"/>
      <c r="H103" s="35"/>
      <c r="I103" s="35">
        <f t="shared" si="7"/>
        <v>23</v>
      </c>
      <c r="J103" s="35">
        <f t="shared" si="8"/>
        <v>46</v>
      </c>
      <c r="K103" s="35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4" t="s">
        <v>50</v>
      </c>
      <c r="B104" s="4">
        <v>2.0</v>
      </c>
      <c r="C104" s="4">
        <v>12.0</v>
      </c>
      <c r="D104" s="4">
        <v>5.0</v>
      </c>
      <c r="E104" s="4">
        <v>4.0</v>
      </c>
      <c r="F104" s="4"/>
      <c r="G104" s="35"/>
      <c r="H104" s="35"/>
      <c r="I104" s="35">
        <f t="shared" si="7"/>
        <v>23</v>
      </c>
      <c r="J104" s="35">
        <f t="shared" si="8"/>
        <v>57</v>
      </c>
      <c r="K104" s="35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4" t="s">
        <v>51</v>
      </c>
      <c r="B105" s="4">
        <v>2.0</v>
      </c>
      <c r="C105" s="4">
        <v>12.0</v>
      </c>
      <c r="D105" s="4">
        <v>5.0</v>
      </c>
      <c r="E105" s="4">
        <v>4.0</v>
      </c>
      <c r="F105" s="4"/>
      <c r="G105" s="4"/>
      <c r="H105" s="35"/>
      <c r="I105" s="35">
        <f t="shared" si="7"/>
        <v>23</v>
      </c>
      <c r="J105" s="35">
        <f t="shared" si="8"/>
        <v>57</v>
      </c>
      <c r="K105" s="35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4" t="s">
        <v>52</v>
      </c>
      <c r="B106" s="4">
        <v>2.0</v>
      </c>
      <c r="C106" s="4">
        <v>12.0</v>
      </c>
      <c r="D106" s="4">
        <v>5.0</v>
      </c>
      <c r="E106" s="4">
        <v>4.0</v>
      </c>
      <c r="F106" s="4"/>
      <c r="G106" s="4"/>
      <c r="H106" s="35"/>
      <c r="I106" s="35">
        <f t="shared" si="7"/>
        <v>23</v>
      </c>
      <c r="J106" s="35">
        <f t="shared" si="8"/>
        <v>57</v>
      </c>
      <c r="K106" s="35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4" t="s">
        <v>53</v>
      </c>
      <c r="B107" s="4">
        <v>2.0</v>
      </c>
      <c r="C107" s="4">
        <v>12.0</v>
      </c>
      <c r="D107" s="4">
        <v>5.0</v>
      </c>
      <c r="E107" s="4">
        <v>4.0</v>
      </c>
      <c r="F107" s="4"/>
      <c r="G107" s="35"/>
      <c r="H107" s="35"/>
      <c r="I107" s="35">
        <f t="shared" si="7"/>
        <v>23</v>
      </c>
      <c r="J107" s="35">
        <f t="shared" si="8"/>
        <v>57</v>
      </c>
      <c r="K107" s="35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4" t="s">
        <v>54</v>
      </c>
      <c r="B108" s="4">
        <v>2.0</v>
      </c>
      <c r="C108" s="4">
        <v>12.0</v>
      </c>
      <c r="D108" s="4">
        <v>5.0</v>
      </c>
      <c r="E108" s="4">
        <v>4.0</v>
      </c>
      <c r="F108" s="4"/>
      <c r="G108" s="4"/>
      <c r="H108" s="35"/>
      <c r="I108" s="35">
        <f t="shared" si="7"/>
        <v>23</v>
      </c>
      <c r="J108" s="35">
        <f t="shared" si="8"/>
        <v>57</v>
      </c>
      <c r="K108" s="35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4" t="s">
        <v>55</v>
      </c>
      <c r="B109" s="4">
        <v>2.0</v>
      </c>
      <c r="C109" s="4">
        <v>12.0</v>
      </c>
      <c r="D109" s="4">
        <v>5.0</v>
      </c>
      <c r="E109" s="4">
        <v>4.0</v>
      </c>
      <c r="F109" s="4"/>
      <c r="G109" s="4"/>
      <c r="H109" s="35"/>
      <c r="I109" s="35">
        <f t="shared" si="7"/>
        <v>23</v>
      </c>
      <c r="J109" s="35">
        <f t="shared" si="8"/>
        <v>57</v>
      </c>
      <c r="K109" s="35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4" t="s">
        <v>56</v>
      </c>
      <c r="B110" s="4">
        <v>2.0</v>
      </c>
      <c r="C110" s="4">
        <v>12.0</v>
      </c>
      <c r="D110" s="4">
        <v>5.0</v>
      </c>
      <c r="E110" s="4">
        <v>4.0</v>
      </c>
      <c r="F110" s="4"/>
      <c r="G110" s="4"/>
      <c r="H110" s="35"/>
      <c r="I110" s="35">
        <f t="shared" si="7"/>
        <v>23</v>
      </c>
      <c r="J110" s="35">
        <f t="shared" si="8"/>
        <v>57</v>
      </c>
      <c r="K110" s="35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4">
    <mergeCell ref="A1:K1"/>
    <mergeCell ref="A29:K29"/>
    <mergeCell ref="A57:K57"/>
    <mergeCell ref="A85:K85"/>
  </mergeCells>
  <drawing r:id="rId1"/>
</worksheet>
</file>