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san\Documents\Skripsi\Ref Sea Toll\Data dan Model\"/>
    </mc:Choice>
  </mc:AlternateContent>
  <xr:revisionPtr revIDLastSave="0" documentId="13_ncr:1_{CAA34EF3-AAE1-4A3D-AE97-62301BC34AB8}" xr6:coauthVersionLast="47" xr6:coauthVersionMax="47" xr10:uidLastSave="{00000000-0000-0000-0000-000000000000}"/>
  <bookViews>
    <workbookView xWindow="2760" yWindow="2100" windowWidth="21600" windowHeight="11835" activeTab="4" xr2:uid="{AA40D448-B584-41DC-A9D1-60064DB4A049}"/>
  </bookViews>
  <sheets>
    <sheet name="Keterangan " sheetId="1" r:id="rId1"/>
    <sheet name="Flow" sheetId="2" r:id="rId2"/>
    <sheet name="ALokasi Pelabuhan " sheetId="4" r:id="rId3"/>
    <sheet name="Flow2 " sheetId="5" r:id="rId4"/>
    <sheet name="Flow3" sheetId="6" r:id="rId5"/>
    <sheet name="FlowPelabuhan(Teu)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 a="1"/>
  <c r="B2" i="3" s="1"/>
  <c r="C2" i="3" a="1"/>
  <c r="C2" i="3" s="1"/>
  <c r="D2" i="3" a="1"/>
  <c r="D2" i="3"/>
  <c r="E2" i="3" a="1"/>
  <c r="E2" i="3" s="1"/>
  <c r="F2" i="3" a="1"/>
  <c r="F2" i="3"/>
  <c r="G2" i="3" a="1"/>
  <c r="G2" i="3" s="1"/>
  <c r="H2" i="3" a="1"/>
  <c r="H2" i="3"/>
  <c r="I2" i="3" a="1"/>
  <c r="I2" i="3" s="1"/>
  <c r="J2" i="3" a="1"/>
  <c r="J2" i="3"/>
  <c r="K2" i="3" a="1"/>
  <c r="K2" i="3" s="1"/>
  <c r="L2" i="3" a="1"/>
  <c r="L2" i="3"/>
  <c r="M2" i="3" a="1"/>
  <c r="M2" i="3" s="1"/>
  <c r="N2" i="3" a="1"/>
  <c r="N2" i="3"/>
  <c r="O2" i="3" a="1"/>
  <c r="O2" i="3" s="1"/>
  <c r="P2" i="3" a="1"/>
  <c r="P2" i="3"/>
  <c r="Q2" i="3" a="1"/>
  <c r="Q2" i="3" s="1"/>
  <c r="R2" i="3" a="1"/>
  <c r="R2" i="3"/>
  <c r="S2" i="3" a="1"/>
  <c r="S2" i="3" s="1"/>
  <c r="T2" i="3" a="1"/>
  <c r="T2" i="3"/>
  <c r="U2" i="3" a="1"/>
  <c r="U2" i="3" s="1"/>
  <c r="V2" i="3" a="1"/>
  <c r="V2" i="3"/>
  <c r="W2" i="3" a="1"/>
  <c r="W2" i="3" s="1"/>
  <c r="X2" i="3" a="1"/>
  <c r="X2" i="3"/>
  <c r="Y2" i="3" a="1"/>
  <c r="Y2" i="3" s="1"/>
  <c r="C3" i="3" a="1"/>
  <c r="C3" i="3"/>
  <c r="D3" i="3" a="1"/>
  <c r="D3" i="3" s="1"/>
  <c r="E3" i="3" a="1"/>
  <c r="E3" i="3"/>
  <c r="F3" i="3" a="1"/>
  <c r="F3" i="3" s="1"/>
  <c r="G3" i="3" a="1"/>
  <c r="G3" i="3"/>
  <c r="H3" i="3" a="1"/>
  <c r="H3" i="3" s="1"/>
  <c r="I3" i="3" a="1"/>
  <c r="I3" i="3"/>
  <c r="J3" i="3" a="1"/>
  <c r="J3" i="3" s="1"/>
  <c r="K3" i="3" a="1"/>
  <c r="K3" i="3"/>
  <c r="L3" i="3" a="1"/>
  <c r="L3" i="3" s="1"/>
  <c r="M3" i="3" a="1"/>
  <c r="M3" i="3"/>
  <c r="N3" i="3" a="1"/>
  <c r="N3" i="3" s="1"/>
  <c r="O3" i="3" a="1"/>
  <c r="O3" i="3"/>
  <c r="P3" i="3" a="1"/>
  <c r="P3" i="3" s="1"/>
  <c r="Q3" i="3" a="1"/>
  <c r="Q3" i="3"/>
  <c r="R3" i="3" a="1"/>
  <c r="R3" i="3" s="1"/>
  <c r="S3" i="3" a="1"/>
  <c r="S3" i="3"/>
  <c r="T3" i="3" a="1"/>
  <c r="T3" i="3" s="1"/>
  <c r="U3" i="3" a="1"/>
  <c r="U3" i="3"/>
  <c r="V3" i="3" a="1"/>
  <c r="V3" i="3" s="1"/>
  <c r="W3" i="3" a="1"/>
  <c r="W3" i="3"/>
  <c r="X3" i="3" a="1"/>
  <c r="X3" i="3" s="1"/>
  <c r="Y3" i="3" a="1"/>
  <c r="Y3" i="3"/>
  <c r="C4" i="3" a="1"/>
  <c r="C4" i="3" s="1"/>
  <c r="D4" i="3" a="1"/>
  <c r="D4" i="3"/>
  <c r="E4" i="3" a="1"/>
  <c r="E4" i="3" s="1"/>
  <c r="F4" i="3" a="1"/>
  <c r="F4" i="3"/>
  <c r="G4" i="3" a="1"/>
  <c r="G4" i="3" s="1"/>
  <c r="H4" i="3" a="1"/>
  <c r="H4" i="3"/>
  <c r="I4" i="3" a="1"/>
  <c r="I4" i="3" s="1"/>
  <c r="J4" i="3" a="1"/>
  <c r="J4" i="3"/>
  <c r="K4" i="3" a="1"/>
  <c r="K4" i="3" s="1"/>
  <c r="L4" i="3" a="1"/>
  <c r="L4" i="3"/>
  <c r="M4" i="3" a="1"/>
  <c r="M4" i="3" s="1"/>
  <c r="N4" i="3" a="1"/>
  <c r="N4" i="3"/>
  <c r="O4" i="3" a="1"/>
  <c r="O4" i="3" s="1"/>
  <c r="P4" i="3" a="1"/>
  <c r="P4" i="3"/>
  <c r="Q4" i="3" a="1"/>
  <c r="Q4" i="3" s="1"/>
  <c r="R4" i="3" a="1"/>
  <c r="R4" i="3"/>
  <c r="S4" i="3" a="1"/>
  <c r="S4" i="3" s="1"/>
  <c r="T4" i="3" a="1"/>
  <c r="T4" i="3"/>
  <c r="U4" i="3" a="1"/>
  <c r="U4" i="3" s="1"/>
  <c r="V4" i="3" a="1"/>
  <c r="V4" i="3"/>
  <c r="W4" i="3" a="1"/>
  <c r="W4" i="3" s="1"/>
  <c r="X4" i="3" a="1"/>
  <c r="X4" i="3"/>
  <c r="Y4" i="3" a="1"/>
  <c r="Y4" i="3" s="1"/>
  <c r="C5" i="3" a="1"/>
  <c r="C5" i="3"/>
  <c r="D5" i="3" a="1"/>
  <c r="D5" i="3" s="1"/>
  <c r="E5" i="3" a="1"/>
  <c r="E5" i="3"/>
  <c r="F5" i="3" a="1"/>
  <c r="F5" i="3" s="1"/>
  <c r="G5" i="3" a="1"/>
  <c r="G5" i="3"/>
  <c r="H5" i="3" a="1"/>
  <c r="H5" i="3" s="1"/>
  <c r="I5" i="3" a="1"/>
  <c r="I5" i="3"/>
  <c r="J5" i="3" a="1"/>
  <c r="J5" i="3" s="1"/>
  <c r="K5" i="3" a="1"/>
  <c r="K5" i="3"/>
  <c r="L5" i="3" a="1"/>
  <c r="L5" i="3" s="1"/>
  <c r="M5" i="3" a="1"/>
  <c r="M5" i="3"/>
  <c r="N5" i="3" a="1"/>
  <c r="N5" i="3" s="1"/>
  <c r="O5" i="3" a="1"/>
  <c r="O5" i="3"/>
  <c r="P5" i="3" a="1"/>
  <c r="P5" i="3" s="1"/>
  <c r="Q5" i="3" a="1"/>
  <c r="Q5" i="3"/>
  <c r="R5" i="3" a="1"/>
  <c r="R5" i="3" s="1"/>
  <c r="S5" i="3" a="1"/>
  <c r="S5" i="3"/>
  <c r="T5" i="3" a="1"/>
  <c r="T5" i="3" s="1"/>
  <c r="U5" i="3" a="1"/>
  <c r="U5" i="3"/>
  <c r="V5" i="3" a="1"/>
  <c r="V5" i="3" s="1"/>
  <c r="W5" i="3" a="1"/>
  <c r="W5" i="3"/>
  <c r="X5" i="3" a="1"/>
  <c r="X5" i="3" s="1"/>
  <c r="Y5" i="3" a="1"/>
  <c r="Y5" i="3"/>
  <c r="C6" i="3" a="1"/>
  <c r="C6" i="3" s="1"/>
  <c r="D6" i="3" a="1"/>
  <c r="D6" i="3"/>
  <c r="E6" i="3" a="1"/>
  <c r="E6" i="3" s="1"/>
  <c r="F6" i="3" a="1"/>
  <c r="F6" i="3"/>
  <c r="G6" i="3" a="1"/>
  <c r="G6" i="3" s="1"/>
  <c r="H6" i="3" a="1"/>
  <c r="H6" i="3"/>
  <c r="I6" i="3" a="1"/>
  <c r="I6" i="3" s="1"/>
  <c r="J6" i="3" a="1"/>
  <c r="J6" i="3"/>
  <c r="K6" i="3" a="1"/>
  <c r="K6" i="3" s="1"/>
  <c r="L6" i="3" a="1"/>
  <c r="L6" i="3"/>
  <c r="M6" i="3" a="1"/>
  <c r="M6" i="3" s="1"/>
  <c r="N6" i="3" a="1"/>
  <c r="N6" i="3"/>
  <c r="O6" i="3" a="1"/>
  <c r="O6" i="3" s="1"/>
  <c r="P6" i="3" a="1"/>
  <c r="P6" i="3"/>
  <c r="Q6" i="3" a="1"/>
  <c r="Q6" i="3" s="1"/>
  <c r="R6" i="3" a="1"/>
  <c r="R6" i="3"/>
  <c r="S6" i="3" a="1"/>
  <c r="S6" i="3" s="1"/>
  <c r="T6" i="3" a="1"/>
  <c r="T6" i="3"/>
  <c r="U6" i="3" a="1"/>
  <c r="U6" i="3" s="1"/>
  <c r="V6" i="3" a="1"/>
  <c r="V6" i="3"/>
  <c r="W6" i="3" a="1"/>
  <c r="W6" i="3" s="1"/>
  <c r="X6" i="3" a="1"/>
  <c r="X6" i="3"/>
  <c r="Y6" i="3" a="1"/>
  <c r="Y6" i="3" s="1"/>
  <c r="C7" i="3" a="1"/>
  <c r="C7" i="3"/>
  <c r="D7" i="3" a="1"/>
  <c r="D7" i="3" s="1"/>
  <c r="E7" i="3" a="1"/>
  <c r="E7" i="3"/>
  <c r="F7" i="3" a="1"/>
  <c r="F7" i="3" s="1"/>
  <c r="G7" i="3" a="1"/>
  <c r="G7" i="3"/>
  <c r="H7" i="3" a="1"/>
  <c r="H7" i="3" s="1"/>
  <c r="I7" i="3" a="1"/>
  <c r="I7" i="3"/>
  <c r="J7" i="3" a="1"/>
  <c r="J7" i="3" s="1"/>
  <c r="K7" i="3" a="1"/>
  <c r="K7" i="3"/>
  <c r="L7" i="3" a="1"/>
  <c r="L7" i="3" s="1"/>
  <c r="M7" i="3" a="1"/>
  <c r="M7" i="3"/>
  <c r="N7" i="3" a="1"/>
  <c r="N7" i="3" s="1"/>
  <c r="O7" i="3" a="1"/>
  <c r="O7" i="3"/>
  <c r="P7" i="3" a="1"/>
  <c r="P7" i="3" s="1"/>
  <c r="Q7" i="3" a="1"/>
  <c r="Q7" i="3"/>
  <c r="R7" i="3" a="1"/>
  <c r="R7" i="3" s="1"/>
  <c r="S7" i="3" a="1"/>
  <c r="S7" i="3"/>
  <c r="T7" i="3" a="1"/>
  <c r="T7" i="3" s="1"/>
  <c r="U7" i="3" a="1"/>
  <c r="U7" i="3"/>
  <c r="V7" i="3" a="1"/>
  <c r="V7" i="3" s="1"/>
  <c r="W7" i="3" a="1"/>
  <c r="W7" i="3"/>
  <c r="X7" i="3" a="1"/>
  <c r="X7" i="3" s="1"/>
  <c r="Y7" i="3" a="1"/>
  <c r="Y7" i="3"/>
  <c r="C8" i="3" a="1"/>
  <c r="C8" i="3" s="1"/>
  <c r="D8" i="3" a="1"/>
  <c r="D8" i="3"/>
  <c r="E8" i="3" a="1"/>
  <c r="E8" i="3" s="1"/>
  <c r="F8" i="3" a="1"/>
  <c r="F8" i="3" s="1"/>
  <c r="G8" i="3" a="1"/>
  <c r="G8" i="3" s="1"/>
  <c r="H8" i="3" a="1"/>
  <c r="H8" i="3"/>
  <c r="I8" i="3" a="1"/>
  <c r="I8" i="3" s="1"/>
  <c r="J8" i="3" a="1"/>
  <c r="J8" i="3"/>
  <c r="K8" i="3" a="1"/>
  <c r="K8" i="3" s="1"/>
  <c r="L8" i="3" a="1"/>
  <c r="L8" i="3"/>
  <c r="M8" i="3" a="1"/>
  <c r="M8" i="3" s="1"/>
  <c r="N8" i="3" a="1"/>
  <c r="N8" i="3" s="1"/>
  <c r="O8" i="3" a="1"/>
  <c r="O8" i="3" s="1"/>
  <c r="P8" i="3" a="1"/>
  <c r="P8" i="3"/>
  <c r="Q8" i="3" a="1"/>
  <c r="Q8" i="3" s="1"/>
  <c r="R8" i="3" a="1"/>
  <c r="R8" i="3" s="1"/>
  <c r="S8" i="3" a="1"/>
  <c r="S8" i="3" s="1"/>
  <c r="T8" i="3" a="1"/>
  <c r="T8" i="3"/>
  <c r="U8" i="3" a="1"/>
  <c r="U8" i="3" s="1"/>
  <c r="V8" i="3" a="1"/>
  <c r="V8" i="3" s="1"/>
  <c r="W8" i="3" a="1"/>
  <c r="W8" i="3" s="1"/>
  <c r="X8" i="3" a="1"/>
  <c r="X8" i="3"/>
  <c r="Y8" i="3" a="1"/>
  <c r="Y8" i="3" s="1"/>
  <c r="C9" i="3" a="1"/>
  <c r="C9" i="3" s="1"/>
  <c r="D9" i="3" a="1"/>
  <c r="D9" i="3" s="1"/>
  <c r="E9" i="3" a="1"/>
  <c r="E9" i="3" s="1"/>
  <c r="F9" i="3" a="1"/>
  <c r="F9" i="3" s="1"/>
  <c r="G9" i="3" a="1"/>
  <c r="G9" i="3" s="1"/>
  <c r="H9" i="3" a="1"/>
  <c r="H9" i="3" s="1"/>
  <c r="I9" i="3" a="1"/>
  <c r="I9" i="3"/>
  <c r="J9" i="3" a="1"/>
  <c r="J9" i="3" s="1"/>
  <c r="K9" i="3" a="1"/>
  <c r="K9" i="3" s="1"/>
  <c r="L9" i="3" a="1"/>
  <c r="L9" i="3" s="1"/>
  <c r="M9" i="3" a="1"/>
  <c r="M9" i="3" s="1"/>
  <c r="N9" i="3" a="1"/>
  <c r="N9" i="3"/>
  <c r="O9" i="3" a="1"/>
  <c r="O9" i="3" s="1"/>
  <c r="P9" i="3" a="1"/>
  <c r="P9" i="3" s="1"/>
  <c r="Q9" i="3" a="1"/>
  <c r="Q9" i="3" s="1"/>
  <c r="R9" i="3" a="1"/>
  <c r="R9" i="3"/>
  <c r="S9" i="3" a="1"/>
  <c r="S9" i="3" s="1"/>
  <c r="T9" i="3" a="1"/>
  <c r="T9" i="3" s="1"/>
  <c r="U9" i="3" a="1"/>
  <c r="U9" i="3" s="1"/>
  <c r="V9" i="3" a="1"/>
  <c r="V9" i="3"/>
  <c r="W9" i="3" a="1"/>
  <c r="W9" i="3" s="1"/>
  <c r="X9" i="3" a="1"/>
  <c r="X9" i="3" s="1"/>
  <c r="Y9" i="3" a="1"/>
  <c r="Y9" i="3" s="1"/>
  <c r="C10" i="3" a="1"/>
  <c r="C10" i="3"/>
  <c r="D10" i="3" a="1"/>
  <c r="D10" i="3" s="1"/>
  <c r="E10" i="3" a="1"/>
  <c r="E10" i="3" s="1"/>
  <c r="F10" i="3" a="1"/>
  <c r="F10" i="3" s="1"/>
  <c r="G10" i="3" a="1"/>
  <c r="G10" i="3"/>
  <c r="H10" i="3" a="1"/>
  <c r="H10" i="3" s="1"/>
  <c r="I10" i="3" a="1"/>
  <c r="I10" i="3" s="1"/>
  <c r="J10" i="3" a="1"/>
  <c r="J10" i="3" s="1"/>
  <c r="K10" i="3" a="1"/>
  <c r="K10" i="3"/>
  <c r="L10" i="3" a="1"/>
  <c r="L10" i="3" s="1"/>
  <c r="M10" i="3" a="1"/>
  <c r="M10" i="3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Y10" i="3" a="1"/>
  <c r="Y10" i="3" s="1"/>
  <c r="C11" i="3" a="1"/>
  <c r="C11" i="3" s="1"/>
  <c r="D11" i="3" a="1"/>
  <c r="D11" i="3"/>
  <c r="E11" i="3" a="1"/>
  <c r="E11" i="3" s="1"/>
  <c r="F11" i="3" a="1"/>
  <c r="F11" i="3" s="1"/>
  <c r="G11" i="3" a="1"/>
  <c r="G11" i="3" s="1"/>
  <c r="H11" i="3" a="1"/>
  <c r="H11" i="3" s="1"/>
  <c r="I11" i="3" a="1"/>
  <c r="I11" i="3" s="1"/>
  <c r="J11" i="3" a="1"/>
  <c r="J11" i="3" s="1"/>
  <c r="K11" i="3" a="1"/>
  <c r="K11" i="3" s="1"/>
  <c r="L11" i="3" a="1"/>
  <c r="L11" i="3"/>
  <c r="M11" i="3" a="1"/>
  <c r="M11" i="3" s="1"/>
  <c r="N11" i="3" a="1"/>
  <c r="N11" i="3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/>
  <c r="U11" i="3" a="1"/>
  <c r="U11" i="3" s="1"/>
  <c r="V11" i="3" a="1"/>
  <c r="V11" i="3"/>
  <c r="W11" i="3" a="1"/>
  <c r="W11" i="3" s="1"/>
  <c r="X11" i="3" a="1"/>
  <c r="X11" i="3" s="1"/>
  <c r="Y11" i="3" a="1"/>
  <c r="Y11" i="3" s="1"/>
  <c r="C12" i="3" a="1"/>
  <c r="C12" i="3" s="1"/>
  <c r="D12" i="3" a="1"/>
  <c r="D12" i="3" s="1"/>
  <c r="E12" i="3" a="1"/>
  <c r="E12" i="3"/>
  <c r="F12" i="3" a="1"/>
  <c r="F12" i="3" s="1"/>
  <c r="G12" i="3" a="1"/>
  <c r="G12" i="3"/>
  <c r="H12" i="3" a="1"/>
  <c r="H12" i="3" s="1"/>
  <c r="I12" i="3" a="1"/>
  <c r="I12" i="3" s="1"/>
  <c r="J12" i="3" a="1"/>
  <c r="J12" i="3" s="1"/>
  <c r="K12" i="3" a="1"/>
  <c r="K12" i="3" s="1"/>
  <c r="L12" i="3" a="1"/>
  <c r="L12" i="3" s="1"/>
  <c r="M12" i="3" a="1"/>
  <c r="M12" i="3"/>
  <c r="N12" i="3" a="1"/>
  <c r="N12" i="3" s="1"/>
  <c r="O12" i="3" a="1"/>
  <c r="O12" i="3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/>
  <c r="V12" i="3" a="1"/>
  <c r="V12" i="3" s="1"/>
  <c r="W12" i="3" a="1"/>
  <c r="W12" i="3"/>
  <c r="X12" i="3" a="1"/>
  <c r="X12" i="3" s="1"/>
  <c r="Y12" i="3" a="1"/>
  <c r="Y12" i="3" s="1"/>
  <c r="C13" i="3" a="1"/>
  <c r="C13" i="3" s="1"/>
  <c r="D13" i="3" a="1"/>
  <c r="D13" i="3" s="1"/>
  <c r="E13" i="3" a="1"/>
  <c r="E13" i="3" s="1"/>
  <c r="F13" i="3" a="1"/>
  <c r="F13" i="3"/>
  <c r="G13" i="3" a="1"/>
  <c r="G13" i="3" s="1"/>
  <c r="H13" i="3" a="1"/>
  <c r="H13" i="3"/>
  <c r="I13" i="3" a="1"/>
  <c r="I13" i="3" s="1"/>
  <c r="J13" i="3" a="1"/>
  <c r="J13" i="3" s="1"/>
  <c r="K13" i="3" a="1"/>
  <c r="K13" i="3" s="1"/>
  <c r="L13" i="3" a="1"/>
  <c r="L13" i="3" s="1"/>
  <c r="M13" i="3" a="1"/>
  <c r="M13" i="3" s="1"/>
  <c r="N13" i="3" a="1"/>
  <c r="N13" i="3"/>
  <c r="O13" i="3" a="1"/>
  <c r="O13" i="3" s="1"/>
  <c r="P13" i="3" a="1"/>
  <c r="P13" i="3"/>
  <c r="Q13" i="3" a="1"/>
  <c r="Q13" i="3" s="1"/>
  <c r="R13" i="3" a="1"/>
  <c r="R13" i="3" s="1"/>
  <c r="S13" i="3" a="1"/>
  <c r="S13" i="3" s="1"/>
  <c r="T13" i="3" a="1"/>
  <c r="T13" i="3" s="1"/>
  <c r="U13" i="3" a="1"/>
  <c r="U13" i="3" s="1"/>
  <c r="V13" i="3" a="1"/>
  <c r="V13" i="3"/>
  <c r="W13" i="3" a="1"/>
  <c r="W13" i="3" s="1"/>
  <c r="X13" i="3" a="1"/>
  <c r="X13" i="3"/>
  <c r="Y13" i="3" a="1"/>
  <c r="Y13" i="3" s="1"/>
  <c r="C14" i="3" a="1"/>
  <c r="C14" i="3" s="1"/>
  <c r="D14" i="3" a="1"/>
  <c r="D14" i="3" s="1"/>
  <c r="E14" i="3" a="1"/>
  <c r="E14" i="3" s="1"/>
  <c r="F14" i="3" a="1"/>
  <c r="F14" i="3" s="1"/>
  <c r="G14" i="3" a="1"/>
  <c r="G14" i="3"/>
  <c r="H14" i="3" a="1"/>
  <c r="H14" i="3" s="1"/>
  <c r="I14" i="3" a="1"/>
  <c r="I14" i="3"/>
  <c r="J14" i="3" a="1"/>
  <c r="J14" i="3" s="1"/>
  <c r="K14" i="3" a="1"/>
  <c r="K14" i="3" s="1"/>
  <c r="L14" i="3" a="1"/>
  <c r="L14" i="3" s="1"/>
  <c r="M14" i="3" a="1"/>
  <c r="M14" i="3" s="1"/>
  <c r="N14" i="3" a="1"/>
  <c r="N14" i="3" s="1"/>
  <c r="O14" i="3" a="1"/>
  <c r="O14" i="3"/>
  <c r="P14" i="3" a="1"/>
  <c r="P14" i="3" s="1"/>
  <c r="Q14" i="3" a="1"/>
  <c r="Q14" i="3"/>
  <c r="R14" i="3" a="1"/>
  <c r="R14" i="3" s="1"/>
  <c r="S14" i="3" a="1"/>
  <c r="S14" i="3" s="1"/>
  <c r="T14" i="3" a="1"/>
  <c r="T14" i="3" s="1"/>
  <c r="U14" i="3" a="1"/>
  <c r="U14" i="3" s="1"/>
  <c r="V14" i="3" a="1"/>
  <c r="V14" i="3" s="1"/>
  <c r="W14" i="3" a="1"/>
  <c r="W14" i="3"/>
  <c r="X14" i="3" a="1"/>
  <c r="X14" i="3" s="1"/>
  <c r="Y14" i="3" a="1"/>
  <c r="Y14" i="3"/>
  <c r="C15" i="3" a="1"/>
  <c r="C15" i="3" s="1"/>
  <c r="D15" i="3" a="1"/>
  <c r="D15" i="3" s="1"/>
  <c r="E15" i="3" a="1"/>
  <c r="E15" i="3" s="1"/>
  <c r="F15" i="3" a="1"/>
  <c r="F15" i="3" s="1"/>
  <c r="G15" i="3" a="1"/>
  <c r="G15" i="3" s="1"/>
  <c r="H15" i="3" a="1"/>
  <c r="H15" i="3"/>
  <c r="I15" i="3" a="1"/>
  <c r="I15" i="3" s="1"/>
  <c r="J15" i="3" a="1"/>
  <c r="J15" i="3"/>
  <c r="K15" i="3" a="1"/>
  <c r="K15" i="3" s="1"/>
  <c r="L15" i="3" a="1"/>
  <c r="L15" i="3" s="1"/>
  <c r="M15" i="3" a="1"/>
  <c r="M15" i="3" s="1"/>
  <c r="N15" i="3" a="1"/>
  <c r="N15" i="3" s="1"/>
  <c r="O15" i="3" a="1"/>
  <c r="O15" i="3" s="1"/>
  <c r="P15" i="3" a="1"/>
  <c r="P15" i="3"/>
  <c r="Q15" i="3" a="1"/>
  <c r="Q15" i="3" s="1"/>
  <c r="R15" i="3" a="1"/>
  <c r="R15" i="3"/>
  <c r="S15" i="3" a="1"/>
  <c r="S15" i="3" s="1"/>
  <c r="T15" i="3" a="1"/>
  <c r="T15" i="3" s="1"/>
  <c r="U15" i="3" a="1"/>
  <c r="U15" i="3" s="1"/>
  <c r="V15" i="3" a="1"/>
  <c r="V15" i="3" s="1"/>
  <c r="W15" i="3" a="1"/>
  <c r="W15" i="3" s="1"/>
  <c r="X15" i="3" a="1"/>
  <c r="X15" i="3"/>
  <c r="Y15" i="3" a="1"/>
  <c r="Y15" i="3" s="1"/>
  <c r="C16" i="3" a="1"/>
  <c r="C16" i="3"/>
  <c r="D16" i="3" a="1"/>
  <c r="D16" i="3" s="1"/>
  <c r="E16" i="3" a="1"/>
  <c r="E16" i="3" s="1"/>
  <c r="F16" i="3" a="1"/>
  <c r="F16" i="3" s="1"/>
  <c r="G16" i="3" a="1"/>
  <c r="G16" i="3" s="1"/>
  <c r="H16" i="3" a="1"/>
  <c r="H16" i="3" s="1"/>
  <c r="I16" i="3" a="1"/>
  <c r="I16" i="3" s="1"/>
  <c r="J16" i="3" a="1"/>
  <c r="J16" i="3" s="1"/>
  <c r="K16" i="3" a="1"/>
  <c r="K16" i="3"/>
  <c r="L16" i="3" a="1"/>
  <c r="L16" i="3" s="1"/>
  <c r="M16" i="3" a="1"/>
  <c r="M16" i="3" s="1"/>
  <c r="N16" i="3" a="1"/>
  <c r="N16" i="3" s="1"/>
  <c r="O16" i="3" a="1"/>
  <c r="O16" i="3" s="1"/>
  <c r="P16" i="3" a="1"/>
  <c r="P16" i="3" s="1"/>
  <c r="Q16" i="3" a="1"/>
  <c r="Q16" i="3" s="1"/>
  <c r="R16" i="3" a="1"/>
  <c r="R16" i="3" s="1"/>
  <c r="S16" i="3" a="1"/>
  <c r="S16" i="3"/>
  <c r="T16" i="3" a="1"/>
  <c r="T16" i="3" s="1"/>
  <c r="U16" i="3" a="1"/>
  <c r="U16" i="3" s="1"/>
  <c r="V16" i="3" a="1"/>
  <c r="V16" i="3" s="1"/>
  <c r="W16" i="3" a="1"/>
  <c r="W16" i="3" s="1"/>
  <c r="X16" i="3" a="1"/>
  <c r="X16" i="3" s="1"/>
  <c r="Y16" i="3" a="1"/>
  <c r="Y16" i="3" s="1"/>
  <c r="C17" i="3" a="1"/>
  <c r="C17" i="3" s="1"/>
  <c r="D17" i="3" a="1"/>
  <c r="D17" i="3"/>
  <c r="E17" i="3" a="1"/>
  <c r="E17" i="3" s="1"/>
  <c r="F17" i="3" a="1"/>
  <c r="F17" i="3" s="1"/>
  <c r="G17" i="3" a="1"/>
  <c r="G17" i="3" s="1"/>
  <c r="H17" i="3" a="1"/>
  <c r="H17" i="3" s="1"/>
  <c r="I17" i="3" a="1"/>
  <c r="I17" i="3" s="1"/>
  <c r="J17" i="3" a="1"/>
  <c r="J17" i="3" s="1"/>
  <c r="K17" i="3" a="1"/>
  <c r="K17" i="3" s="1"/>
  <c r="L17" i="3" a="1"/>
  <c r="L17" i="3"/>
  <c r="M17" i="3" a="1"/>
  <c r="M17" i="3" s="1"/>
  <c r="N17" i="3" a="1"/>
  <c r="N17" i="3" s="1"/>
  <c r="O17" i="3" a="1"/>
  <c r="O17" i="3" s="1"/>
  <c r="P17" i="3" a="1"/>
  <c r="P17" i="3" s="1"/>
  <c r="Q17" i="3" a="1"/>
  <c r="Q17" i="3" s="1"/>
  <c r="R17" i="3" a="1"/>
  <c r="R17" i="3" s="1"/>
  <c r="S17" i="3" a="1"/>
  <c r="S17" i="3" s="1"/>
  <c r="T17" i="3" a="1"/>
  <c r="T17" i="3"/>
  <c r="U17" i="3" a="1"/>
  <c r="U17" i="3" s="1"/>
  <c r="V17" i="3" a="1"/>
  <c r="V17" i="3" s="1"/>
  <c r="W17" i="3" a="1"/>
  <c r="W17" i="3" s="1"/>
  <c r="X17" i="3" a="1"/>
  <c r="X17" i="3" s="1"/>
  <c r="Y17" i="3" a="1"/>
  <c r="Y17" i="3" s="1"/>
  <c r="C18" i="3" a="1"/>
  <c r="C18" i="3" s="1"/>
  <c r="D18" i="3" a="1"/>
  <c r="D18" i="3" s="1"/>
  <c r="E18" i="3" a="1"/>
  <c r="E18" i="3"/>
  <c r="F18" i="3" a="1"/>
  <c r="F18" i="3" s="1"/>
  <c r="G18" i="3" a="1"/>
  <c r="G18" i="3" s="1"/>
  <c r="H18" i="3" a="1"/>
  <c r="H18" i="3" s="1"/>
  <c r="I18" i="3" a="1"/>
  <c r="I18" i="3" s="1"/>
  <c r="J18" i="3" a="1"/>
  <c r="J18" i="3" s="1"/>
  <c r="K18" i="3" a="1"/>
  <c r="K18" i="3" s="1"/>
  <c r="L18" i="3" a="1"/>
  <c r="L18" i="3" s="1"/>
  <c r="M18" i="3" a="1"/>
  <c r="M18" i="3"/>
  <c r="N18" i="3" a="1"/>
  <c r="N18" i="3" s="1"/>
  <c r="O18" i="3" a="1"/>
  <c r="O18" i="3" s="1"/>
  <c r="P18" i="3" a="1"/>
  <c r="P18" i="3" s="1"/>
  <c r="Q18" i="3" a="1"/>
  <c r="Q18" i="3" s="1"/>
  <c r="R18" i="3" a="1"/>
  <c r="R18" i="3" s="1"/>
  <c r="S18" i="3" a="1"/>
  <c r="S18" i="3" s="1"/>
  <c r="T18" i="3" a="1"/>
  <c r="T18" i="3" s="1"/>
  <c r="U18" i="3" a="1"/>
  <c r="U18" i="3"/>
  <c r="V18" i="3" a="1"/>
  <c r="V18" i="3" s="1"/>
  <c r="W18" i="3" a="1"/>
  <c r="W18" i="3" s="1"/>
  <c r="X18" i="3" a="1"/>
  <c r="X18" i="3" s="1"/>
  <c r="Y18" i="3" a="1"/>
  <c r="Y18" i="3" s="1"/>
  <c r="C19" i="3" a="1"/>
  <c r="C19" i="3" s="1"/>
  <c r="D19" i="3" a="1"/>
  <c r="D19" i="3" s="1"/>
  <c r="E19" i="3" a="1"/>
  <c r="E19" i="3" s="1"/>
  <c r="F19" i="3" a="1"/>
  <c r="F19" i="3"/>
  <c r="G19" i="3" a="1"/>
  <c r="G19" i="3" s="1"/>
  <c r="H19" i="3" a="1"/>
  <c r="H19" i="3" s="1"/>
  <c r="I19" i="3" a="1"/>
  <c r="I19" i="3" s="1"/>
  <c r="J19" i="3" a="1"/>
  <c r="J19" i="3" s="1"/>
  <c r="K19" i="3" a="1"/>
  <c r="K19" i="3" s="1"/>
  <c r="L19" i="3" a="1"/>
  <c r="L19" i="3" s="1"/>
  <c r="M19" i="3" a="1"/>
  <c r="M19" i="3" s="1"/>
  <c r="N19" i="3" a="1"/>
  <c r="N19" i="3"/>
  <c r="O19" i="3" a="1"/>
  <c r="O19" i="3" s="1"/>
  <c r="P19" i="3" a="1"/>
  <c r="P19" i="3" s="1"/>
  <c r="Q19" i="3" a="1"/>
  <c r="Q19" i="3" s="1"/>
  <c r="R19" i="3" a="1"/>
  <c r="R19" i="3" s="1"/>
  <c r="S19" i="3" a="1"/>
  <c r="S19" i="3" s="1"/>
  <c r="T19" i="3" a="1"/>
  <c r="T19" i="3" s="1"/>
  <c r="U19" i="3" a="1"/>
  <c r="U19" i="3" s="1"/>
  <c r="V19" i="3" a="1"/>
  <c r="V19" i="3"/>
  <c r="W19" i="3" a="1"/>
  <c r="W19" i="3" s="1"/>
  <c r="X19" i="3" a="1"/>
  <c r="X19" i="3" s="1"/>
  <c r="Y19" i="3" a="1"/>
  <c r="Y19" i="3" s="1"/>
  <c r="C20" i="3" a="1"/>
  <c r="C20" i="3" s="1"/>
  <c r="D20" i="3" a="1"/>
  <c r="D20" i="3" s="1"/>
  <c r="E20" i="3" a="1"/>
  <c r="E20" i="3" s="1"/>
  <c r="F20" i="3" a="1"/>
  <c r="F20" i="3" s="1"/>
  <c r="G20" i="3" a="1"/>
  <c r="G20" i="3"/>
  <c r="H20" i="3" a="1"/>
  <c r="H20" i="3" s="1"/>
  <c r="I20" i="3" a="1"/>
  <c r="I20" i="3" s="1"/>
  <c r="J20" i="3" a="1"/>
  <c r="J20" i="3" s="1"/>
  <c r="K20" i="3" a="1"/>
  <c r="K20" i="3" s="1"/>
  <c r="L20" i="3" a="1"/>
  <c r="L20" i="3" s="1"/>
  <c r="M20" i="3" a="1"/>
  <c r="M20" i="3" s="1"/>
  <c r="N20" i="3" a="1"/>
  <c r="N20" i="3" s="1"/>
  <c r="O20" i="3" a="1"/>
  <c r="O20" i="3"/>
  <c r="P20" i="3" a="1"/>
  <c r="P20" i="3" s="1"/>
  <c r="Q20" i="3" a="1"/>
  <c r="Q20" i="3" s="1"/>
  <c r="R20" i="3" a="1"/>
  <c r="R20" i="3" s="1"/>
  <c r="S20" i="3" a="1"/>
  <c r="S20" i="3" s="1"/>
  <c r="T20" i="3" a="1"/>
  <c r="T20" i="3" s="1"/>
  <c r="U20" i="3" a="1"/>
  <c r="U20" i="3" s="1"/>
  <c r="V20" i="3" a="1"/>
  <c r="V20" i="3" s="1"/>
  <c r="W20" i="3" a="1"/>
  <c r="W20" i="3"/>
  <c r="X20" i="3" a="1"/>
  <c r="X20" i="3" s="1"/>
  <c r="Y20" i="3" a="1"/>
  <c r="Y20" i="3" s="1"/>
  <c r="C21" i="3" a="1"/>
  <c r="C21" i="3" s="1"/>
  <c r="D21" i="3" a="1"/>
  <c r="D21" i="3" s="1"/>
  <c r="E21" i="3" a="1"/>
  <c r="E21" i="3" s="1"/>
  <c r="F21" i="3" a="1"/>
  <c r="F21" i="3" s="1"/>
  <c r="G21" i="3" a="1"/>
  <c r="G21" i="3" s="1"/>
  <c r="H21" i="3" a="1"/>
  <c r="H21" i="3"/>
  <c r="I21" i="3" a="1"/>
  <c r="I21" i="3" s="1"/>
  <c r="J21" i="3" a="1"/>
  <c r="J21" i="3" s="1"/>
  <c r="K21" i="3" a="1"/>
  <c r="K21" i="3" s="1"/>
  <c r="L21" i="3" a="1"/>
  <c r="L21" i="3" s="1"/>
  <c r="M21" i="3" a="1"/>
  <c r="M21" i="3" s="1"/>
  <c r="N21" i="3" a="1"/>
  <c r="N21" i="3" s="1"/>
  <c r="O21" i="3" a="1"/>
  <c r="O21" i="3" s="1"/>
  <c r="P21" i="3" a="1"/>
  <c r="P21" i="3"/>
  <c r="Q21" i="3" a="1"/>
  <c r="Q21" i="3" s="1"/>
  <c r="R21" i="3" a="1"/>
  <c r="R21" i="3" s="1"/>
  <c r="S21" i="3" a="1"/>
  <c r="S21" i="3" s="1"/>
  <c r="T21" i="3" a="1"/>
  <c r="T21" i="3" s="1"/>
  <c r="U21" i="3" a="1"/>
  <c r="U21" i="3" s="1"/>
  <c r="V21" i="3" a="1"/>
  <c r="V21" i="3"/>
  <c r="W21" i="3" a="1"/>
  <c r="W21" i="3" s="1"/>
  <c r="X21" i="3" a="1"/>
  <c r="X21" i="3"/>
  <c r="Y21" i="3" a="1"/>
  <c r="Y21" i="3" s="1"/>
  <c r="C22" i="3" a="1"/>
  <c r="C22" i="3" s="1"/>
  <c r="D22" i="3" a="1"/>
  <c r="D22" i="3" s="1"/>
  <c r="E22" i="3" a="1"/>
  <c r="E22" i="3" s="1"/>
  <c r="F22" i="3" a="1"/>
  <c r="F22" i="3" s="1"/>
  <c r="G22" i="3" a="1"/>
  <c r="G22" i="3"/>
  <c r="H22" i="3" a="1"/>
  <c r="H22" i="3" s="1"/>
  <c r="I22" i="3" a="1"/>
  <c r="I22" i="3"/>
  <c r="J22" i="3" a="1"/>
  <c r="J22" i="3" s="1"/>
  <c r="K22" i="3" a="1"/>
  <c r="K22" i="3" s="1"/>
  <c r="L22" i="3" a="1"/>
  <c r="L22" i="3" s="1"/>
  <c r="M22" i="3" a="1"/>
  <c r="M22" i="3" s="1"/>
  <c r="N22" i="3" a="1"/>
  <c r="N22" i="3" s="1"/>
  <c r="O22" i="3" a="1"/>
  <c r="O22" i="3"/>
  <c r="P22" i="3" a="1"/>
  <c r="P22" i="3" s="1"/>
  <c r="Q22" i="3" a="1"/>
  <c r="Q22" i="3"/>
  <c r="R22" i="3" a="1"/>
  <c r="R22" i="3" s="1"/>
  <c r="S22" i="3" a="1"/>
  <c r="S22" i="3" s="1"/>
  <c r="T22" i="3" a="1"/>
  <c r="T22" i="3" s="1"/>
  <c r="U22" i="3" a="1"/>
  <c r="U22" i="3" s="1"/>
  <c r="V22" i="3" a="1"/>
  <c r="V22" i="3" s="1"/>
  <c r="W22" i="3" a="1"/>
  <c r="W22" i="3"/>
  <c r="X22" i="3" a="1"/>
  <c r="X22" i="3" s="1"/>
  <c r="Y22" i="3" a="1"/>
  <c r="Y22" i="3"/>
  <c r="C23" i="3" a="1"/>
  <c r="C23" i="3" s="1"/>
  <c r="D23" i="3" a="1"/>
  <c r="D23" i="3" s="1"/>
  <c r="E23" i="3" a="1"/>
  <c r="E23" i="3" s="1"/>
  <c r="F23" i="3" a="1"/>
  <c r="F23" i="3" s="1"/>
  <c r="G23" i="3" a="1"/>
  <c r="G23" i="3" s="1"/>
  <c r="H23" i="3" a="1"/>
  <c r="H23" i="3"/>
  <c r="I23" i="3" a="1"/>
  <c r="I23" i="3" s="1"/>
  <c r="J23" i="3" a="1"/>
  <c r="J23" i="3"/>
  <c r="K23" i="3" a="1"/>
  <c r="K23" i="3" s="1"/>
  <c r="L23" i="3" a="1"/>
  <c r="L23" i="3" s="1"/>
  <c r="M23" i="3" a="1"/>
  <c r="M23" i="3" s="1"/>
  <c r="N23" i="3" a="1"/>
  <c r="N23" i="3" s="1"/>
  <c r="O23" i="3" a="1"/>
  <c r="O23" i="3" s="1"/>
  <c r="P23" i="3" a="1"/>
  <c r="P23" i="3"/>
  <c r="Q23" i="3" a="1"/>
  <c r="Q23" i="3" s="1"/>
  <c r="R23" i="3" a="1"/>
  <c r="R23" i="3"/>
  <c r="S23" i="3" a="1"/>
  <c r="S23" i="3" s="1"/>
  <c r="T23" i="3" a="1"/>
  <c r="T23" i="3" s="1"/>
  <c r="U23" i="3" a="1"/>
  <c r="U23" i="3" s="1"/>
  <c r="V23" i="3" a="1"/>
  <c r="V23" i="3" s="1"/>
  <c r="W23" i="3" a="1"/>
  <c r="W23" i="3" s="1"/>
  <c r="X23" i="3" a="1"/>
  <c r="X23" i="3"/>
  <c r="Y23" i="3" a="1"/>
  <c r="Y23" i="3" s="1"/>
  <c r="C24" i="3" a="1"/>
  <c r="C24" i="3"/>
  <c r="D24" i="3" a="1"/>
  <c r="D24" i="3" s="1"/>
  <c r="E24" i="3" a="1"/>
  <c r="E24" i="3"/>
  <c r="F24" i="3" a="1"/>
  <c r="F24" i="3" s="1"/>
  <c r="G24" i="3" a="1"/>
  <c r="G24" i="3"/>
  <c r="H24" i="3" a="1"/>
  <c r="H24" i="3" s="1"/>
  <c r="I24" i="3" a="1"/>
  <c r="I24" i="3"/>
  <c r="J24" i="3" a="1"/>
  <c r="J24" i="3" s="1"/>
  <c r="K24" i="3" a="1"/>
  <c r="K24" i="3"/>
  <c r="L24" i="3" a="1"/>
  <c r="L24" i="3" s="1"/>
  <c r="M24" i="3" a="1"/>
  <c r="M24" i="3"/>
  <c r="N24" i="3" a="1"/>
  <c r="N24" i="3" s="1"/>
  <c r="O24" i="3" a="1"/>
  <c r="O24" i="3"/>
  <c r="P24" i="3" a="1"/>
  <c r="P24" i="3" s="1"/>
  <c r="Q24" i="3" a="1"/>
  <c r="Q24" i="3"/>
  <c r="R24" i="3" a="1"/>
  <c r="R24" i="3" s="1"/>
  <c r="S24" i="3" a="1"/>
  <c r="S24" i="3"/>
  <c r="T24" i="3" a="1"/>
  <c r="T24" i="3" s="1"/>
  <c r="U24" i="3" a="1"/>
  <c r="U24" i="3"/>
  <c r="V24" i="3" a="1"/>
  <c r="V24" i="3" s="1"/>
  <c r="W24" i="3" a="1"/>
  <c r="W24" i="3"/>
  <c r="X24" i="3" a="1"/>
  <c r="X24" i="3" s="1"/>
  <c r="Y24" i="3" a="1"/>
  <c r="Y24" i="3"/>
  <c r="C25" i="3" a="1"/>
  <c r="C25" i="3" s="1"/>
  <c r="D25" i="3" a="1"/>
  <c r="D25" i="3" s="1"/>
  <c r="E25" i="3" a="1"/>
  <c r="E25" i="3" s="1"/>
  <c r="F25" i="3" a="1"/>
  <c r="F25" i="3" s="1"/>
  <c r="G25" i="3" a="1"/>
  <c r="G25" i="3" s="1"/>
  <c r="H25" i="3" a="1"/>
  <c r="H25" i="3" s="1"/>
  <c r="I25" i="3" a="1"/>
  <c r="I25" i="3" s="1"/>
  <c r="J25" i="3" a="1"/>
  <c r="J25" i="3" s="1"/>
  <c r="K25" i="3" a="1"/>
  <c r="K25" i="3" s="1"/>
  <c r="L25" i="3" a="1"/>
  <c r="L25" i="3" s="1"/>
  <c r="M25" i="3" a="1"/>
  <c r="M25" i="3" s="1"/>
  <c r="N25" i="3" a="1"/>
  <c r="N25" i="3" s="1"/>
  <c r="O25" i="3" a="1"/>
  <c r="O25" i="3" s="1"/>
  <c r="P25" i="3" a="1"/>
  <c r="P25" i="3" s="1"/>
  <c r="Q25" i="3" a="1"/>
  <c r="Q25" i="3" s="1"/>
  <c r="R25" i="3" a="1"/>
  <c r="R25" i="3" s="1"/>
  <c r="S25" i="3" a="1"/>
  <c r="S25" i="3" s="1"/>
  <c r="T25" i="3" a="1"/>
  <c r="T25" i="3" s="1"/>
  <c r="U25" i="3" a="1"/>
  <c r="U25" i="3" s="1"/>
  <c r="V25" i="3" a="1"/>
  <c r="V25" i="3" s="1"/>
  <c r="W25" i="3" a="1"/>
  <c r="W25" i="3" s="1"/>
  <c r="X25" i="3" a="1"/>
  <c r="X25" i="3" s="1"/>
  <c r="Y25" i="3" a="1"/>
  <c r="Y25" i="3" s="1"/>
  <c r="B3" i="3" a="1"/>
  <c r="B3" i="3" s="1"/>
  <c r="B4" i="3" a="1"/>
  <c r="B4" i="3" s="1"/>
  <c r="B5" i="3" a="1"/>
  <c r="B5" i="3" s="1"/>
  <c r="B6" i="3" a="1"/>
  <c r="B6" i="3" s="1"/>
  <c r="B7" i="3" a="1"/>
  <c r="B7" i="3" s="1"/>
  <c r="B8" i="3" a="1"/>
  <c r="B8" i="3" s="1"/>
  <c r="B9" i="3" a="1"/>
  <c r="B9" i="3" s="1"/>
  <c r="B10" i="3" a="1"/>
  <c r="B10" i="3" s="1"/>
  <c r="B11" i="3" a="1"/>
  <c r="B11" i="3" s="1"/>
  <c r="B12" i="3" a="1"/>
  <c r="B12" i="3" s="1"/>
  <c r="B13" i="3" a="1"/>
  <c r="B13" i="3" s="1"/>
  <c r="B14" i="3" a="1"/>
  <c r="B14" i="3" s="1"/>
  <c r="B15" i="3" a="1"/>
  <c r="B15" i="3" s="1"/>
  <c r="B16" i="3" a="1"/>
  <c r="B16" i="3" s="1"/>
  <c r="B17" i="3" a="1"/>
  <c r="B17" i="3" s="1"/>
  <c r="B18" i="3" a="1"/>
  <c r="B18" i="3" s="1"/>
  <c r="B19" i="3" a="1"/>
  <c r="B19" i="3" s="1"/>
  <c r="B20" i="3" a="1"/>
  <c r="B20" i="3" s="1"/>
  <c r="B21" i="3" a="1"/>
  <c r="B21" i="3" s="1"/>
  <c r="B22" i="3" a="1"/>
  <c r="B22" i="3" s="1"/>
  <c r="B23" i="3" a="1"/>
  <c r="B23" i="3" s="1"/>
  <c r="B24" i="3" a="1"/>
  <c r="B24" i="3" s="1"/>
  <c r="B25" i="3" a="1"/>
  <c r="B25" i="3" s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2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3" i="6"/>
  <c r="C2" i="6"/>
  <c r="D2" i="5"/>
  <c r="D3" i="5"/>
  <c r="E3" i="5"/>
  <c r="D4" i="5"/>
  <c r="E4" i="5"/>
  <c r="D5" i="5"/>
  <c r="E5" i="5"/>
  <c r="D6" i="5"/>
  <c r="E6" i="5"/>
  <c r="D7" i="5"/>
  <c r="E7" i="5"/>
  <c r="D8" i="5"/>
  <c r="E8" i="5"/>
  <c r="D9" i="5"/>
  <c r="E9" i="5"/>
  <c r="D10" i="5"/>
  <c r="E10" i="5"/>
  <c r="D11" i="5"/>
  <c r="E11" i="5"/>
  <c r="D12" i="5"/>
  <c r="E12" i="5"/>
  <c r="D13" i="5"/>
  <c r="E13" i="5"/>
  <c r="D14" i="5"/>
  <c r="E14" i="5"/>
  <c r="D15" i="5"/>
  <c r="E15" i="5"/>
  <c r="D16" i="5"/>
  <c r="E16" i="5"/>
  <c r="D17" i="5"/>
  <c r="E17" i="5"/>
  <c r="D18" i="5"/>
  <c r="E18" i="5"/>
  <c r="D19" i="5"/>
  <c r="E19" i="5"/>
  <c r="D20" i="5"/>
  <c r="E20" i="5"/>
  <c r="D21" i="5"/>
  <c r="E21" i="5"/>
  <c r="D22" i="5"/>
  <c r="E22" i="5"/>
  <c r="D23" i="5"/>
  <c r="E23" i="5"/>
  <c r="D24" i="5"/>
  <c r="E24" i="5"/>
  <c r="D25" i="5"/>
  <c r="E25" i="5"/>
  <c r="D26" i="5"/>
  <c r="E26" i="5"/>
  <c r="D27" i="5"/>
  <c r="E27" i="5"/>
  <c r="D28" i="5"/>
  <c r="E28" i="5"/>
  <c r="D29" i="5"/>
  <c r="E29" i="5"/>
  <c r="D30" i="5"/>
  <c r="E30" i="5"/>
  <c r="D31" i="5"/>
  <c r="E31" i="5"/>
  <c r="D32" i="5"/>
  <c r="E32" i="5"/>
  <c r="D33" i="5"/>
  <c r="E33" i="5"/>
  <c r="D34" i="5"/>
  <c r="E34" i="5"/>
  <c r="D35" i="5"/>
  <c r="E35" i="5"/>
  <c r="D36" i="5"/>
  <c r="E36" i="5"/>
  <c r="D37" i="5"/>
  <c r="E37" i="5"/>
  <c r="D38" i="5"/>
  <c r="E38" i="5"/>
  <c r="D39" i="5"/>
  <c r="E39" i="5"/>
  <c r="D40" i="5"/>
  <c r="E40" i="5"/>
  <c r="D41" i="5"/>
  <c r="E41" i="5"/>
  <c r="D42" i="5"/>
  <c r="E42" i="5"/>
  <c r="D43" i="5"/>
  <c r="E43" i="5"/>
  <c r="D44" i="5"/>
  <c r="E44" i="5"/>
  <c r="D45" i="5"/>
  <c r="E45" i="5"/>
  <c r="D46" i="5"/>
  <c r="E46" i="5"/>
  <c r="D47" i="5"/>
  <c r="E47" i="5"/>
  <c r="D48" i="5"/>
  <c r="E48" i="5"/>
  <c r="D49" i="5"/>
  <c r="E49" i="5"/>
  <c r="D50" i="5"/>
  <c r="E50" i="5"/>
  <c r="D51" i="5"/>
  <c r="E51" i="5"/>
  <c r="D52" i="5"/>
  <c r="E52" i="5"/>
  <c r="D53" i="5"/>
  <c r="E53" i="5"/>
  <c r="D54" i="5"/>
  <c r="E54" i="5"/>
  <c r="D55" i="5"/>
  <c r="E55" i="5"/>
  <c r="D56" i="5"/>
  <c r="E56" i="5"/>
  <c r="D57" i="5"/>
  <c r="E57" i="5"/>
  <c r="D58" i="5"/>
  <c r="E58" i="5"/>
  <c r="D59" i="5"/>
  <c r="E59" i="5"/>
  <c r="D60" i="5"/>
  <c r="E60" i="5"/>
  <c r="D61" i="5"/>
  <c r="E61" i="5"/>
  <c r="D62" i="5"/>
  <c r="E62" i="5"/>
  <c r="D63" i="5"/>
  <c r="E63" i="5"/>
  <c r="D64" i="5"/>
  <c r="E64" i="5"/>
  <c r="D65" i="5"/>
  <c r="E65" i="5"/>
  <c r="D66" i="5"/>
  <c r="E66" i="5"/>
  <c r="D67" i="5"/>
  <c r="E67" i="5"/>
  <c r="D68" i="5"/>
  <c r="E68" i="5"/>
  <c r="D69" i="5"/>
  <c r="E69" i="5"/>
  <c r="D70" i="5"/>
  <c r="E70" i="5"/>
  <c r="D71" i="5"/>
  <c r="E71" i="5"/>
  <c r="D72" i="5"/>
  <c r="E72" i="5"/>
  <c r="D73" i="5"/>
  <c r="E73" i="5"/>
  <c r="D74" i="5"/>
  <c r="E74" i="5"/>
  <c r="D75" i="5"/>
  <c r="E75" i="5"/>
  <c r="D76" i="5"/>
  <c r="E76" i="5"/>
  <c r="D77" i="5"/>
  <c r="E77" i="5"/>
  <c r="D78" i="5"/>
  <c r="E78" i="5"/>
  <c r="D79" i="5"/>
  <c r="E79" i="5"/>
  <c r="D80" i="5"/>
  <c r="E80" i="5"/>
  <c r="D81" i="5"/>
  <c r="E81" i="5"/>
  <c r="D82" i="5"/>
  <c r="E82" i="5"/>
  <c r="D83" i="5"/>
  <c r="E83" i="5"/>
  <c r="D84" i="5"/>
  <c r="E84" i="5"/>
  <c r="D85" i="5"/>
  <c r="E85" i="5"/>
  <c r="D86" i="5"/>
  <c r="E86" i="5"/>
  <c r="D87" i="5"/>
  <c r="E87" i="5"/>
  <c r="D88" i="5"/>
  <c r="E88" i="5"/>
  <c r="D89" i="5"/>
  <c r="E89" i="5"/>
  <c r="D90" i="5"/>
  <c r="E90" i="5"/>
  <c r="D91" i="5"/>
  <c r="E91" i="5"/>
  <c r="D92" i="5"/>
  <c r="E92" i="5"/>
  <c r="D93" i="5"/>
  <c r="E93" i="5"/>
  <c r="D94" i="5"/>
  <c r="E94" i="5"/>
  <c r="D95" i="5"/>
  <c r="E95" i="5"/>
  <c r="D96" i="5"/>
  <c r="E96" i="5"/>
  <c r="D97" i="5"/>
  <c r="E97" i="5"/>
  <c r="D98" i="5"/>
  <c r="E98" i="5"/>
  <c r="D99" i="5"/>
  <c r="E99" i="5"/>
  <c r="D100" i="5"/>
  <c r="E100" i="5"/>
  <c r="D101" i="5"/>
  <c r="E101" i="5"/>
  <c r="D102" i="5"/>
  <c r="E102" i="5"/>
  <c r="D103" i="5"/>
  <c r="E103" i="5"/>
  <c r="D104" i="5"/>
  <c r="E104" i="5"/>
  <c r="D105" i="5"/>
  <c r="E105" i="5"/>
  <c r="D106" i="5"/>
  <c r="E106" i="5"/>
  <c r="D107" i="5"/>
  <c r="E107" i="5"/>
  <c r="D108" i="5"/>
  <c r="E108" i="5"/>
  <c r="D109" i="5"/>
  <c r="E109" i="5"/>
  <c r="D110" i="5"/>
  <c r="E110" i="5"/>
  <c r="D111" i="5"/>
  <c r="E111" i="5"/>
  <c r="D112" i="5"/>
  <c r="E112" i="5"/>
  <c r="D113" i="5"/>
  <c r="E113" i="5"/>
  <c r="D114" i="5"/>
  <c r="E114" i="5"/>
  <c r="D115" i="5"/>
  <c r="E115" i="5"/>
  <c r="D116" i="5"/>
  <c r="E116" i="5"/>
  <c r="D117" i="5"/>
  <c r="E117" i="5"/>
  <c r="D118" i="5"/>
  <c r="E118" i="5"/>
  <c r="D119" i="5"/>
  <c r="E119" i="5"/>
  <c r="D120" i="5"/>
  <c r="E120" i="5"/>
  <c r="D121" i="5"/>
  <c r="E121" i="5"/>
  <c r="D122" i="5"/>
  <c r="E122" i="5"/>
  <c r="D123" i="5"/>
  <c r="E123" i="5"/>
  <c r="D124" i="5"/>
  <c r="E124" i="5"/>
  <c r="D125" i="5"/>
  <c r="E125" i="5"/>
  <c r="D126" i="5"/>
  <c r="E126" i="5"/>
  <c r="D127" i="5"/>
  <c r="E127" i="5"/>
  <c r="D128" i="5"/>
  <c r="E128" i="5"/>
  <c r="D129" i="5"/>
  <c r="E129" i="5"/>
  <c r="D130" i="5"/>
  <c r="E130" i="5"/>
  <c r="D131" i="5"/>
  <c r="E131" i="5"/>
  <c r="D132" i="5"/>
  <c r="E132" i="5"/>
  <c r="D133" i="5"/>
  <c r="E133" i="5"/>
  <c r="D134" i="5"/>
  <c r="E134" i="5"/>
  <c r="D135" i="5"/>
  <c r="E135" i="5"/>
  <c r="D136" i="5"/>
  <c r="E136" i="5"/>
  <c r="D137" i="5"/>
  <c r="E137" i="5"/>
  <c r="D138" i="5"/>
  <c r="E138" i="5"/>
  <c r="D139" i="5"/>
  <c r="E139" i="5"/>
  <c r="D140" i="5"/>
  <c r="E140" i="5"/>
  <c r="D141" i="5"/>
  <c r="E141" i="5"/>
  <c r="D142" i="5"/>
  <c r="E142" i="5"/>
  <c r="D143" i="5"/>
  <c r="E143" i="5"/>
  <c r="D144" i="5"/>
  <c r="E144" i="5"/>
  <c r="D145" i="5"/>
  <c r="E145" i="5"/>
  <c r="D146" i="5"/>
  <c r="E146" i="5"/>
  <c r="D147" i="5"/>
  <c r="E147" i="5"/>
  <c r="D148" i="5"/>
  <c r="E148" i="5"/>
  <c r="D149" i="5"/>
  <c r="E149" i="5"/>
  <c r="D150" i="5"/>
  <c r="E150" i="5"/>
  <c r="D151" i="5"/>
  <c r="E151" i="5"/>
  <c r="D152" i="5"/>
  <c r="E152" i="5"/>
  <c r="D153" i="5"/>
  <c r="E153" i="5"/>
  <c r="D154" i="5"/>
  <c r="E154" i="5"/>
  <c r="D155" i="5"/>
  <c r="E155" i="5"/>
  <c r="D156" i="5"/>
  <c r="E156" i="5"/>
  <c r="D157" i="5"/>
  <c r="E157" i="5"/>
  <c r="D158" i="5"/>
  <c r="E158" i="5"/>
  <c r="D159" i="5"/>
  <c r="E159" i="5"/>
  <c r="D160" i="5"/>
  <c r="E160" i="5"/>
  <c r="D161" i="5"/>
  <c r="E161" i="5"/>
  <c r="D162" i="5"/>
  <c r="E162" i="5"/>
  <c r="D163" i="5"/>
  <c r="E163" i="5"/>
  <c r="D164" i="5"/>
  <c r="E164" i="5"/>
  <c r="D165" i="5"/>
  <c r="E165" i="5"/>
  <c r="D166" i="5"/>
  <c r="E166" i="5"/>
  <c r="D167" i="5"/>
  <c r="E167" i="5"/>
  <c r="D168" i="5"/>
  <c r="E168" i="5"/>
  <c r="D169" i="5"/>
  <c r="E169" i="5"/>
  <c r="D170" i="5"/>
  <c r="E170" i="5"/>
  <c r="D171" i="5"/>
  <c r="E171" i="5"/>
  <c r="D172" i="5"/>
  <c r="E172" i="5"/>
  <c r="D173" i="5"/>
  <c r="E173" i="5"/>
  <c r="D174" i="5"/>
  <c r="E174" i="5"/>
  <c r="D175" i="5"/>
  <c r="E175" i="5"/>
  <c r="D176" i="5"/>
  <c r="E176" i="5"/>
  <c r="D177" i="5"/>
  <c r="E177" i="5"/>
  <c r="D178" i="5"/>
  <c r="E178" i="5"/>
  <c r="D179" i="5"/>
  <c r="E179" i="5"/>
  <c r="D180" i="5"/>
  <c r="E180" i="5"/>
  <c r="D181" i="5"/>
  <c r="E181" i="5"/>
  <c r="D182" i="5"/>
  <c r="E182" i="5"/>
  <c r="D183" i="5"/>
  <c r="E183" i="5"/>
  <c r="D184" i="5"/>
  <c r="E184" i="5"/>
  <c r="D185" i="5"/>
  <c r="E185" i="5"/>
  <c r="D186" i="5"/>
  <c r="E186" i="5"/>
  <c r="D187" i="5"/>
  <c r="E187" i="5"/>
  <c r="D188" i="5"/>
  <c r="E188" i="5"/>
  <c r="D189" i="5"/>
  <c r="E189" i="5"/>
  <c r="D190" i="5"/>
  <c r="E190" i="5"/>
  <c r="D191" i="5"/>
  <c r="E191" i="5"/>
  <c r="D192" i="5"/>
  <c r="E192" i="5"/>
  <c r="D193" i="5"/>
  <c r="E193" i="5"/>
  <c r="D194" i="5"/>
  <c r="E194" i="5"/>
  <c r="D195" i="5"/>
  <c r="E195" i="5"/>
  <c r="D196" i="5"/>
  <c r="E196" i="5"/>
  <c r="D197" i="5"/>
  <c r="E197" i="5"/>
  <c r="D198" i="5"/>
  <c r="E198" i="5"/>
  <c r="D199" i="5"/>
  <c r="E199" i="5"/>
  <c r="D200" i="5"/>
  <c r="E200" i="5"/>
  <c r="D201" i="5"/>
  <c r="E201" i="5"/>
  <c r="D202" i="5"/>
  <c r="E202" i="5"/>
  <c r="D203" i="5"/>
  <c r="E203" i="5"/>
  <c r="D204" i="5"/>
  <c r="E204" i="5"/>
  <c r="D205" i="5"/>
  <c r="E205" i="5"/>
  <c r="D206" i="5"/>
  <c r="E206" i="5"/>
  <c r="D207" i="5"/>
  <c r="E207" i="5"/>
  <c r="D208" i="5"/>
  <c r="E208" i="5"/>
  <c r="D209" i="5"/>
  <c r="E209" i="5"/>
  <c r="D210" i="5"/>
  <c r="E210" i="5"/>
  <c r="D211" i="5"/>
  <c r="E211" i="5"/>
  <c r="D212" i="5"/>
  <c r="E212" i="5"/>
  <c r="D213" i="5"/>
  <c r="E213" i="5"/>
  <c r="D214" i="5"/>
  <c r="E214" i="5"/>
  <c r="D215" i="5"/>
  <c r="E215" i="5"/>
  <c r="D216" i="5"/>
  <c r="E216" i="5"/>
  <c r="D217" i="5"/>
  <c r="E217" i="5"/>
  <c r="D218" i="5"/>
  <c r="E218" i="5"/>
  <c r="D219" i="5"/>
  <c r="E219" i="5"/>
  <c r="D220" i="5"/>
  <c r="E220" i="5"/>
  <c r="D221" i="5"/>
  <c r="E221" i="5"/>
  <c r="D222" i="5"/>
  <c r="E222" i="5"/>
  <c r="D223" i="5"/>
  <c r="E223" i="5"/>
  <c r="D224" i="5"/>
  <c r="E224" i="5"/>
  <c r="D225" i="5"/>
  <c r="E225" i="5"/>
  <c r="D226" i="5"/>
  <c r="E226" i="5"/>
  <c r="D227" i="5"/>
  <c r="E227" i="5"/>
  <c r="D228" i="5"/>
  <c r="E228" i="5"/>
  <c r="D229" i="5"/>
  <c r="E229" i="5"/>
  <c r="D230" i="5"/>
  <c r="E230" i="5"/>
  <c r="D231" i="5"/>
  <c r="E231" i="5"/>
  <c r="D232" i="5"/>
  <c r="E232" i="5"/>
  <c r="D233" i="5"/>
  <c r="E233" i="5"/>
  <c r="D234" i="5"/>
  <c r="E234" i="5"/>
  <c r="D235" i="5"/>
  <c r="E235" i="5"/>
  <c r="D236" i="5"/>
  <c r="E236" i="5"/>
  <c r="D237" i="5"/>
  <c r="E237" i="5"/>
  <c r="D238" i="5"/>
  <c r="E238" i="5"/>
  <c r="D239" i="5"/>
  <c r="E239" i="5"/>
  <c r="D240" i="5"/>
  <c r="E240" i="5"/>
  <c r="D241" i="5"/>
  <c r="E241" i="5"/>
  <c r="D242" i="5"/>
  <c r="E242" i="5"/>
  <c r="D243" i="5"/>
  <c r="E243" i="5"/>
  <c r="D244" i="5"/>
  <c r="E244" i="5"/>
  <c r="D245" i="5"/>
  <c r="E245" i="5"/>
  <c r="D246" i="5"/>
  <c r="E246" i="5"/>
  <c r="D247" i="5"/>
  <c r="E247" i="5"/>
  <c r="D248" i="5"/>
  <c r="E248" i="5"/>
  <c r="D249" i="5"/>
  <c r="E249" i="5"/>
  <c r="D250" i="5"/>
  <c r="E250" i="5"/>
  <c r="D251" i="5"/>
  <c r="E251" i="5"/>
  <c r="D252" i="5"/>
  <c r="E252" i="5"/>
  <c r="D253" i="5"/>
  <c r="E253" i="5"/>
  <c r="D254" i="5"/>
  <c r="E254" i="5"/>
  <c r="D255" i="5"/>
  <c r="E255" i="5"/>
  <c r="D256" i="5"/>
  <c r="E256" i="5"/>
  <c r="D257" i="5"/>
  <c r="E257" i="5"/>
  <c r="D258" i="5"/>
  <c r="E258" i="5"/>
  <c r="D259" i="5"/>
  <c r="E259" i="5"/>
  <c r="D260" i="5"/>
  <c r="E260" i="5"/>
  <c r="D261" i="5"/>
  <c r="E261" i="5"/>
  <c r="D262" i="5"/>
  <c r="E262" i="5"/>
  <c r="D263" i="5"/>
  <c r="E263" i="5"/>
  <c r="D264" i="5"/>
  <c r="E264" i="5"/>
  <c r="D265" i="5"/>
  <c r="E265" i="5"/>
  <c r="D266" i="5"/>
  <c r="E266" i="5"/>
  <c r="D267" i="5"/>
  <c r="E267" i="5"/>
  <c r="D268" i="5"/>
  <c r="E268" i="5"/>
  <c r="D269" i="5"/>
  <c r="E269" i="5"/>
  <c r="D270" i="5"/>
  <c r="E270" i="5"/>
  <c r="D271" i="5"/>
  <c r="E271" i="5"/>
  <c r="D272" i="5"/>
  <c r="E272" i="5"/>
  <c r="D273" i="5"/>
  <c r="E273" i="5"/>
  <c r="D274" i="5"/>
  <c r="E274" i="5"/>
  <c r="D275" i="5"/>
  <c r="E275" i="5"/>
  <c r="D276" i="5"/>
  <c r="E276" i="5"/>
  <c r="D277" i="5"/>
  <c r="E277" i="5"/>
  <c r="D278" i="5"/>
  <c r="E278" i="5"/>
  <c r="D279" i="5"/>
  <c r="E279" i="5"/>
  <c r="D280" i="5"/>
  <c r="E280" i="5"/>
  <c r="D281" i="5"/>
  <c r="E281" i="5"/>
  <c r="D282" i="5"/>
  <c r="E282" i="5"/>
  <c r="D283" i="5"/>
  <c r="E283" i="5"/>
  <c r="D284" i="5"/>
  <c r="E284" i="5"/>
  <c r="D285" i="5"/>
  <c r="E285" i="5"/>
  <c r="D286" i="5"/>
  <c r="E286" i="5"/>
  <c r="D287" i="5"/>
  <c r="E287" i="5"/>
  <c r="D288" i="5"/>
  <c r="E288" i="5"/>
  <c r="D289" i="5"/>
  <c r="E289" i="5"/>
  <c r="D290" i="5"/>
  <c r="E290" i="5"/>
  <c r="D291" i="5"/>
  <c r="E291" i="5"/>
  <c r="D292" i="5"/>
  <c r="E292" i="5"/>
  <c r="D293" i="5"/>
  <c r="E293" i="5"/>
  <c r="D294" i="5"/>
  <c r="E294" i="5"/>
  <c r="D295" i="5"/>
  <c r="E295" i="5"/>
  <c r="D296" i="5"/>
  <c r="E296" i="5"/>
  <c r="D297" i="5"/>
  <c r="E297" i="5"/>
  <c r="D298" i="5"/>
  <c r="E298" i="5"/>
  <c r="D299" i="5"/>
  <c r="E299" i="5"/>
  <c r="D300" i="5"/>
  <c r="E300" i="5"/>
  <c r="D301" i="5"/>
  <c r="E301" i="5"/>
  <c r="D302" i="5"/>
  <c r="E302" i="5"/>
  <c r="D303" i="5"/>
  <c r="E303" i="5"/>
  <c r="D304" i="5"/>
  <c r="E304" i="5"/>
  <c r="D305" i="5"/>
  <c r="E305" i="5"/>
  <c r="D306" i="5"/>
  <c r="E306" i="5"/>
  <c r="D307" i="5"/>
  <c r="E307" i="5"/>
  <c r="D308" i="5"/>
  <c r="E308" i="5"/>
  <c r="D309" i="5"/>
  <c r="E309" i="5"/>
  <c r="D310" i="5"/>
  <c r="E310" i="5"/>
  <c r="D311" i="5"/>
  <c r="E311" i="5"/>
  <c r="D312" i="5"/>
  <c r="E312" i="5"/>
  <c r="D313" i="5"/>
  <c r="E313" i="5"/>
  <c r="D314" i="5"/>
  <c r="E314" i="5"/>
  <c r="D315" i="5"/>
  <c r="E315" i="5"/>
  <c r="D316" i="5"/>
  <c r="E316" i="5"/>
  <c r="D317" i="5"/>
  <c r="E317" i="5"/>
  <c r="D318" i="5"/>
  <c r="E318" i="5"/>
  <c r="D319" i="5"/>
  <c r="E319" i="5"/>
  <c r="D320" i="5"/>
  <c r="E320" i="5"/>
  <c r="D321" i="5"/>
  <c r="E321" i="5"/>
  <c r="D322" i="5"/>
  <c r="E322" i="5"/>
  <c r="D323" i="5"/>
  <c r="E323" i="5"/>
  <c r="D324" i="5"/>
  <c r="E324" i="5"/>
  <c r="D325" i="5"/>
  <c r="E325" i="5"/>
  <c r="D326" i="5"/>
  <c r="E326" i="5"/>
  <c r="D327" i="5"/>
  <c r="E327" i="5"/>
  <c r="D328" i="5"/>
  <c r="E328" i="5"/>
  <c r="D329" i="5"/>
  <c r="E329" i="5"/>
  <c r="D330" i="5"/>
  <c r="E330" i="5"/>
  <c r="D331" i="5"/>
  <c r="E331" i="5"/>
  <c r="D332" i="5"/>
  <c r="E332" i="5"/>
  <c r="D333" i="5"/>
  <c r="E333" i="5"/>
  <c r="D334" i="5"/>
  <c r="E334" i="5"/>
  <c r="D335" i="5"/>
  <c r="E335" i="5"/>
  <c r="D336" i="5"/>
  <c r="E336" i="5"/>
  <c r="D337" i="5"/>
  <c r="E337" i="5"/>
  <c r="D338" i="5"/>
  <c r="E338" i="5"/>
  <c r="D339" i="5"/>
  <c r="E339" i="5"/>
  <c r="D340" i="5"/>
  <c r="E340" i="5"/>
  <c r="D341" i="5"/>
  <c r="E341" i="5"/>
  <c r="D342" i="5"/>
  <c r="E342" i="5"/>
  <c r="D343" i="5"/>
  <c r="E343" i="5"/>
  <c r="D344" i="5"/>
  <c r="E344" i="5"/>
  <c r="D345" i="5"/>
  <c r="E345" i="5"/>
  <c r="D346" i="5"/>
  <c r="E346" i="5"/>
  <c r="D347" i="5"/>
  <c r="E347" i="5"/>
  <c r="D348" i="5"/>
  <c r="E348" i="5"/>
  <c r="D349" i="5"/>
  <c r="E349" i="5"/>
  <c r="D350" i="5"/>
  <c r="E350" i="5"/>
  <c r="D351" i="5"/>
  <c r="E351" i="5"/>
  <c r="D352" i="5"/>
  <c r="E352" i="5"/>
  <c r="D353" i="5"/>
  <c r="E353" i="5"/>
  <c r="D354" i="5"/>
  <c r="E354" i="5"/>
  <c r="D355" i="5"/>
  <c r="E355" i="5"/>
  <c r="D356" i="5"/>
  <c r="E356" i="5"/>
  <c r="D357" i="5"/>
  <c r="E357" i="5"/>
  <c r="D358" i="5"/>
  <c r="E358" i="5"/>
  <c r="D359" i="5"/>
  <c r="E359" i="5"/>
  <c r="D360" i="5"/>
  <c r="E360" i="5"/>
  <c r="D361" i="5"/>
  <c r="E361" i="5"/>
  <c r="D362" i="5"/>
  <c r="E362" i="5"/>
  <c r="D363" i="5"/>
  <c r="E363" i="5"/>
  <c r="D364" i="5"/>
  <c r="E364" i="5"/>
  <c r="D365" i="5"/>
  <c r="E365" i="5"/>
  <c r="D366" i="5"/>
  <c r="E366" i="5"/>
  <c r="D367" i="5"/>
  <c r="E367" i="5"/>
  <c r="D368" i="5"/>
  <c r="E368" i="5"/>
  <c r="D369" i="5"/>
  <c r="E369" i="5"/>
  <c r="D370" i="5"/>
  <c r="E370" i="5"/>
  <c r="D371" i="5"/>
  <c r="E371" i="5"/>
  <c r="D372" i="5"/>
  <c r="E372" i="5"/>
  <c r="D373" i="5"/>
  <c r="E373" i="5"/>
  <c r="D374" i="5"/>
  <c r="E374" i="5"/>
  <c r="D375" i="5"/>
  <c r="E375" i="5"/>
  <c r="D376" i="5"/>
  <c r="E376" i="5"/>
  <c r="D377" i="5"/>
  <c r="E377" i="5"/>
  <c r="D378" i="5"/>
  <c r="E378" i="5"/>
  <c r="D379" i="5"/>
  <c r="E379" i="5"/>
  <c r="D380" i="5"/>
  <c r="E380" i="5"/>
  <c r="D381" i="5"/>
  <c r="E381" i="5"/>
  <c r="D382" i="5"/>
  <c r="E382" i="5"/>
  <c r="D383" i="5"/>
  <c r="E383" i="5"/>
  <c r="D384" i="5"/>
  <c r="E384" i="5"/>
  <c r="D385" i="5"/>
  <c r="E385" i="5"/>
  <c r="D386" i="5"/>
  <c r="E386" i="5"/>
  <c r="D387" i="5"/>
  <c r="E387" i="5"/>
  <c r="D388" i="5"/>
  <c r="E388" i="5"/>
  <c r="D389" i="5"/>
  <c r="E389" i="5"/>
  <c r="D390" i="5"/>
  <c r="E390" i="5"/>
  <c r="D391" i="5"/>
  <c r="E391" i="5"/>
  <c r="D392" i="5"/>
  <c r="E392" i="5"/>
  <c r="D393" i="5"/>
  <c r="E393" i="5"/>
  <c r="D394" i="5"/>
  <c r="E394" i="5"/>
  <c r="D395" i="5"/>
  <c r="E395" i="5"/>
  <c r="D396" i="5"/>
  <c r="E396" i="5"/>
  <c r="D397" i="5"/>
  <c r="E397" i="5"/>
  <c r="D398" i="5"/>
  <c r="E398" i="5"/>
  <c r="D399" i="5"/>
  <c r="E399" i="5"/>
  <c r="D400" i="5"/>
  <c r="E400" i="5"/>
  <c r="D401" i="5"/>
  <c r="E401" i="5"/>
  <c r="D402" i="5"/>
  <c r="E402" i="5"/>
  <c r="D403" i="5"/>
  <c r="E403" i="5"/>
  <c r="D404" i="5"/>
  <c r="E404" i="5"/>
  <c r="D405" i="5"/>
  <c r="E405" i="5"/>
  <c r="D406" i="5"/>
  <c r="E406" i="5"/>
  <c r="D407" i="5"/>
  <c r="E407" i="5"/>
  <c r="D408" i="5"/>
  <c r="E408" i="5"/>
  <c r="D409" i="5"/>
  <c r="E409" i="5"/>
  <c r="D410" i="5"/>
  <c r="E410" i="5"/>
  <c r="D411" i="5"/>
  <c r="E411" i="5"/>
  <c r="D412" i="5"/>
  <c r="E412" i="5"/>
  <c r="D413" i="5"/>
  <c r="E413" i="5"/>
  <c r="D414" i="5"/>
  <c r="E414" i="5"/>
  <c r="D415" i="5"/>
  <c r="E415" i="5"/>
  <c r="D416" i="5"/>
  <c r="E416" i="5"/>
  <c r="D417" i="5"/>
  <c r="E417" i="5"/>
  <c r="D418" i="5"/>
  <c r="E418" i="5"/>
  <c r="D419" i="5"/>
  <c r="E419" i="5"/>
  <c r="D420" i="5"/>
  <c r="E420" i="5"/>
  <c r="D421" i="5"/>
  <c r="E421" i="5"/>
  <c r="D422" i="5"/>
  <c r="E422" i="5"/>
  <c r="D423" i="5"/>
  <c r="E423" i="5"/>
  <c r="D424" i="5"/>
  <c r="E424" i="5"/>
  <c r="D425" i="5"/>
  <c r="E425" i="5"/>
  <c r="D426" i="5"/>
  <c r="E426" i="5"/>
  <c r="D427" i="5"/>
  <c r="E427" i="5"/>
  <c r="D428" i="5"/>
  <c r="E428" i="5"/>
  <c r="D429" i="5"/>
  <c r="E429" i="5"/>
  <c r="D430" i="5"/>
  <c r="E430" i="5"/>
  <c r="D431" i="5"/>
  <c r="E431" i="5"/>
  <c r="D432" i="5"/>
  <c r="E432" i="5"/>
  <c r="D433" i="5"/>
  <c r="E433" i="5"/>
  <c r="D434" i="5"/>
  <c r="E434" i="5"/>
  <c r="D435" i="5"/>
  <c r="E435" i="5"/>
  <c r="D436" i="5"/>
  <c r="E436" i="5"/>
  <c r="D437" i="5"/>
  <c r="E437" i="5"/>
  <c r="D438" i="5"/>
  <c r="E438" i="5"/>
  <c r="D439" i="5"/>
  <c r="E439" i="5"/>
  <c r="D440" i="5"/>
  <c r="E440" i="5"/>
  <c r="D441" i="5"/>
  <c r="E441" i="5"/>
  <c r="D442" i="5"/>
  <c r="E442" i="5"/>
  <c r="D443" i="5"/>
  <c r="E443" i="5"/>
  <c r="D444" i="5"/>
  <c r="E444" i="5"/>
  <c r="D445" i="5"/>
  <c r="E445" i="5"/>
  <c r="D446" i="5"/>
  <c r="E446" i="5"/>
  <c r="D447" i="5"/>
  <c r="E447" i="5"/>
  <c r="D448" i="5"/>
  <c r="E448" i="5"/>
  <c r="D449" i="5"/>
  <c r="E449" i="5"/>
  <c r="D450" i="5"/>
  <c r="E450" i="5"/>
  <c r="D451" i="5"/>
  <c r="E451" i="5"/>
  <c r="D452" i="5"/>
  <c r="E452" i="5"/>
  <c r="D453" i="5"/>
  <c r="E453" i="5"/>
  <c r="D454" i="5"/>
  <c r="E454" i="5"/>
  <c r="D455" i="5"/>
  <c r="E455" i="5"/>
  <c r="D456" i="5"/>
  <c r="E456" i="5"/>
  <c r="D457" i="5"/>
  <c r="E457" i="5"/>
  <c r="D458" i="5"/>
  <c r="E458" i="5"/>
  <c r="D459" i="5"/>
  <c r="E459" i="5"/>
  <c r="D460" i="5"/>
  <c r="E460" i="5"/>
  <c r="D461" i="5"/>
  <c r="E461" i="5"/>
  <c r="D462" i="5"/>
  <c r="E462" i="5"/>
  <c r="D463" i="5"/>
  <c r="E463" i="5"/>
  <c r="D464" i="5"/>
  <c r="E464" i="5"/>
  <c r="D465" i="5"/>
  <c r="E465" i="5"/>
  <c r="D466" i="5"/>
  <c r="E466" i="5"/>
  <c r="D467" i="5"/>
  <c r="E467" i="5"/>
  <c r="D468" i="5"/>
  <c r="E468" i="5"/>
  <c r="D469" i="5"/>
  <c r="E469" i="5"/>
  <c r="D470" i="5"/>
  <c r="E470" i="5"/>
  <c r="D471" i="5"/>
  <c r="E471" i="5"/>
  <c r="D472" i="5"/>
  <c r="E472" i="5"/>
  <c r="D473" i="5"/>
  <c r="E473" i="5"/>
  <c r="D474" i="5"/>
  <c r="E474" i="5"/>
  <c r="D475" i="5"/>
  <c r="E475" i="5"/>
  <c r="D476" i="5"/>
  <c r="E476" i="5"/>
  <c r="D477" i="5"/>
  <c r="E477" i="5"/>
  <c r="D478" i="5"/>
  <c r="E478" i="5"/>
  <c r="D479" i="5"/>
  <c r="E479" i="5"/>
  <c r="D480" i="5"/>
  <c r="E480" i="5"/>
  <c r="D481" i="5"/>
  <c r="E481" i="5"/>
  <c r="D482" i="5"/>
  <c r="E482" i="5"/>
  <c r="D483" i="5"/>
  <c r="E483" i="5"/>
  <c r="D484" i="5"/>
  <c r="E484" i="5"/>
  <c r="D485" i="5"/>
  <c r="E485" i="5"/>
  <c r="D486" i="5"/>
  <c r="E486" i="5"/>
  <c r="D487" i="5"/>
  <c r="E487" i="5"/>
  <c r="D488" i="5"/>
  <c r="E488" i="5"/>
  <c r="D489" i="5"/>
  <c r="E489" i="5"/>
  <c r="D490" i="5"/>
  <c r="E490" i="5"/>
  <c r="D491" i="5"/>
  <c r="E491" i="5"/>
  <c r="D492" i="5"/>
  <c r="E492" i="5"/>
  <c r="D493" i="5"/>
  <c r="E493" i="5"/>
  <c r="D494" i="5"/>
  <c r="E494" i="5"/>
  <c r="D495" i="5"/>
  <c r="E495" i="5"/>
  <c r="D496" i="5"/>
  <c r="E496" i="5"/>
  <c r="D497" i="5"/>
  <c r="E497" i="5"/>
  <c r="D498" i="5"/>
  <c r="E498" i="5"/>
  <c r="D499" i="5"/>
  <c r="E499" i="5"/>
  <c r="D500" i="5"/>
  <c r="E500" i="5"/>
  <c r="D501" i="5"/>
  <c r="E501" i="5"/>
  <c r="D502" i="5"/>
  <c r="E502" i="5"/>
  <c r="D503" i="5"/>
  <c r="E503" i="5"/>
  <c r="D504" i="5"/>
  <c r="E504" i="5"/>
  <c r="D505" i="5"/>
  <c r="E505" i="5"/>
  <c r="D506" i="5"/>
  <c r="E506" i="5"/>
  <c r="D507" i="5"/>
  <c r="E507" i="5"/>
  <c r="D508" i="5"/>
  <c r="E508" i="5"/>
  <c r="D509" i="5"/>
  <c r="E509" i="5"/>
  <c r="D510" i="5"/>
  <c r="E510" i="5"/>
  <c r="D511" i="5"/>
  <c r="E511" i="5"/>
  <c r="D512" i="5"/>
  <c r="E512" i="5"/>
  <c r="D513" i="5"/>
  <c r="E513" i="5"/>
  <c r="D514" i="5"/>
  <c r="E514" i="5"/>
  <c r="D515" i="5"/>
  <c r="E515" i="5"/>
  <c r="D516" i="5"/>
  <c r="E516" i="5"/>
  <c r="D517" i="5"/>
  <c r="E517" i="5"/>
  <c r="D518" i="5"/>
  <c r="E518" i="5"/>
  <c r="D519" i="5"/>
  <c r="E519" i="5"/>
  <c r="D520" i="5"/>
  <c r="E520" i="5"/>
  <c r="D521" i="5"/>
  <c r="E521" i="5"/>
  <c r="D522" i="5"/>
  <c r="E522" i="5"/>
  <c r="D523" i="5"/>
  <c r="E523" i="5"/>
  <c r="D524" i="5"/>
  <c r="E524" i="5"/>
  <c r="D525" i="5"/>
  <c r="E525" i="5"/>
  <c r="D526" i="5"/>
  <c r="E526" i="5"/>
  <c r="D527" i="5"/>
  <c r="E527" i="5"/>
  <c r="D528" i="5"/>
  <c r="E528" i="5"/>
  <c r="D529" i="5"/>
  <c r="E529" i="5"/>
  <c r="D530" i="5"/>
  <c r="E530" i="5"/>
  <c r="D531" i="5"/>
  <c r="E531" i="5"/>
  <c r="D532" i="5"/>
  <c r="E532" i="5"/>
  <c r="D533" i="5"/>
  <c r="E533" i="5"/>
  <c r="D534" i="5"/>
  <c r="E534" i="5"/>
  <c r="D535" i="5"/>
  <c r="E535" i="5"/>
  <c r="D536" i="5"/>
  <c r="E536" i="5"/>
  <c r="D537" i="5"/>
  <c r="E537" i="5"/>
  <c r="D538" i="5"/>
  <c r="E538" i="5"/>
  <c r="D539" i="5"/>
  <c r="E539" i="5"/>
  <c r="D540" i="5"/>
  <c r="E540" i="5"/>
  <c r="D541" i="5"/>
  <c r="E541" i="5"/>
  <c r="D542" i="5"/>
  <c r="E542" i="5"/>
  <c r="D543" i="5"/>
  <c r="E543" i="5"/>
  <c r="D544" i="5"/>
  <c r="E544" i="5"/>
  <c r="D545" i="5"/>
  <c r="E545" i="5"/>
  <c r="D546" i="5"/>
  <c r="E546" i="5"/>
  <c r="D547" i="5"/>
  <c r="E547" i="5"/>
  <c r="D548" i="5"/>
  <c r="E548" i="5"/>
  <c r="D549" i="5"/>
  <c r="E549" i="5"/>
  <c r="D550" i="5"/>
  <c r="E550" i="5"/>
  <c r="D551" i="5"/>
  <c r="E551" i="5"/>
  <c r="D552" i="5"/>
  <c r="E552" i="5"/>
  <c r="D553" i="5"/>
  <c r="E553" i="5"/>
  <c r="D554" i="5"/>
  <c r="E554" i="5"/>
  <c r="D555" i="5"/>
  <c r="E555" i="5"/>
  <c r="D556" i="5"/>
  <c r="E556" i="5"/>
  <c r="D557" i="5"/>
  <c r="E557" i="5"/>
  <c r="D558" i="5"/>
  <c r="E558" i="5"/>
  <c r="D559" i="5"/>
  <c r="E559" i="5"/>
  <c r="D560" i="5"/>
  <c r="E560" i="5"/>
  <c r="D561" i="5"/>
  <c r="E561" i="5"/>
  <c r="D562" i="5"/>
  <c r="E562" i="5"/>
  <c r="D563" i="5"/>
  <c r="E563" i="5"/>
  <c r="D564" i="5"/>
  <c r="E564" i="5"/>
  <c r="D565" i="5"/>
  <c r="E565" i="5"/>
  <c r="D566" i="5"/>
  <c r="E566" i="5"/>
  <c r="D567" i="5"/>
  <c r="E567" i="5"/>
  <c r="D568" i="5"/>
  <c r="E568" i="5"/>
  <c r="D569" i="5"/>
  <c r="E569" i="5"/>
  <c r="D570" i="5"/>
  <c r="E570" i="5"/>
  <c r="D571" i="5"/>
  <c r="E571" i="5"/>
  <c r="D572" i="5"/>
  <c r="E572" i="5"/>
  <c r="D573" i="5"/>
  <c r="E573" i="5"/>
  <c r="D574" i="5"/>
  <c r="E574" i="5"/>
  <c r="D575" i="5"/>
  <c r="E575" i="5"/>
  <c r="D576" i="5"/>
  <c r="E576" i="5"/>
  <c r="D577" i="5"/>
  <c r="E577" i="5"/>
  <c r="D578" i="5"/>
  <c r="E578" i="5"/>
  <c r="D579" i="5"/>
  <c r="E579" i="5"/>
  <c r="D580" i="5"/>
  <c r="E580" i="5"/>
  <c r="D581" i="5"/>
  <c r="E581" i="5"/>
  <c r="D582" i="5"/>
  <c r="E582" i="5"/>
  <c r="D583" i="5"/>
  <c r="E583" i="5"/>
  <c r="D584" i="5"/>
  <c r="E584" i="5"/>
  <c r="D585" i="5"/>
  <c r="E585" i="5"/>
  <c r="D586" i="5"/>
  <c r="E586" i="5"/>
  <c r="D587" i="5"/>
  <c r="E587" i="5"/>
  <c r="D588" i="5"/>
  <c r="E588" i="5"/>
  <c r="D589" i="5"/>
  <c r="E589" i="5"/>
  <c r="D590" i="5"/>
  <c r="E590" i="5"/>
  <c r="D591" i="5"/>
  <c r="E591" i="5"/>
  <c r="D592" i="5"/>
  <c r="E592" i="5"/>
  <c r="D593" i="5"/>
  <c r="E593" i="5"/>
  <c r="D594" i="5"/>
  <c r="E594" i="5"/>
  <c r="D595" i="5"/>
  <c r="E595" i="5"/>
  <c r="D596" i="5"/>
  <c r="E596" i="5"/>
  <c r="D597" i="5"/>
  <c r="E597" i="5"/>
  <c r="D598" i="5"/>
  <c r="E598" i="5"/>
  <c r="D599" i="5"/>
  <c r="E599" i="5"/>
  <c r="D600" i="5"/>
  <c r="E600" i="5"/>
  <c r="D601" i="5"/>
  <c r="E601" i="5"/>
  <c r="D602" i="5"/>
  <c r="E602" i="5"/>
  <c r="D603" i="5"/>
  <c r="E603" i="5"/>
  <c r="D604" i="5"/>
  <c r="E604" i="5"/>
  <c r="D605" i="5"/>
  <c r="E605" i="5"/>
  <c r="D606" i="5"/>
  <c r="E606" i="5"/>
  <c r="D607" i="5"/>
  <c r="E607" i="5"/>
  <c r="D608" i="5"/>
  <c r="E608" i="5"/>
  <c r="D609" i="5"/>
  <c r="E609" i="5"/>
  <c r="D610" i="5"/>
  <c r="E610" i="5"/>
  <c r="D611" i="5"/>
  <c r="E611" i="5"/>
  <c r="D612" i="5"/>
  <c r="E612" i="5"/>
  <c r="D613" i="5"/>
  <c r="E613" i="5"/>
  <c r="D614" i="5"/>
  <c r="E614" i="5"/>
  <c r="D615" i="5"/>
  <c r="E615" i="5"/>
  <c r="D616" i="5"/>
  <c r="E616" i="5"/>
  <c r="D617" i="5"/>
  <c r="E617" i="5"/>
  <c r="D618" i="5"/>
  <c r="E618" i="5"/>
  <c r="D619" i="5"/>
  <c r="E619" i="5"/>
  <c r="D620" i="5"/>
  <c r="E620" i="5"/>
  <c r="D621" i="5"/>
  <c r="E621" i="5"/>
  <c r="D622" i="5"/>
  <c r="E622" i="5"/>
  <c r="D623" i="5"/>
  <c r="E623" i="5"/>
  <c r="D624" i="5"/>
  <c r="E624" i="5"/>
  <c r="D625" i="5"/>
  <c r="E625" i="5"/>
  <c r="D626" i="5"/>
  <c r="E626" i="5"/>
  <c r="D627" i="5"/>
  <c r="E627" i="5"/>
  <c r="D628" i="5"/>
  <c r="E628" i="5"/>
  <c r="D629" i="5"/>
  <c r="E629" i="5"/>
  <c r="D630" i="5"/>
  <c r="E630" i="5"/>
  <c r="D631" i="5"/>
  <c r="E631" i="5"/>
  <c r="D632" i="5"/>
  <c r="E632" i="5"/>
  <c r="D633" i="5"/>
  <c r="E633" i="5"/>
  <c r="D634" i="5"/>
  <c r="E634" i="5"/>
  <c r="D635" i="5"/>
  <c r="E635" i="5"/>
  <c r="D636" i="5"/>
  <c r="E636" i="5"/>
  <c r="D637" i="5"/>
  <c r="E637" i="5"/>
  <c r="D638" i="5"/>
  <c r="E638" i="5"/>
  <c r="D639" i="5"/>
  <c r="E639" i="5"/>
  <c r="D640" i="5"/>
  <c r="E640" i="5"/>
  <c r="D641" i="5"/>
  <c r="E641" i="5"/>
  <c r="D642" i="5"/>
  <c r="E642" i="5"/>
  <c r="D643" i="5"/>
  <c r="E643" i="5"/>
  <c r="D644" i="5"/>
  <c r="E644" i="5"/>
  <c r="D645" i="5"/>
  <c r="E645" i="5"/>
  <c r="D646" i="5"/>
  <c r="E646" i="5"/>
  <c r="D647" i="5"/>
  <c r="E647" i="5"/>
  <c r="D648" i="5"/>
  <c r="E648" i="5"/>
  <c r="D649" i="5"/>
  <c r="E649" i="5"/>
  <c r="D650" i="5"/>
  <c r="E650" i="5"/>
  <c r="D651" i="5"/>
  <c r="E651" i="5"/>
  <c r="D652" i="5"/>
  <c r="E652" i="5"/>
  <c r="D653" i="5"/>
  <c r="E653" i="5"/>
  <c r="D654" i="5"/>
  <c r="E654" i="5"/>
  <c r="D655" i="5"/>
  <c r="E655" i="5"/>
  <c r="D656" i="5"/>
  <c r="E656" i="5"/>
  <c r="D657" i="5"/>
  <c r="E657" i="5"/>
  <c r="D658" i="5"/>
  <c r="E658" i="5"/>
  <c r="D659" i="5"/>
  <c r="E659" i="5"/>
  <c r="D660" i="5"/>
  <c r="E660" i="5"/>
  <c r="D661" i="5"/>
  <c r="E661" i="5"/>
  <c r="D662" i="5"/>
  <c r="E662" i="5"/>
  <c r="D663" i="5"/>
  <c r="E663" i="5"/>
  <c r="D664" i="5"/>
  <c r="E664" i="5"/>
  <c r="D665" i="5"/>
  <c r="E665" i="5"/>
  <c r="D666" i="5"/>
  <c r="E666" i="5"/>
  <c r="D667" i="5"/>
  <c r="E667" i="5"/>
  <c r="D668" i="5"/>
  <c r="E668" i="5"/>
  <c r="D669" i="5"/>
  <c r="E669" i="5"/>
  <c r="D670" i="5"/>
  <c r="E670" i="5"/>
  <c r="D671" i="5"/>
  <c r="E671" i="5"/>
  <c r="D672" i="5"/>
  <c r="E672" i="5"/>
  <c r="D673" i="5"/>
  <c r="E673" i="5"/>
  <c r="D674" i="5"/>
  <c r="E674" i="5"/>
  <c r="D675" i="5"/>
  <c r="E675" i="5"/>
  <c r="D676" i="5"/>
  <c r="E676" i="5"/>
  <c r="D677" i="5"/>
  <c r="E677" i="5"/>
  <c r="D678" i="5"/>
  <c r="E678" i="5"/>
  <c r="D679" i="5"/>
  <c r="E679" i="5"/>
  <c r="D680" i="5"/>
  <c r="E680" i="5"/>
  <c r="D681" i="5"/>
  <c r="E681" i="5"/>
  <c r="D682" i="5"/>
  <c r="E682" i="5"/>
  <c r="D683" i="5"/>
  <c r="E683" i="5"/>
  <c r="D684" i="5"/>
  <c r="E684" i="5"/>
  <c r="D685" i="5"/>
  <c r="E685" i="5"/>
  <c r="D686" i="5"/>
  <c r="E686" i="5"/>
  <c r="D687" i="5"/>
  <c r="E687" i="5"/>
  <c r="D688" i="5"/>
  <c r="E688" i="5"/>
  <c r="D689" i="5"/>
  <c r="E689" i="5"/>
  <c r="D690" i="5"/>
  <c r="E690" i="5"/>
  <c r="D691" i="5"/>
  <c r="E691" i="5"/>
  <c r="D692" i="5"/>
  <c r="E692" i="5"/>
  <c r="D693" i="5"/>
  <c r="E693" i="5"/>
  <c r="D694" i="5"/>
  <c r="E694" i="5"/>
  <c r="D695" i="5"/>
  <c r="E695" i="5"/>
  <c r="D696" i="5"/>
  <c r="E696" i="5"/>
  <c r="D697" i="5"/>
  <c r="E697" i="5"/>
  <c r="D698" i="5"/>
  <c r="E698" i="5"/>
  <c r="D699" i="5"/>
  <c r="E699" i="5"/>
  <c r="D700" i="5"/>
  <c r="E700" i="5"/>
  <c r="D701" i="5"/>
  <c r="E701" i="5"/>
  <c r="D702" i="5"/>
  <c r="E702" i="5"/>
  <c r="D703" i="5"/>
  <c r="E703" i="5"/>
  <c r="D704" i="5"/>
  <c r="E704" i="5"/>
  <c r="D705" i="5"/>
  <c r="E705" i="5"/>
  <c r="D706" i="5"/>
  <c r="E706" i="5"/>
  <c r="D707" i="5"/>
  <c r="E707" i="5"/>
  <c r="D708" i="5"/>
  <c r="E708" i="5"/>
  <c r="D709" i="5"/>
  <c r="E709" i="5"/>
  <c r="D710" i="5"/>
  <c r="E710" i="5"/>
  <c r="D711" i="5"/>
  <c r="E711" i="5"/>
  <c r="D712" i="5"/>
  <c r="E712" i="5"/>
  <c r="D713" i="5"/>
  <c r="E713" i="5"/>
  <c r="D714" i="5"/>
  <c r="E714" i="5"/>
  <c r="D715" i="5"/>
  <c r="E715" i="5"/>
  <c r="D716" i="5"/>
  <c r="E716" i="5"/>
  <c r="D717" i="5"/>
  <c r="E717" i="5"/>
  <c r="D718" i="5"/>
  <c r="E718" i="5"/>
  <c r="D719" i="5"/>
  <c r="E719" i="5"/>
  <c r="D720" i="5"/>
  <c r="E720" i="5"/>
  <c r="D721" i="5"/>
  <c r="E721" i="5"/>
  <c r="D722" i="5"/>
  <c r="E722" i="5"/>
  <c r="D723" i="5"/>
  <c r="E723" i="5"/>
  <c r="D724" i="5"/>
  <c r="E724" i="5"/>
  <c r="D725" i="5"/>
  <c r="E725" i="5"/>
  <c r="D726" i="5"/>
  <c r="E726" i="5"/>
  <c r="D727" i="5"/>
  <c r="E727" i="5"/>
  <c r="D728" i="5"/>
  <c r="E728" i="5"/>
  <c r="D729" i="5"/>
  <c r="E729" i="5"/>
  <c r="D730" i="5"/>
  <c r="E730" i="5"/>
  <c r="D731" i="5"/>
  <c r="E731" i="5"/>
  <c r="D732" i="5"/>
  <c r="E732" i="5"/>
  <c r="D733" i="5"/>
  <c r="E733" i="5"/>
  <c r="D734" i="5"/>
  <c r="E734" i="5"/>
  <c r="D735" i="5"/>
  <c r="E735" i="5"/>
  <c r="D736" i="5"/>
  <c r="E736" i="5"/>
  <c r="D737" i="5"/>
  <c r="E737" i="5"/>
  <c r="D738" i="5"/>
  <c r="E738" i="5"/>
  <c r="D739" i="5"/>
  <c r="E739" i="5"/>
  <c r="D740" i="5"/>
  <c r="E740" i="5"/>
  <c r="D741" i="5"/>
  <c r="E741" i="5"/>
  <c r="D742" i="5"/>
  <c r="E742" i="5"/>
  <c r="D743" i="5"/>
  <c r="E743" i="5"/>
  <c r="D744" i="5"/>
  <c r="E744" i="5"/>
  <c r="D745" i="5"/>
  <c r="E745" i="5"/>
  <c r="D746" i="5"/>
  <c r="E746" i="5"/>
  <c r="D747" i="5"/>
  <c r="E747" i="5"/>
  <c r="D748" i="5"/>
  <c r="E748" i="5"/>
  <c r="D749" i="5"/>
  <c r="E749" i="5"/>
  <c r="D750" i="5"/>
  <c r="E750" i="5"/>
  <c r="D751" i="5"/>
  <c r="E751" i="5"/>
  <c r="D752" i="5"/>
  <c r="E752" i="5"/>
  <c r="D753" i="5"/>
  <c r="E753" i="5"/>
  <c r="D754" i="5"/>
  <c r="E754" i="5"/>
  <c r="D755" i="5"/>
  <c r="E755" i="5"/>
  <c r="D756" i="5"/>
  <c r="E756" i="5"/>
  <c r="D757" i="5"/>
  <c r="E757" i="5"/>
  <c r="D758" i="5"/>
  <c r="E758" i="5"/>
  <c r="D759" i="5"/>
  <c r="E759" i="5"/>
  <c r="D760" i="5"/>
  <c r="E760" i="5"/>
  <c r="D761" i="5"/>
  <c r="E761" i="5"/>
  <c r="D762" i="5"/>
  <c r="E762" i="5"/>
  <c r="D763" i="5"/>
  <c r="E763" i="5"/>
  <c r="D764" i="5"/>
  <c r="E764" i="5"/>
  <c r="D765" i="5"/>
  <c r="E765" i="5"/>
  <c r="D766" i="5"/>
  <c r="E766" i="5"/>
  <c r="D767" i="5"/>
  <c r="E767" i="5"/>
  <c r="D768" i="5"/>
  <c r="E768" i="5"/>
  <c r="D769" i="5"/>
  <c r="E769" i="5"/>
  <c r="D770" i="5"/>
  <c r="E770" i="5"/>
  <c r="D771" i="5"/>
  <c r="E771" i="5"/>
  <c r="D772" i="5"/>
  <c r="E772" i="5"/>
  <c r="D773" i="5"/>
  <c r="E773" i="5"/>
  <c r="D774" i="5"/>
  <c r="E774" i="5"/>
  <c r="D775" i="5"/>
  <c r="E775" i="5"/>
  <c r="D776" i="5"/>
  <c r="E776" i="5"/>
  <c r="D777" i="5"/>
  <c r="E777" i="5"/>
  <c r="D778" i="5"/>
  <c r="E778" i="5"/>
  <c r="D779" i="5"/>
  <c r="E779" i="5"/>
  <c r="D780" i="5"/>
  <c r="E780" i="5"/>
  <c r="D781" i="5"/>
  <c r="E781" i="5"/>
  <c r="D782" i="5"/>
  <c r="E782" i="5"/>
  <c r="D783" i="5"/>
  <c r="E783" i="5"/>
  <c r="D784" i="5"/>
  <c r="E784" i="5"/>
  <c r="D785" i="5"/>
  <c r="E785" i="5"/>
  <c r="D786" i="5"/>
  <c r="E786" i="5"/>
  <c r="D787" i="5"/>
  <c r="E787" i="5"/>
  <c r="D788" i="5"/>
  <c r="E788" i="5"/>
  <c r="D789" i="5"/>
  <c r="E789" i="5"/>
  <c r="D790" i="5"/>
  <c r="E790" i="5"/>
  <c r="D791" i="5"/>
  <c r="E791" i="5"/>
  <c r="D792" i="5"/>
  <c r="E792" i="5"/>
  <c r="D793" i="5"/>
  <c r="E793" i="5"/>
  <c r="D794" i="5"/>
  <c r="E794" i="5"/>
  <c r="D795" i="5"/>
  <c r="E795" i="5"/>
  <c r="D796" i="5"/>
  <c r="E796" i="5"/>
  <c r="D797" i="5"/>
  <c r="E797" i="5"/>
  <c r="D798" i="5"/>
  <c r="E798" i="5"/>
  <c r="D799" i="5"/>
  <c r="E799" i="5"/>
  <c r="D800" i="5"/>
  <c r="E800" i="5"/>
  <c r="D801" i="5"/>
  <c r="E801" i="5"/>
  <c r="D802" i="5"/>
  <c r="E802" i="5"/>
  <c r="D803" i="5"/>
  <c r="E803" i="5"/>
  <c r="D804" i="5"/>
  <c r="E804" i="5"/>
  <c r="D805" i="5"/>
  <c r="E805" i="5"/>
  <c r="D806" i="5"/>
  <c r="E806" i="5"/>
  <c r="D807" i="5"/>
  <c r="E807" i="5"/>
  <c r="D808" i="5"/>
  <c r="E808" i="5"/>
  <c r="D809" i="5"/>
  <c r="E809" i="5"/>
  <c r="D810" i="5"/>
  <c r="E810" i="5"/>
  <c r="D811" i="5"/>
  <c r="E811" i="5"/>
  <c r="D812" i="5"/>
  <c r="E812" i="5"/>
  <c r="D813" i="5"/>
  <c r="E813" i="5"/>
  <c r="D814" i="5"/>
  <c r="E814" i="5"/>
  <c r="D815" i="5"/>
  <c r="E815" i="5"/>
  <c r="D816" i="5"/>
  <c r="E816" i="5"/>
  <c r="D817" i="5"/>
  <c r="E817" i="5"/>
  <c r="D818" i="5"/>
  <c r="E818" i="5"/>
  <c r="D819" i="5"/>
  <c r="E819" i="5"/>
  <c r="D820" i="5"/>
  <c r="E820" i="5"/>
  <c r="D821" i="5"/>
  <c r="E821" i="5"/>
  <c r="D822" i="5"/>
  <c r="E822" i="5"/>
  <c r="D823" i="5"/>
  <c r="E823" i="5"/>
  <c r="D824" i="5"/>
  <c r="E824" i="5"/>
  <c r="D825" i="5"/>
  <c r="E825" i="5"/>
  <c r="D826" i="5"/>
  <c r="E826" i="5"/>
  <c r="D827" i="5"/>
  <c r="E827" i="5"/>
  <c r="D828" i="5"/>
  <c r="E828" i="5"/>
  <c r="D829" i="5"/>
  <c r="E829" i="5"/>
  <c r="D830" i="5"/>
  <c r="E830" i="5"/>
  <c r="D831" i="5"/>
  <c r="E831" i="5"/>
  <c r="D832" i="5"/>
  <c r="E832" i="5"/>
  <c r="D833" i="5"/>
  <c r="E833" i="5"/>
  <c r="D834" i="5"/>
  <c r="E834" i="5"/>
  <c r="D835" i="5"/>
  <c r="E835" i="5"/>
  <c r="D836" i="5"/>
  <c r="E836" i="5"/>
  <c r="D837" i="5"/>
  <c r="E837" i="5"/>
  <c r="D838" i="5"/>
  <c r="E838" i="5"/>
  <c r="D839" i="5"/>
  <c r="E839" i="5"/>
  <c r="D840" i="5"/>
  <c r="E840" i="5"/>
  <c r="D841" i="5"/>
  <c r="E841" i="5"/>
  <c r="D842" i="5"/>
  <c r="E842" i="5"/>
  <c r="D843" i="5"/>
  <c r="E843" i="5"/>
  <c r="D844" i="5"/>
  <c r="E844" i="5"/>
  <c r="D845" i="5"/>
  <c r="E845" i="5"/>
  <c r="D846" i="5"/>
  <c r="E846" i="5"/>
  <c r="D847" i="5"/>
  <c r="E847" i="5"/>
  <c r="D848" i="5"/>
  <c r="E848" i="5"/>
  <c r="D849" i="5"/>
  <c r="E849" i="5"/>
  <c r="D850" i="5"/>
  <c r="E850" i="5"/>
  <c r="D851" i="5"/>
  <c r="E851" i="5"/>
  <c r="D852" i="5"/>
  <c r="E852" i="5"/>
  <c r="D853" i="5"/>
  <c r="E853" i="5"/>
  <c r="D854" i="5"/>
  <c r="E854" i="5"/>
  <c r="D855" i="5"/>
  <c r="E855" i="5"/>
  <c r="D856" i="5"/>
  <c r="E856" i="5"/>
  <c r="D857" i="5"/>
  <c r="E857" i="5"/>
  <c r="D858" i="5"/>
  <c r="E858" i="5"/>
  <c r="D859" i="5"/>
  <c r="E859" i="5"/>
  <c r="D860" i="5"/>
  <c r="E860" i="5"/>
  <c r="D861" i="5"/>
  <c r="E861" i="5"/>
  <c r="D862" i="5"/>
  <c r="E862" i="5"/>
  <c r="D863" i="5"/>
  <c r="E863" i="5"/>
  <c r="D864" i="5"/>
  <c r="E864" i="5"/>
  <c r="D865" i="5"/>
  <c r="E865" i="5"/>
  <c r="D866" i="5"/>
  <c r="E866" i="5"/>
  <c r="D867" i="5"/>
  <c r="E867" i="5"/>
  <c r="D868" i="5"/>
  <c r="E868" i="5"/>
  <c r="D869" i="5"/>
  <c r="E869" i="5"/>
  <c r="D870" i="5"/>
  <c r="E870" i="5"/>
  <c r="D871" i="5"/>
  <c r="E871" i="5"/>
  <c r="D872" i="5"/>
  <c r="E872" i="5"/>
  <c r="D873" i="5"/>
  <c r="E873" i="5"/>
  <c r="D874" i="5"/>
  <c r="E874" i="5"/>
  <c r="D875" i="5"/>
  <c r="E875" i="5"/>
  <c r="D876" i="5"/>
  <c r="E876" i="5"/>
  <c r="D877" i="5"/>
  <c r="E877" i="5"/>
  <c r="D878" i="5"/>
  <c r="E878" i="5"/>
  <c r="D879" i="5"/>
  <c r="E879" i="5"/>
  <c r="D880" i="5"/>
  <c r="E880" i="5"/>
  <c r="D881" i="5"/>
  <c r="E881" i="5"/>
  <c r="D882" i="5"/>
  <c r="E882" i="5"/>
  <c r="D883" i="5"/>
  <c r="E883" i="5"/>
  <c r="D884" i="5"/>
  <c r="E884" i="5"/>
  <c r="D885" i="5"/>
  <c r="E885" i="5"/>
  <c r="D886" i="5"/>
  <c r="E886" i="5"/>
  <c r="D887" i="5"/>
  <c r="E887" i="5"/>
  <c r="D888" i="5"/>
  <c r="E888" i="5"/>
  <c r="D889" i="5"/>
  <c r="E889" i="5"/>
  <c r="D890" i="5"/>
  <c r="E890" i="5"/>
  <c r="D891" i="5"/>
  <c r="E891" i="5"/>
  <c r="D892" i="5"/>
  <c r="E892" i="5"/>
  <c r="D893" i="5"/>
  <c r="E893" i="5"/>
  <c r="D894" i="5"/>
  <c r="E894" i="5"/>
  <c r="D895" i="5"/>
  <c r="E895" i="5"/>
  <c r="D896" i="5"/>
  <c r="E896" i="5"/>
  <c r="D897" i="5"/>
  <c r="E897" i="5"/>
  <c r="D898" i="5"/>
  <c r="E898" i="5"/>
  <c r="D899" i="5"/>
  <c r="E899" i="5"/>
  <c r="D900" i="5"/>
  <c r="E900" i="5"/>
  <c r="D901" i="5"/>
  <c r="E901" i="5"/>
  <c r="D902" i="5"/>
  <c r="E902" i="5"/>
  <c r="D903" i="5"/>
  <c r="E903" i="5"/>
  <c r="D904" i="5"/>
  <c r="E904" i="5"/>
  <c r="D905" i="5"/>
  <c r="E905" i="5"/>
  <c r="D906" i="5"/>
  <c r="E906" i="5"/>
  <c r="D907" i="5"/>
  <c r="E907" i="5"/>
  <c r="D908" i="5"/>
  <c r="E908" i="5"/>
  <c r="D909" i="5"/>
  <c r="E909" i="5"/>
  <c r="D910" i="5"/>
  <c r="E910" i="5"/>
  <c r="D911" i="5"/>
  <c r="E911" i="5"/>
  <c r="D912" i="5"/>
  <c r="E912" i="5"/>
  <c r="D913" i="5"/>
  <c r="E913" i="5"/>
  <c r="D914" i="5"/>
  <c r="E914" i="5"/>
  <c r="D915" i="5"/>
  <c r="E915" i="5"/>
  <c r="D916" i="5"/>
  <c r="E916" i="5"/>
  <c r="D917" i="5"/>
  <c r="E917" i="5"/>
  <c r="D918" i="5"/>
  <c r="E918" i="5"/>
  <c r="D919" i="5"/>
  <c r="E919" i="5"/>
  <c r="D920" i="5"/>
  <c r="E920" i="5"/>
  <c r="D921" i="5"/>
  <c r="E921" i="5"/>
  <c r="D922" i="5"/>
  <c r="E922" i="5"/>
  <c r="D923" i="5"/>
  <c r="E923" i="5"/>
  <c r="D924" i="5"/>
  <c r="E924" i="5"/>
  <c r="D925" i="5"/>
  <c r="E925" i="5"/>
  <c r="D926" i="5"/>
  <c r="E926" i="5"/>
  <c r="D927" i="5"/>
  <c r="E927" i="5"/>
  <c r="D928" i="5"/>
  <c r="E928" i="5"/>
  <c r="D929" i="5"/>
  <c r="E929" i="5"/>
  <c r="D930" i="5"/>
  <c r="E930" i="5"/>
  <c r="D931" i="5"/>
  <c r="E931" i="5"/>
  <c r="D932" i="5"/>
  <c r="E932" i="5"/>
  <c r="D933" i="5"/>
  <c r="E933" i="5"/>
  <c r="D934" i="5"/>
  <c r="E934" i="5"/>
  <c r="D935" i="5"/>
  <c r="E935" i="5"/>
  <c r="D936" i="5"/>
  <c r="E936" i="5"/>
  <c r="D937" i="5"/>
  <c r="E937" i="5"/>
  <c r="D938" i="5"/>
  <c r="E938" i="5"/>
  <c r="D939" i="5"/>
  <c r="E939" i="5"/>
  <c r="D940" i="5"/>
  <c r="E940" i="5"/>
  <c r="D941" i="5"/>
  <c r="E941" i="5"/>
  <c r="D942" i="5"/>
  <c r="E942" i="5"/>
  <c r="D943" i="5"/>
  <c r="E943" i="5"/>
  <c r="D944" i="5"/>
  <c r="E944" i="5"/>
  <c r="D945" i="5"/>
  <c r="E945" i="5"/>
  <c r="D946" i="5"/>
  <c r="E946" i="5"/>
  <c r="D947" i="5"/>
  <c r="E947" i="5"/>
  <c r="D948" i="5"/>
  <c r="E948" i="5"/>
  <c r="D949" i="5"/>
  <c r="E949" i="5"/>
  <c r="D950" i="5"/>
  <c r="E950" i="5"/>
  <c r="D951" i="5"/>
  <c r="E951" i="5"/>
  <c r="D952" i="5"/>
  <c r="E952" i="5"/>
  <c r="D953" i="5"/>
  <c r="E953" i="5"/>
  <c r="D954" i="5"/>
  <c r="E954" i="5"/>
  <c r="D955" i="5"/>
  <c r="E955" i="5"/>
  <c r="D956" i="5"/>
  <c r="E956" i="5"/>
  <c r="D957" i="5"/>
  <c r="E957" i="5"/>
  <c r="D958" i="5"/>
  <c r="E958" i="5"/>
  <c r="D959" i="5"/>
  <c r="E959" i="5"/>
  <c r="D960" i="5"/>
  <c r="E960" i="5"/>
  <c r="D961" i="5"/>
  <c r="E961" i="5"/>
  <c r="D962" i="5"/>
  <c r="E962" i="5"/>
  <c r="D963" i="5"/>
  <c r="E963" i="5"/>
  <c r="D964" i="5"/>
  <c r="E964" i="5"/>
  <c r="D965" i="5"/>
  <c r="E965" i="5"/>
  <c r="D966" i="5"/>
  <c r="E966" i="5"/>
  <c r="D967" i="5"/>
  <c r="E967" i="5"/>
  <c r="D968" i="5"/>
  <c r="E968" i="5"/>
  <c r="D969" i="5"/>
  <c r="E969" i="5"/>
  <c r="D970" i="5"/>
  <c r="E970" i="5"/>
  <c r="D971" i="5"/>
  <c r="E971" i="5"/>
  <c r="D972" i="5"/>
  <c r="E972" i="5"/>
  <c r="D973" i="5"/>
  <c r="E973" i="5"/>
  <c r="D974" i="5"/>
  <c r="E974" i="5"/>
  <c r="D975" i="5"/>
  <c r="E975" i="5"/>
  <c r="D976" i="5"/>
  <c r="E976" i="5"/>
  <c r="D977" i="5"/>
  <c r="E977" i="5"/>
  <c r="D978" i="5"/>
  <c r="E978" i="5"/>
  <c r="D979" i="5"/>
  <c r="E979" i="5"/>
  <c r="D980" i="5"/>
  <c r="E980" i="5"/>
  <c r="D981" i="5"/>
  <c r="E981" i="5"/>
  <c r="D982" i="5"/>
  <c r="E982" i="5"/>
  <c r="D983" i="5"/>
  <c r="E983" i="5"/>
  <c r="D984" i="5"/>
  <c r="E984" i="5"/>
  <c r="D985" i="5"/>
  <c r="E985" i="5"/>
  <c r="D986" i="5"/>
  <c r="E986" i="5"/>
  <c r="D987" i="5"/>
  <c r="E987" i="5"/>
  <c r="D988" i="5"/>
  <c r="E988" i="5"/>
  <c r="D989" i="5"/>
  <c r="E989" i="5"/>
  <c r="D990" i="5"/>
  <c r="E990" i="5"/>
  <c r="D991" i="5"/>
  <c r="E991" i="5"/>
  <c r="D992" i="5"/>
  <c r="E992" i="5"/>
  <c r="D993" i="5"/>
  <c r="E993" i="5"/>
  <c r="D994" i="5"/>
  <c r="E994" i="5"/>
  <c r="D995" i="5"/>
  <c r="E995" i="5"/>
  <c r="D996" i="5"/>
  <c r="E996" i="5"/>
  <c r="D997" i="5"/>
  <c r="E997" i="5"/>
  <c r="D998" i="5"/>
  <c r="E998" i="5"/>
  <c r="D999" i="5"/>
  <c r="E999" i="5"/>
  <c r="D1000" i="5"/>
  <c r="E1000" i="5"/>
  <c r="D1001" i="5"/>
  <c r="E1001" i="5"/>
  <c r="D1002" i="5"/>
  <c r="E1002" i="5"/>
  <c r="D1003" i="5"/>
  <c r="E1003" i="5"/>
  <c r="D1004" i="5"/>
  <c r="E1004" i="5"/>
  <c r="D1005" i="5"/>
  <c r="E1005" i="5"/>
  <c r="D1006" i="5"/>
  <c r="E1006" i="5"/>
  <c r="D1007" i="5"/>
  <c r="E1007" i="5"/>
  <c r="D1008" i="5"/>
  <c r="E1008" i="5"/>
  <c r="D1009" i="5"/>
  <c r="E1009" i="5"/>
  <c r="D1010" i="5"/>
  <c r="E1010" i="5"/>
  <c r="D1011" i="5"/>
  <c r="E1011" i="5"/>
  <c r="D1012" i="5"/>
  <c r="E1012" i="5"/>
  <c r="D1013" i="5"/>
  <c r="E1013" i="5"/>
  <c r="D1014" i="5"/>
  <c r="E1014" i="5"/>
  <c r="D1015" i="5"/>
  <c r="E1015" i="5"/>
  <c r="D1016" i="5"/>
  <c r="E1016" i="5"/>
  <c r="D1017" i="5"/>
  <c r="E1017" i="5"/>
  <c r="D1018" i="5"/>
  <c r="E1018" i="5"/>
  <c r="D1019" i="5"/>
  <c r="E1019" i="5"/>
  <c r="D1020" i="5"/>
  <c r="E1020" i="5"/>
  <c r="D1021" i="5"/>
  <c r="E1021" i="5"/>
  <c r="D1022" i="5"/>
  <c r="E1022" i="5"/>
  <c r="D1023" i="5"/>
  <c r="E1023" i="5"/>
  <c r="D1024" i="5"/>
  <c r="E1024" i="5"/>
  <c r="D1025" i="5"/>
  <c r="E1025" i="5"/>
  <c r="D1026" i="5"/>
  <c r="E1026" i="5"/>
  <c r="D1027" i="5"/>
  <c r="E1027" i="5"/>
  <c r="D1028" i="5"/>
  <c r="E1028" i="5"/>
  <c r="D1029" i="5"/>
  <c r="E1029" i="5"/>
  <c r="D1030" i="5"/>
  <c r="E1030" i="5"/>
  <c r="D1031" i="5"/>
  <c r="E1031" i="5"/>
  <c r="D1032" i="5"/>
  <c r="E1032" i="5"/>
  <c r="D1033" i="5"/>
  <c r="E1033" i="5"/>
  <c r="D1034" i="5"/>
  <c r="E1034" i="5"/>
  <c r="D1035" i="5"/>
  <c r="E1035" i="5"/>
  <c r="D1036" i="5"/>
  <c r="E1036" i="5"/>
  <c r="D1037" i="5"/>
  <c r="E1037" i="5"/>
  <c r="D1038" i="5"/>
  <c r="E1038" i="5"/>
  <c r="D1039" i="5"/>
  <c r="E1039" i="5"/>
  <c r="D1040" i="5"/>
  <c r="E1040" i="5"/>
  <c r="D1041" i="5"/>
  <c r="E1041" i="5"/>
  <c r="D1042" i="5"/>
  <c r="E1042" i="5"/>
  <c r="D1043" i="5"/>
  <c r="E1043" i="5"/>
  <c r="D1044" i="5"/>
  <c r="E1044" i="5"/>
  <c r="D1045" i="5"/>
  <c r="E1045" i="5"/>
  <c r="D1046" i="5"/>
  <c r="E1046" i="5"/>
  <c r="D1047" i="5"/>
  <c r="E1047" i="5"/>
  <c r="D1048" i="5"/>
  <c r="E1048" i="5"/>
  <c r="D1049" i="5"/>
  <c r="E1049" i="5"/>
  <c r="D1050" i="5"/>
  <c r="E1050" i="5"/>
  <c r="D1051" i="5"/>
  <c r="E1051" i="5"/>
  <c r="D1052" i="5"/>
  <c r="E1052" i="5"/>
  <c r="D1053" i="5"/>
  <c r="E1053" i="5"/>
  <c r="D1054" i="5"/>
  <c r="E1054" i="5"/>
  <c r="D1055" i="5"/>
  <c r="E1055" i="5"/>
  <c r="D1056" i="5"/>
  <c r="E1056" i="5"/>
  <c r="D1057" i="5"/>
  <c r="E1057" i="5"/>
  <c r="D1058" i="5"/>
  <c r="E1058" i="5"/>
  <c r="D1059" i="5"/>
  <c r="E1059" i="5"/>
  <c r="D1060" i="5"/>
  <c r="E1060" i="5"/>
  <c r="D1061" i="5"/>
  <c r="E1061" i="5"/>
  <c r="D1062" i="5"/>
  <c r="E1062" i="5"/>
  <c r="D1063" i="5"/>
  <c r="E1063" i="5"/>
  <c r="D1064" i="5"/>
  <c r="E1064" i="5"/>
  <c r="D1065" i="5"/>
  <c r="E1065" i="5"/>
  <c r="D1066" i="5"/>
  <c r="E1066" i="5"/>
  <c r="D1067" i="5"/>
  <c r="E1067" i="5"/>
  <c r="D1068" i="5"/>
  <c r="E1068" i="5"/>
  <c r="D1069" i="5"/>
  <c r="E1069" i="5"/>
  <c r="D1070" i="5"/>
  <c r="E1070" i="5"/>
  <c r="D1071" i="5"/>
  <c r="E1071" i="5"/>
  <c r="D1072" i="5"/>
  <c r="E1072" i="5"/>
  <c r="D1073" i="5"/>
  <c r="E1073" i="5"/>
  <c r="D1074" i="5"/>
  <c r="E1074" i="5"/>
  <c r="D1075" i="5"/>
  <c r="E1075" i="5"/>
  <c r="D1076" i="5"/>
  <c r="E1076" i="5"/>
  <c r="D1077" i="5"/>
  <c r="E1077" i="5"/>
  <c r="D1078" i="5"/>
  <c r="E1078" i="5"/>
  <c r="D1079" i="5"/>
  <c r="E1079" i="5"/>
  <c r="D1080" i="5"/>
  <c r="E1080" i="5"/>
  <c r="D1081" i="5"/>
  <c r="E1081" i="5"/>
  <c r="D1082" i="5"/>
  <c r="E1082" i="5"/>
  <c r="D1083" i="5"/>
  <c r="E1083" i="5"/>
  <c r="D1084" i="5"/>
  <c r="E1084" i="5"/>
  <c r="D1085" i="5"/>
  <c r="E1085" i="5"/>
  <c r="D1086" i="5"/>
  <c r="E1086" i="5"/>
  <c r="D1087" i="5"/>
  <c r="E1087" i="5"/>
  <c r="D1088" i="5"/>
  <c r="E1088" i="5"/>
  <c r="D1089" i="5"/>
  <c r="E1089" i="5"/>
  <c r="D1090" i="5"/>
  <c r="E1090" i="5"/>
  <c r="D1091" i="5"/>
  <c r="E1091" i="5"/>
  <c r="D1092" i="5"/>
  <c r="E1092" i="5"/>
  <c r="D1093" i="5"/>
  <c r="E1093" i="5"/>
  <c r="D1094" i="5"/>
  <c r="E1094" i="5"/>
  <c r="D1095" i="5"/>
  <c r="E1095" i="5"/>
  <c r="D1096" i="5"/>
  <c r="E1096" i="5"/>
  <c r="D1097" i="5"/>
  <c r="E1097" i="5"/>
  <c r="D1098" i="5"/>
  <c r="E1098" i="5"/>
  <c r="D1099" i="5"/>
  <c r="E1099" i="5"/>
  <c r="D1100" i="5"/>
  <c r="E1100" i="5"/>
  <c r="D1101" i="5"/>
  <c r="E1101" i="5"/>
  <c r="D1102" i="5"/>
  <c r="E1102" i="5"/>
  <c r="D1103" i="5"/>
  <c r="E1103" i="5"/>
  <c r="D1104" i="5"/>
  <c r="E1104" i="5"/>
  <c r="D1105" i="5"/>
  <c r="E1105" i="5"/>
  <c r="D1106" i="5"/>
  <c r="E1106" i="5"/>
  <c r="D1107" i="5"/>
  <c r="E1107" i="5"/>
  <c r="D1108" i="5"/>
  <c r="E1108" i="5"/>
  <c r="D1109" i="5"/>
  <c r="E1109" i="5"/>
  <c r="D1110" i="5"/>
  <c r="E1110" i="5"/>
  <c r="D1111" i="5"/>
  <c r="E1111" i="5"/>
  <c r="D1112" i="5"/>
  <c r="E1112" i="5"/>
  <c r="D1113" i="5"/>
  <c r="E1113" i="5"/>
  <c r="D1114" i="5"/>
  <c r="E1114" i="5"/>
  <c r="D1115" i="5"/>
  <c r="E1115" i="5"/>
  <c r="D1116" i="5"/>
  <c r="E1116" i="5"/>
  <c r="D1117" i="5"/>
  <c r="E1117" i="5"/>
  <c r="D1118" i="5"/>
  <c r="E1118" i="5"/>
  <c r="D1119" i="5"/>
  <c r="E1119" i="5"/>
  <c r="D1120" i="5"/>
  <c r="E1120" i="5"/>
  <c r="D1121" i="5"/>
  <c r="E1121" i="5"/>
  <c r="D1122" i="5"/>
  <c r="E1122" i="5"/>
  <c r="D1123" i="5"/>
  <c r="E1123" i="5"/>
  <c r="D1124" i="5"/>
  <c r="E1124" i="5"/>
  <c r="D1125" i="5"/>
  <c r="E1125" i="5"/>
  <c r="D1126" i="5"/>
  <c r="E1126" i="5"/>
  <c r="D1127" i="5"/>
  <c r="E1127" i="5"/>
  <c r="D1128" i="5"/>
  <c r="E1128" i="5"/>
  <c r="D1129" i="5"/>
  <c r="E1129" i="5"/>
  <c r="D1130" i="5"/>
  <c r="E1130" i="5"/>
  <c r="D1131" i="5"/>
  <c r="E1131" i="5"/>
  <c r="D1132" i="5"/>
  <c r="E1132" i="5"/>
  <c r="D1133" i="5"/>
  <c r="E1133" i="5"/>
  <c r="D1134" i="5"/>
  <c r="E1134" i="5"/>
  <c r="D1135" i="5"/>
  <c r="E1135" i="5"/>
  <c r="D1136" i="5"/>
  <c r="E1136" i="5"/>
  <c r="D1137" i="5"/>
  <c r="E1137" i="5"/>
  <c r="D1138" i="5"/>
  <c r="E1138" i="5"/>
  <c r="D1139" i="5"/>
  <c r="E1139" i="5"/>
  <c r="D1140" i="5"/>
  <c r="E1140" i="5"/>
  <c r="D1141" i="5"/>
  <c r="E1141" i="5"/>
  <c r="D1142" i="5"/>
  <c r="E1142" i="5"/>
  <c r="D1143" i="5"/>
  <c r="E1143" i="5"/>
  <c r="D1144" i="5"/>
  <c r="E1144" i="5"/>
  <c r="D1145" i="5"/>
  <c r="E1145" i="5"/>
  <c r="D1146" i="5"/>
  <c r="E1146" i="5"/>
  <c r="D1147" i="5"/>
  <c r="E1147" i="5"/>
  <c r="D1148" i="5"/>
  <c r="E1148" i="5"/>
  <c r="D1149" i="5"/>
  <c r="E1149" i="5"/>
  <c r="D1150" i="5"/>
  <c r="E1150" i="5"/>
  <c r="D1151" i="5"/>
  <c r="E1151" i="5"/>
  <c r="D1152" i="5"/>
  <c r="E1152" i="5"/>
  <c r="D1153" i="5"/>
  <c r="E1153" i="5"/>
  <c r="D1154" i="5"/>
  <c r="E1154" i="5"/>
  <c r="D1155" i="5"/>
  <c r="E1155" i="5"/>
  <c r="D1156" i="5"/>
  <c r="E1156" i="5"/>
  <c r="D1157" i="5"/>
  <c r="E1157" i="5"/>
  <c r="E2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<sst xmlns="http://schemas.openxmlformats.org/spreadsheetml/2006/main" count="1317" uniqueCount="105">
  <si>
    <t>Provinsi Aceh</t>
  </si>
  <si>
    <t>Provinsi Sumatra Utara</t>
  </si>
  <si>
    <t>Provinsi Sumatra Barat</t>
  </si>
  <si>
    <t>Provinsi Riau</t>
  </si>
  <si>
    <t>Provinsi Jambi</t>
  </si>
  <si>
    <t>Provinsi Sumatra Selatan</t>
  </si>
  <si>
    <t>Provinsi Bengkulu</t>
  </si>
  <si>
    <t>Provinsi Lampung</t>
  </si>
  <si>
    <t>Provinsi Bangka Belitung</t>
  </si>
  <si>
    <t>Provinsi Kepulauan Riau</t>
  </si>
  <si>
    <t>Provinsi DKI Jakarta</t>
  </si>
  <si>
    <t>Provinsi Jawa Barat</t>
  </si>
  <si>
    <t>Provinsi Jawa Tengah</t>
  </si>
  <si>
    <t>Provinsi DI Yogyakarta</t>
  </si>
  <si>
    <t>Provinsi Jawa Timur</t>
  </si>
  <si>
    <t>Provinsi Banten</t>
  </si>
  <si>
    <t>Provinsi Bali</t>
  </si>
  <si>
    <t>Provinsi Nusa Tenggara Barat</t>
  </si>
  <si>
    <t>Provinsi Nusa Tenggara Timur</t>
  </si>
  <si>
    <t>Provinsi Kalimantan Barat</t>
  </si>
  <si>
    <t>Provinsi Kalimantan Tengah</t>
  </si>
  <si>
    <t>Provinsi Kalimantan Selatan</t>
  </si>
  <si>
    <t>Provinsi Kalimantan Timur</t>
  </si>
  <si>
    <t>Provinsi Kalimantan Utara</t>
  </si>
  <si>
    <t>Provinsi Sulawesi Utara</t>
  </si>
  <si>
    <t>Provinsi Sulawesi Tengah</t>
  </si>
  <si>
    <t>Provinsi Sulawesi Selatan</t>
  </si>
  <si>
    <t>Provinsi Sulawesi Tenggara</t>
  </si>
  <si>
    <t>Provinsi Gorontalo</t>
  </si>
  <si>
    <t>Provinsi Sulawesi Barat</t>
  </si>
  <si>
    <t xml:space="preserve">Provinsi Maluku </t>
  </si>
  <si>
    <t>Provinsi Maluku Utara</t>
  </si>
  <si>
    <t>Provinsi Papua Barat</t>
  </si>
  <si>
    <t xml:space="preserve">Provinsi Papua 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</si>
  <si>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</si>
  <si>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</si>
  <si>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</si>
  <si>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</si>
  <si>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</si>
  <si>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</si>
  <si>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</si>
  <si>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</si>
  <si>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</si>
  <si>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</si>
  <si>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</si>
  <si>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</si>
  <si>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</si>
  <si>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</si>
  <si>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</si>
  <si>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</si>
  <si>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</si>
  <si>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</si>
  <si>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</si>
  <si>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</si>
  <si>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</si>
  <si>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</si>
  <si>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</si>
  <si>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</si>
  <si>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Kode Pelabuhan</t>
  </si>
  <si>
    <t>No</t>
  </si>
  <si>
    <t xml:space="preserve">Provinsi </t>
  </si>
  <si>
    <t>Provinsi</t>
  </si>
  <si>
    <t>Aceh</t>
  </si>
  <si>
    <t>Bali</t>
  </si>
  <si>
    <t>Banten</t>
  </si>
  <si>
    <t>Bengkulu</t>
  </si>
  <si>
    <t>Gorontalo</t>
  </si>
  <si>
    <t>Jakarta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</si>
  <si>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</si>
  <si>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</si>
  <si>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</si>
  <si>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</si>
  <si>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</si>
  <si>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</si>
  <si>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</si>
  <si>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</si>
  <si>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</si>
  <si>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</si>
  <si>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</si>
  <si>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</si>
  <si>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</si>
  <si>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</si>
  <si>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</si>
  <si>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</si>
  <si>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</si>
  <si>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</si>
  <si>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</si>
  <si>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</si>
  <si>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</si>
  <si>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</si>
  <si>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</si>
  <si>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</si>
  <si>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</si>
  <si>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</si>
  <si>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</si>
  <si>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Yogyakarta</t>
  </si>
  <si>
    <t xml:space="preserve">Asal </t>
  </si>
  <si>
    <t>Tujuan</t>
  </si>
  <si>
    <t>kuantitas (tones)</t>
  </si>
  <si>
    <t>Pelabuhan Asal</t>
  </si>
  <si>
    <t xml:space="preserve">Pelabuhan Tujuan </t>
  </si>
  <si>
    <t>Pelabuhan A</t>
  </si>
  <si>
    <t>Pelabuhan T</t>
  </si>
  <si>
    <t>Flow (Tones)</t>
  </si>
  <si>
    <t>Flow Teus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</si>
</sst>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1" applyNumberFormat="1" applyFont="1"/>
    <xf numFmtId="43" fontId="0" fillId="0" borderId="0" xfId="1" applyFont="1"/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0" fillId="0" borderId="2" xfId="0" applyBorder="1"/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4" fontId="0" fillId="0" borderId="0" xfId="0" applyNumberFormat="1"/>
    <xf numFmtId="3" fontId="0" fillId="0" borderId="2" xfId="0" applyNumberFormat="1" applyBorder="1"/>
    <xf numFmtId="3" fontId="0" fillId="0" borderId="0" xfId="0" applyNumberFormat="1"/>
    <xf numFmtId="3" fontId="0" fillId="2" borderId="2" xfId="0" applyNumberForma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70DF-258F-4C59-B270-CF51A5F7827F}">
  <dimension ref="A1:C35"/>
  <sheetViews>
    <sheetView workbookViewId="0">
      <selection activeCell="B2" sqref="B2"/>
    </sheetView>
  </sheetViews>
  <sheetFormatPr defaultRowHeight="15" x14ac:dyDescent="0.25"/>
  <cols>
    <col min="1" max="1" width="9.140625" style="5"/>
    <col min="2" max="2" width="27.5703125" style="5" bestFit="1" customWidth="1"/>
    <col min="3" max="3" width="9.140625" style="5"/>
  </cols>
  <sheetData>
    <row r="1" spans="1:2" x14ac:dyDescent="0.25">
      <c r="A1" s="5" t="s">
        <v>59</v>
      </c>
      <c r="B1" s="5" t="s">
        <v>60</v>
      </c>
    </row>
    <row r="2" spans="1:2" x14ac:dyDescent="0.25">
      <c r="A2" s="5">
        <v>1</v>
      </c>
      <c r="B2" s="5" t="s">
        <v>0</v>
      </c>
    </row>
    <row r="3" spans="1:2" x14ac:dyDescent="0.25">
      <c r="A3" s="5">
        <v>2</v>
      </c>
      <c r="B3" s="5" t="s">
        <v>1</v>
      </c>
    </row>
    <row r="4" spans="1:2" x14ac:dyDescent="0.25">
      <c r="A4" s="5">
        <v>3</v>
      </c>
      <c r="B4" s="5" t="s">
        <v>2</v>
      </c>
    </row>
    <row r="5" spans="1:2" x14ac:dyDescent="0.25">
      <c r="A5" s="5">
        <v>4</v>
      </c>
      <c r="B5" s="5" t="s">
        <v>3</v>
      </c>
    </row>
    <row r="6" spans="1:2" x14ac:dyDescent="0.25">
      <c r="A6" s="5">
        <v>5</v>
      </c>
      <c r="B6" s="5" t="s">
        <v>4</v>
      </c>
    </row>
    <row r="7" spans="1:2" x14ac:dyDescent="0.25">
      <c r="A7" s="5">
        <v>6</v>
      </c>
      <c r="B7" s="5" t="s">
        <v>5</v>
      </c>
    </row>
    <row r="8" spans="1:2" x14ac:dyDescent="0.25">
      <c r="A8" s="5">
        <v>7</v>
      </c>
      <c r="B8" s="5" t="s">
        <v>6</v>
      </c>
    </row>
    <row r="9" spans="1:2" x14ac:dyDescent="0.25">
      <c r="A9" s="5">
        <v>8</v>
      </c>
      <c r="B9" s="5" t="s">
        <v>7</v>
      </c>
    </row>
    <row r="10" spans="1:2" x14ac:dyDescent="0.25">
      <c r="A10" s="5">
        <v>9</v>
      </c>
      <c r="B10" s="5" t="s">
        <v>8</v>
      </c>
    </row>
    <row r="11" spans="1:2" x14ac:dyDescent="0.25">
      <c r="A11" s="5">
        <v>10</v>
      </c>
      <c r="B11" s="5" t="s">
        <v>9</v>
      </c>
    </row>
    <row r="12" spans="1:2" x14ac:dyDescent="0.25">
      <c r="A12" s="5">
        <v>11</v>
      </c>
      <c r="B12" s="5" t="s">
        <v>10</v>
      </c>
    </row>
    <row r="13" spans="1:2" x14ac:dyDescent="0.25">
      <c r="A13" s="5">
        <v>12</v>
      </c>
      <c r="B13" s="5" t="s">
        <v>11</v>
      </c>
    </row>
    <row r="14" spans="1:2" x14ac:dyDescent="0.25">
      <c r="A14" s="5">
        <v>13</v>
      </c>
      <c r="B14" s="5" t="s">
        <v>12</v>
      </c>
    </row>
    <row r="15" spans="1:2" x14ac:dyDescent="0.25">
      <c r="A15" s="5">
        <v>14</v>
      </c>
      <c r="B15" s="5" t="s">
        <v>13</v>
      </c>
    </row>
    <row r="16" spans="1:2" x14ac:dyDescent="0.25">
      <c r="A16" s="5">
        <v>15</v>
      </c>
      <c r="B16" s="5" t="s">
        <v>14</v>
      </c>
    </row>
    <row r="17" spans="1:2" x14ac:dyDescent="0.25">
      <c r="A17" s="5">
        <v>16</v>
      </c>
      <c r="B17" s="5" t="s">
        <v>15</v>
      </c>
    </row>
    <row r="18" spans="1:2" x14ac:dyDescent="0.25">
      <c r="A18" s="5">
        <v>17</v>
      </c>
      <c r="B18" s="5" t="s">
        <v>16</v>
      </c>
    </row>
    <row r="19" spans="1:2" x14ac:dyDescent="0.25">
      <c r="A19" s="5">
        <v>18</v>
      </c>
      <c r="B19" s="5" t="s">
        <v>17</v>
      </c>
    </row>
    <row r="20" spans="1:2" x14ac:dyDescent="0.25">
      <c r="A20" s="5">
        <v>19</v>
      </c>
      <c r="B20" s="5" t="s">
        <v>18</v>
      </c>
    </row>
    <row r="21" spans="1:2" x14ac:dyDescent="0.25">
      <c r="A21" s="5">
        <v>20</v>
      </c>
      <c r="B21" s="5" t="s">
        <v>19</v>
      </c>
    </row>
    <row r="22" spans="1:2" x14ac:dyDescent="0.25">
      <c r="A22" s="5">
        <v>21</v>
      </c>
      <c r="B22" s="5" t="s">
        <v>20</v>
      </c>
    </row>
    <row r="23" spans="1:2" x14ac:dyDescent="0.25">
      <c r="A23" s="5">
        <v>22</v>
      </c>
      <c r="B23" s="5" t="s">
        <v>21</v>
      </c>
    </row>
    <row r="24" spans="1:2" x14ac:dyDescent="0.25">
      <c r="A24" s="5">
        <v>23</v>
      </c>
      <c r="B24" s="5" t="s">
        <v>22</v>
      </c>
    </row>
    <row r="25" spans="1:2" x14ac:dyDescent="0.25">
      <c r="A25" s="5">
        <v>24</v>
      </c>
      <c r="B25" s="5" t="s">
        <v>23</v>
      </c>
    </row>
    <row r="26" spans="1:2" x14ac:dyDescent="0.25">
      <c r="A26" s="5">
        <v>25</v>
      </c>
      <c r="B26" s="5" t="s">
        <v>24</v>
      </c>
    </row>
    <row r="27" spans="1:2" x14ac:dyDescent="0.25">
      <c r="A27" s="5">
        <v>26</v>
      </c>
      <c r="B27" s="5" t="s">
        <v>25</v>
      </c>
    </row>
    <row r="28" spans="1:2" x14ac:dyDescent="0.25">
      <c r="A28" s="5">
        <v>27</v>
      </c>
      <c r="B28" s="5" t="s">
        <v>26</v>
      </c>
    </row>
    <row r="29" spans="1:2" x14ac:dyDescent="0.25">
      <c r="A29" s="5">
        <v>28</v>
      </c>
      <c r="B29" s="5" t="s">
        <v>27</v>
      </c>
    </row>
    <row r="30" spans="1:2" x14ac:dyDescent="0.25">
      <c r="A30" s="5">
        <v>29</v>
      </c>
      <c r="B30" s="5" t="s">
        <v>28</v>
      </c>
    </row>
    <row r="31" spans="1:2" x14ac:dyDescent="0.25">
      <c r="A31" s="5">
        <v>30</v>
      </c>
      <c r="B31" s="5" t="s">
        <v>29</v>
      </c>
    </row>
    <row r="32" spans="1:2" x14ac:dyDescent="0.25">
      <c r="A32" s="5">
        <v>31</v>
      </c>
      <c r="B32" s="5" t="s">
        <v>30</v>
      </c>
    </row>
    <row r="33" spans="1:2" x14ac:dyDescent="0.25">
      <c r="A33" s="5">
        <v>32</v>
      </c>
      <c r="B33" s="5" t="s">
        <v>31</v>
      </c>
    </row>
    <row r="34" spans="1:2" x14ac:dyDescent="0.25">
      <c r="A34" s="5">
        <v>33</v>
      </c>
      <c r="B34" s="5" t="s">
        <v>32</v>
      </c>
    </row>
    <row r="35" spans="1:2" x14ac:dyDescent="0.25">
      <c r="A35" s="5">
        <v>34</v>
      </c>
      <c r="B35" s="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DE3B-7206-4A22-9300-AF9DA03A6743}">
  <dimension ref="A1:D1156"/>
  <sheetViews>
    <sheetView workbookViewId="0">
      <selection activeCell="E4" sqref="E4"/>
    </sheetView>
  </sheetViews>
  <sheetFormatPr defaultRowHeight="15" x14ac:dyDescent="0.25"/>
  <cols>
    <col min="3" max="3" width="11.5703125" bestFit="1" customWidth="1"/>
    <col min="4" max="4" width="10.5703125" bestFit="1" customWidth="1"/>
  </cols>
  <sheetData>
    <row r="1" spans="1:4" x14ac:dyDescent="0.25">
      <c r="A1">
        <f>INT((ROW()-ROW($A$1))/34)+1</f>
        <v>1</v>
      </c>
      <c r="B1">
        <v>1</v>
      </c>
      <c r="C1" s="1">
        <v>3962012</v>
      </c>
      <c r="D1" s="4"/>
    </row>
    <row r="2" spans="1:4" x14ac:dyDescent="0.25">
      <c r="A2">
        <f t="shared" ref="A2:A65" si="0">INT((ROW()-ROW($A$1))/34)+1</f>
        <v>1</v>
      </c>
      <c r="B2">
        <v>2</v>
      </c>
      <c r="C2" s="1">
        <v>1693796</v>
      </c>
      <c r="D2" s="9"/>
    </row>
    <row r="3" spans="1:4" x14ac:dyDescent="0.25">
      <c r="A3">
        <f t="shared" si="0"/>
        <v>1</v>
      </c>
      <c r="B3">
        <v>3</v>
      </c>
      <c r="C3" s="1">
        <v>246054</v>
      </c>
    </row>
    <row r="4" spans="1:4" x14ac:dyDescent="0.25">
      <c r="A4">
        <f t="shared" si="0"/>
        <v>1</v>
      </c>
      <c r="B4">
        <v>4</v>
      </c>
      <c r="C4" s="1">
        <v>260831</v>
      </c>
    </row>
    <row r="5" spans="1:4" x14ac:dyDescent="0.25">
      <c r="A5">
        <f t="shared" si="0"/>
        <v>1</v>
      </c>
      <c r="B5">
        <v>5</v>
      </c>
      <c r="C5" s="1">
        <v>107798</v>
      </c>
    </row>
    <row r="6" spans="1:4" x14ac:dyDescent="0.25">
      <c r="A6">
        <f t="shared" si="0"/>
        <v>1</v>
      </c>
      <c r="B6">
        <v>6</v>
      </c>
      <c r="C6" s="1">
        <v>210372</v>
      </c>
    </row>
    <row r="7" spans="1:4" x14ac:dyDescent="0.25">
      <c r="A7">
        <f t="shared" si="0"/>
        <v>1</v>
      </c>
      <c r="B7">
        <v>7</v>
      </c>
      <c r="C7" s="1">
        <v>61611</v>
      </c>
    </row>
    <row r="8" spans="1:4" x14ac:dyDescent="0.25">
      <c r="A8">
        <f t="shared" si="0"/>
        <v>1</v>
      </c>
      <c r="B8">
        <v>8</v>
      </c>
      <c r="C8" s="1">
        <v>161730</v>
      </c>
    </row>
    <row r="9" spans="1:4" x14ac:dyDescent="0.25">
      <c r="A9">
        <f t="shared" si="0"/>
        <v>1</v>
      </c>
      <c r="B9">
        <v>9</v>
      </c>
      <c r="C9" s="1">
        <v>32890</v>
      </c>
    </row>
    <row r="10" spans="1:4" x14ac:dyDescent="0.25">
      <c r="A10">
        <f t="shared" si="0"/>
        <v>1</v>
      </c>
      <c r="B10">
        <v>10</v>
      </c>
      <c r="C10" s="1">
        <v>67187</v>
      </c>
    </row>
    <row r="11" spans="1:4" x14ac:dyDescent="0.25">
      <c r="A11">
        <f t="shared" si="0"/>
        <v>1</v>
      </c>
      <c r="B11">
        <v>11</v>
      </c>
      <c r="C11" s="1">
        <v>126557</v>
      </c>
    </row>
    <row r="12" spans="1:4" x14ac:dyDescent="0.25">
      <c r="A12">
        <f t="shared" si="0"/>
        <v>1</v>
      </c>
      <c r="B12">
        <v>12</v>
      </c>
      <c r="C12" s="1">
        <v>659575</v>
      </c>
    </row>
    <row r="13" spans="1:4" x14ac:dyDescent="0.25">
      <c r="A13">
        <f t="shared" si="0"/>
        <v>1</v>
      </c>
      <c r="B13">
        <v>13</v>
      </c>
      <c r="C13" s="1">
        <v>441673</v>
      </c>
    </row>
    <row r="14" spans="1:4" x14ac:dyDescent="0.25">
      <c r="A14">
        <f t="shared" si="0"/>
        <v>1</v>
      </c>
      <c r="B14">
        <v>14</v>
      </c>
      <c r="C14" s="1">
        <v>44122</v>
      </c>
    </row>
    <row r="15" spans="1:4" x14ac:dyDescent="0.25">
      <c r="A15">
        <f t="shared" si="0"/>
        <v>1</v>
      </c>
      <c r="B15">
        <v>15</v>
      </c>
      <c r="C15" s="1">
        <v>436417</v>
      </c>
    </row>
    <row r="16" spans="1:4" x14ac:dyDescent="0.25">
      <c r="A16">
        <f t="shared" si="0"/>
        <v>1</v>
      </c>
      <c r="B16">
        <v>16</v>
      </c>
      <c r="C16" s="1">
        <v>181394</v>
      </c>
    </row>
    <row r="17" spans="1:3" x14ac:dyDescent="0.25">
      <c r="A17">
        <f t="shared" si="0"/>
        <v>1</v>
      </c>
      <c r="B17">
        <v>17</v>
      </c>
      <c r="C17" s="1">
        <v>46610</v>
      </c>
    </row>
    <row r="18" spans="1:3" x14ac:dyDescent="0.25">
      <c r="A18">
        <f t="shared" si="0"/>
        <v>1</v>
      </c>
      <c r="B18">
        <v>18</v>
      </c>
      <c r="C18" s="1">
        <v>59567</v>
      </c>
    </row>
    <row r="19" spans="1:3" x14ac:dyDescent="0.25">
      <c r="A19">
        <f t="shared" si="0"/>
        <v>1</v>
      </c>
      <c r="B19">
        <v>19</v>
      </c>
      <c r="C19" s="1">
        <v>68602</v>
      </c>
    </row>
    <row r="20" spans="1:3" x14ac:dyDescent="0.25">
      <c r="A20">
        <f t="shared" si="0"/>
        <v>1</v>
      </c>
      <c r="B20">
        <v>20</v>
      </c>
      <c r="C20" s="1">
        <v>107767</v>
      </c>
    </row>
    <row r="21" spans="1:3" x14ac:dyDescent="0.25">
      <c r="A21">
        <f t="shared" si="0"/>
        <v>1</v>
      </c>
      <c r="B21">
        <v>21</v>
      </c>
      <c r="C21" s="1">
        <v>48537</v>
      </c>
    </row>
    <row r="22" spans="1:3" x14ac:dyDescent="0.25">
      <c r="A22">
        <f t="shared" si="0"/>
        <v>1</v>
      </c>
      <c r="B22">
        <v>22</v>
      </c>
      <c r="C22" s="1">
        <v>62945</v>
      </c>
    </row>
    <row r="23" spans="1:3" x14ac:dyDescent="0.25">
      <c r="A23">
        <f t="shared" si="0"/>
        <v>1</v>
      </c>
      <c r="B23">
        <v>23</v>
      </c>
      <c r="C23" s="1">
        <v>46474</v>
      </c>
    </row>
    <row r="24" spans="1:3" x14ac:dyDescent="0.25">
      <c r="A24">
        <f t="shared" si="0"/>
        <v>1</v>
      </c>
      <c r="B24">
        <v>24</v>
      </c>
      <c r="C24" s="1">
        <v>8020</v>
      </c>
    </row>
    <row r="25" spans="1:3" x14ac:dyDescent="0.25">
      <c r="A25">
        <f t="shared" si="0"/>
        <v>1</v>
      </c>
      <c r="B25">
        <v>25</v>
      </c>
      <c r="C25" s="1">
        <v>29898</v>
      </c>
    </row>
    <row r="26" spans="1:3" x14ac:dyDescent="0.25">
      <c r="A26">
        <f t="shared" si="0"/>
        <v>1</v>
      </c>
      <c r="B26">
        <v>26</v>
      </c>
      <c r="C26" s="1">
        <v>40732</v>
      </c>
    </row>
    <row r="27" spans="1:3" x14ac:dyDescent="0.25">
      <c r="A27">
        <f t="shared" si="0"/>
        <v>1</v>
      </c>
      <c r="B27">
        <v>27</v>
      </c>
      <c r="C27" s="1">
        <v>105984</v>
      </c>
    </row>
    <row r="28" spans="1:3" x14ac:dyDescent="0.25">
      <c r="A28">
        <f t="shared" si="0"/>
        <v>1</v>
      </c>
      <c r="B28">
        <v>28</v>
      </c>
      <c r="C28" s="1">
        <v>32252</v>
      </c>
    </row>
    <row r="29" spans="1:3" x14ac:dyDescent="0.25">
      <c r="A29">
        <f t="shared" si="0"/>
        <v>1</v>
      </c>
      <c r="B29">
        <v>29</v>
      </c>
      <c r="C29" s="1">
        <v>12767</v>
      </c>
    </row>
    <row r="30" spans="1:3" x14ac:dyDescent="0.25">
      <c r="A30">
        <f t="shared" si="0"/>
        <v>1</v>
      </c>
      <c r="B30">
        <v>30</v>
      </c>
      <c r="C30" s="1">
        <v>18053</v>
      </c>
    </row>
    <row r="31" spans="1:3" x14ac:dyDescent="0.25">
      <c r="A31">
        <f t="shared" si="0"/>
        <v>1</v>
      </c>
      <c r="B31">
        <v>31</v>
      </c>
      <c r="C31" s="1">
        <v>27561</v>
      </c>
    </row>
    <row r="32" spans="1:3" x14ac:dyDescent="0.25">
      <c r="A32">
        <f t="shared" si="0"/>
        <v>1</v>
      </c>
      <c r="B32">
        <v>32</v>
      </c>
      <c r="C32" s="1">
        <v>17406</v>
      </c>
    </row>
    <row r="33" spans="1:3" x14ac:dyDescent="0.25">
      <c r="A33">
        <f t="shared" si="0"/>
        <v>1</v>
      </c>
      <c r="B33">
        <v>33</v>
      </c>
      <c r="C33" s="1">
        <v>6621.9969230439083</v>
      </c>
    </row>
    <row r="34" spans="1:3" x14ac:dyDescent="0.25">
      <c r="A34">
        <f t="shared" si="0"/>
        <v>1</v>
      </c>
      <c r="B34">
        <v>34</v>
      </c>
      <c r="C34" s="1">
        <v>23775.003076956098</v>
      </c>
    </row>
    <row r="35" spans="1:3" x14ac:dyDescent="0.25">
      <c r="A35">
        <f t="shared" si="0"/>
        <v>2</v>
      </c>
      <c r="B35">
        <v>1</v>
      </c>
      <c r="C35" s="1">
        <v>726098</v>
      </c>
    </row>
    <row r="36" spans="1:3" x14ac:dyDescent="0.25">
      <c r="A36">
        <f t="shared" si="0"/>
        <v>2</v>
      </c>
      <c r="B36">
        <v>2</v>
      </c>
      <c r="C36" s="1">
        <v>7827775</v>
      </c>
    </row>
    <row r="37" spans="1:3" x14ac:dyDescent="0.25">
      <c r="A37">
        <f t="shared" si="0"/>
        <v>2</v>
      </c>
      <c r="B37">
        <v>3</v>
      </c>
      <c r="C37" s="1">
        <v>536337</v>
      </c>
    </row>
    <row r="38" spans="1:3" x14ac:dyDescent="0.25">
      <c r="A38">
        <f t="shared" si="0"/>
        <v>2</v>
      </c>
      <c r="B38">
        <v>4</v>
      </c>
      <c r="C38" s="1">
        <v>732691</v>
      </c>
    </row>
    <row r="39" spans="1:3" x14ac:dyDescent="0.25">
      <c r="A39">
        <f t="shared" si="0"/>
        <v>2</v>
      </c>
      <c r="B39">
        <v>5</v>
      </c>
      <c r="C39" s="1">
        <v>276557</v>
      </c>
    </row>
    <row r="40" spans="1:3" x14ac:dyDescent="0.25">
      <c r="A40">
        <f t="shared" si="0"/>
        <v>2</v>
      </c>
      <c r="B40">
        <v>6</v>
      </c>
      <c r="C40" s="1">
        <v>337349</v>
      </c>
    </row>
    <row r="41" spans="1:3" x14ac:dyDescent="0.25">
      <c r="A41">
        <f t="shared" si="0"/>
        <v>2</v>
      </c>
      <c r="B41">
        <v>7</v>
      </c>
      <c r="C41" s="1">
        <v>106309</v>
      </c>
    </row>
    <row r="42" spans="1:3" x14ac:dyDescent="0.25">
      <c r="A42">
        <f t="shared" si="0"/>
        <v>2</v>
      </c>
      <c r="B42">
        <v>8</v>
      </c>
      <c r="C42" s="1">
        <v>245650</v>
      </c>
    </row>
    <row r="43" spans="1:3" x14ac:dyDescent="0.25">
      <c r="A43">
        <f t="shared" si="0"/>
        <v>2</v>
      </c>
      <c r="B43">
        <v>9</v>
      </c>
      <c r="C43" s="1">
        <v>68235</v>
      </c>
    </row>
    <row r="44" spans="1:3" x14ac:dyDescent="0.25">
      <c r="A44">
        <f t="shared" si="0"/>
        <v>2</v>
      </c>
      <c r="B44">
        <v>10</v>
      </c>
      <c r="C44" s="1">
        <v>138115</v>
      </c>
    </row>
    <row r="45" spans="1:3" x14ac:dyDescent="0.25">
      <c r="A45">
        <f t="shared" si="0"/>
        <v>2</v>
      </c>
      <c r="B45">
        <v>11</v>
      </c>
      <c r="C45" s="1">
        <v>303119</v>
      </c>
    </row>
    <row r="46" spans="1:3" x14ac:dyDescent="0.25">
      <c r="A46">
        <f t="shared" si="0"/>
        <v>2</v>
      </c>
      <c r="B46">
        <v>12</v>
      </c>
      <c r="C46" s="1">
        <v>1274309</v>
      </c>
    </row>
    <row r="47" spans="1:3" x14ac:dyDescent="0.25">
      <c r="A47">
        <f t="shared" si="0"/>
        <v>2</v>
      </c>
      <c r="B47">
        <v>13</v>
      </c>
      <c r="C47" s="1">
        <v>764671</v>
      </c>
    </row>
    <row r="48" spans="1:3" x14ac:dyDescent="0.25">
      <c r="A48">
        <f t="shared" si="0"/>
        <v>2</v>
      </c>
      <c r="B48">
        <v>14</v>
      </c>
      <c r="C48" s="1">
        <v>79636</v>
      </c>
    </row>
    <row r="49" spans="1:3" x14ac:dyDescent="0.25">
      <c r="A49">
        <f t="shared" si="0"/>
        <v>2</v>
      </c>
      <c r="B49">
        <v>15</v>
      </c>
      <c r="C49" s="1">
        <v>808715</v>
      </c>
    </row>
    <row r="50" spans="1:3" x14ac:dyDescent="0.25">
      <c r="A50">
        <f t="shared" si="0"/>
        <v>2</v>
      </c>
      <c r="B50">
        <v>16</v>
      </c>
      <c r="C50" s="1">
        <v>391477</v>
      </c>
    </row>
    <row r="51" spans="1:3" x14ac:dyDescent="0.25">
      <c r="A51">
        <f t="shared" si="0"/>
        <v>2</v>
      </c>
      <c r="B51">
        <v>17</v>
      </c>
      <c r="C51" s="1">
        <v>80328</v>
      </c>
    </row>
    <row r="52" spans="1:3" x14ac:dyDescent="0.25">
      <c r="A52">
        <f t="shared" si="0"/>
        <v>2</v>
      </c>
      <c r="B52">
        <v>18</v>
      </c>
      <c r="C52" s="1">
        <v>98489</v>
      </c>
    </row>
    <row r="53" spans="1:3" x14ac:dyDescent="0.25">
      <c r="A53">
        <f t="shared" si="0"/>
        <v>2</v>
      </c>
      <c r="B53">
        <v>19</v>
      </c>
      <c r="C53" s="1">
        <v>108275</v>
      </c>
    </row>
    <row r="54" spans="1:3" x14ac:dyDescent="0.25">
      <c r="A54">
        <f t="shared" si="0"/>
        <v>2</v>
      </c>
      <c r="B54">
        <v>20</v>
      </c>
      <c r="C54" s="1">
        <v>166558</v>
      </c>
    </row>
    <row r="55" spans="1:3" x14ac:dyDescent="0.25">
      <c r="A55">
        <f t="shared" si="0"/>
        <v>2</v>
      </c>
      <c r="B55">
        <v>21</v>
      </c>
      <c r="C55" s="1">
        <v>67623</v>
      </c>
    </row>
    <row r="56" spans="1:3" x14ac:dyDescent="0.25">
      <c r="A56">
        <f t="shared" si="0"/>
        <v>2</v>
      </c>
      <c r="B56">
        <v>22</v>
      </c>
      <c r="C56" s="1">
        <v>89771</v>
      </c>
    </row>
    <row r="57" spans="1:3" x14ac:dyDescent="0.25">
      <c r="A57">
        <f t="shared" si="0"/>
        <v>2</v>
      </c>
      <c r="B57">
        <v>23</v>
      </c>
      <c r="C57" s="1">
        <v>87811</v>
      </c>
    </row>
    <row r="58" spans="1:3" x14ac:dyDescent="0.25">
      <c r="A58">
        <f t="shared" si="0"/>
        <v>2</v>
      </c>
      <c r="B58">
        <v>24</v>
      </c>
      <c r="C58" s="1">
        <v>12574</v>
      </c>
    </row>
    <row r="59" spans="1:3" x14ac:dyDescent="0.25">
      <c r="A59">
        <f t="shared" si="0"/>
        <v>2</v>
      </c>
      <c r="B59">
        <v>25</v>
      </c>
      <c r="C59" s="1">
        <v>41931</v>
      </c>
    </row>
    <row r="60" spans="1:3" x14ac:dyDescent="0.25">
      <c r="A60">
        <f t="shared" si="0"/>
        <v>2</v>
      </c>
      <c r="B60">
        <v>26</v>
      </c>
      <c r="C60" s="1">
        <v>55671</v>
      </c>
    </row>
    <row r="61" spans="1:3" x14ac:dyDescent="0.25">
      <c r="A61">
        <f t="shared" si="0"/>
        <v>2</v>
      </c>
      <c r="B61">
        <v>27</v>
      </c>
      <c r="C61" s="1">
        <v>172832</v>
      </c>
    </row>
    <row r="62" spans="1:3" x14ac:dyDescent="0.25">
      <c r="A62">
        <f t="shared" si="0"/>
        <v>2</v>
      </c>
      <c r="B62">
        <v>28</v>
      </c>
      <c r="C62" s="1">
        <v>47335</v>
      </c>
    </row>
    <row r="63" spans="1:3" x14ac:dyDescent="0.25">
      <c r="A63">
        <f t="shared" si="0"/>
        <v>2</v>
      </c>
      <c r="B63">
        <v>29</v>
      </c>
      <c r="C63" s="1">
        <v>17069</v>
      </c>
    </row>
    <row r="64" spans="1:3" x14ac:dyDescent="0.25">
      <c r="A64">
        <f t="shared" si="0"/>
        <v>2</v>
      </c>
      <c r="B64">
        <v>30</v>
      </c>
      <c r="C64" s="1">
        <v>28010</v>
      </c>
    </row>
    <row r="65" spans="1:3" x14ac:dyDescent="0.25">
      <c r="A65">
        <f t="shared" si="0"/>
        <v>2</v>
      </c>
      <c r="B65">
        <v>31</v>
      </c>
      <c r="C65" s="1">
        <v>33599</v>
      </c>
    </row>
    <row r="66" spans="1:3" x14ac:dyDescent="0.25">
      <c r="A66">
        <f t="shared" ref="A66:A129" si="1">INT((ROW()-ROW($A$1))/34)+1</f>
        <v>2</v>
      </c>
      <c r="B66">
        <v>32</v>
      </c>
      <c r="C66" s="1">
        <v>18571</v>
      </c>
    </row>
    <row r="67" spans="1:3" x14ac:dyDescent="0.25">
      <c r="A67">
        <f t="shared" si="1"/>
        <v>2</v>
      </c>
      <c r="B67">
        <v>33</v>
      </c>
      <c r="C67" s="1">
        <v>8835.7921242799566</v>
      </c>
    </row>
    <row r="68" spans="1:3" x14ac:dyDescent="0.25">
      <c r="A68">
        <f t="shared" si="1"/>
        <v>2</v>
      </c>
      <c r="B68">
        <v>34</v>
      </c>
      <c r="C68" s="1">
        <v>31723.207875720054</v>
      </c>
    </row>
    <row r="69" spans="1:3" x14ac:dyDescent="0.25">
      <c r="A69">
        <f t="shared" si="1"/>
        <v>3</v>
      </c>
      <c r="B69">
        <v>1</v>
      </c>
      <c r="C69" s="1">
        <v>253939</v>
      </c>
    </row>
    <row r="70" spans="1:3" x14ac:dyDescent="0.25">
      <c r="A70">
        <f t="shared" si="1"/>
        <v>3</v>
      </c>
      <c r="B70">
        <v>2</v>
      </c>
      <c r="C70" s="1">
        <v>936663</v>
      </c>
    </row>
    <row r="71" spans="1:3" x14ac:dyDescent="0.25">
      <c r="A71">
        <f t="shared" si="1"/>
        <v>3</v>
      </c>
      <c r="B71">
        <v>3</v>
      </c>
      <c r="C71" s="1">
        <v>3787636</v>
      </c>
    </row>
    <row r="72" spans="1:3" x14ac:dyDescent="0.25">
      <c r="A72">
        <f t="shared" si="1"/>
        <v>3</v>
      </c>
      <c r="B72">
        <v>4</v>
      </c>
      <c r="C72" s="1">
        <v>794948</v>
      </c>
    </row>
    <row r="73" spans="1:3" x14ac:dyDescent="0.25">
      <c r="A73">
        <f t="shared" si="1"/>
        <v>3</v>
      </c>
      <c r="B73">
        <v>5</v>
      </c>
      <c r="C73" s="1">
        <v>353218</v>
      </c>
    </row>
    <row r="74" spans="1:3" x14ac:dyDescent="0.25">
      <c r="A74">
        <f t="shared" si="1"/>
        <v>3</v>
      </c>
      <c r="B74">
        <v>6</v>
      </c>
      <c r="C74" s="1">
        <v>388456</v>
      </c>
    </row>
    <row r="75" spans="1:3" x14ac:dyDescent="0.25">
      <c r="A75">
        <f t="shared" si="1"/>
        <v>3</v>
      </c>
      <c r="B75">
        <v>7</v>
      </c>
      <c r="C75" s="1">
        <v>141414</v>
      </c>
    </row>
    <row r="76" spans="1:3" x14ac:dyDescent="0.25">
      <c r="A76">
        <f t="shared" si="1"/>
        <v>3</v>
      </c>
      <c r="B76">
        <v>8</v>
      </c>
      <c r="C76" s="1">
        <v>248623</v>
      </c>
    </row>
    <row r="77" spans="1:3" x14ac:dyDescent="0.25">
      <c r="A77">
        <f t="shared" si="1"/>
        <v>3</v>
      </c>
      <c r="B77">
        <v>9</v>
      </c>
      <c r="C77" s="1">
        <v>58333</v>
      </c>
    </row>
    <row r="78" spans="1:3" x14ac:dyDescent="0.25">
      <c r="A78">
        <f t="shared" si="1"/>
        <v>3</v>
      </c>
      <c r="B78">
        <v>10</v>
      </c>
      <c r="C78" s="1">
        <v>127723</v>
      </c>
    </row>
    <row r="79" spans="1:3" x14ac:dyDescent="0.25">
      <c r="A79">
        <f t="shared" si="1"/>
        <v>3</v>
      </c>
      <c r="B79">
        <v>11</v>
      </c>
      <c r="C79" s="1">
        <v>227293</v>
      </c>
    </row>
    <row r="80" spans="1:3" x14ac:dyDescent="0.25">
      <c r="A80">
        <f t="shared" si="1"/>
        <v>3</v>
      </c>
      <c r="B80">
        <v>12</v>
      </c>
      <c r="C80" s="1">
        <v>1058234</v>
      </c>
    </row>
    <row r="81" spans="1:3" x14ac:dyDescent="0.25">
      <c r="A81">
        <f t="shared" si="1"/>
        <v>3</v>
      </c>
      <c r="B81">
        <v>13</v>
      </c>
      <c r="C81" s="1">
        <v>643381</v>
      </c>
    </row>
    <row r="82" spans="1:3" x14ac:dyDescent="0.25">
      <c r="A82">
        <f t="shared" si="1"/>
        <v>3</v>
      </c>
      <c r="B82">
        <v>14</v>
      </c>
      <c r="C82" s="1">
        <v>67431</v>
      </c>
    </row>
    <row r="83" spans="1:3" x14ac:dyDescent="0.25">
      <c r="A83">
        <f t="shared" si="1"/>
        <v>3</v>
      </c>
      <c r="B83">
        <v>15</v>
      </c>
      <c r="C83" s="1">
        <v>607451</v>
      </c>
    </row>
    <row r="84" spans="1:3" x14ac:dyDescent="0.25">
      <c r="A84">
        <f t="shared" si="1"/>
        <v>3</v>
      </c>
      <c r="B84">
        <v>16</v>
      </c>
      <c r="C84" s="1">
        <v>301843</v>
      </c>
    </row>
    <row r="85" spans="1:3" x14ac:dyDescent="0.25">
      <c r="A85">
        <f t="shared" si="1"/>
        <v>3</v>
      </c>
      <c r="B85">
        <v>17</v>
      </c>
      <c r="C85" s="1">
        <v>63617</v>
      </c>
    </row>
    <row r="86" spans="1:3" x14ac:dyDescent="0.25">
      <c r="A86">
        <f t="shared" si="1"/>
        <v>3</v>
      </c>
      <c r="B86">
        <v>18</v>
      </c>
      <c r="C86" s="1">
        <v>75433</v>
      </c>
    </row>
    <row r="87" spans="1:3" x14ac:dyDescent="0.25">
      <c r="A87">
        <f t="shared" si="1"/>
        <v>3</v>
      </c>
      <c r="B87">
        <v>19</v>
      </c>
      <c r="C87" s="1">
        <v>83995</v>
      </c>
    </row>
    <row r="88" spans="1:3" x14ac:dyDescent="0.25">
      <c r="A88">
        <f t="shared" si="1"/>
        <v>3</v>
      </c>
      <c r="B88">
        <v>20</v>
      </c>
      <c r="C88" s="1">
        <v>135611</v>
      </c>
    </row>
    <row r="89" spans="1:3" x14ac:dyDescent="0.25">
      <c r="A89">
        <f t="shared" si="1"/>
        <v>3</v>
      </c>
      <c r="B89">
        <v>21</v>
      </c>
      <c r="C89" s="1">
        <v>61046</v>
      </c>
    </row>
    <row r="90" spans="1:3" x14ac:dyDescent="0.25">
      <c r="A90">
        <f t="shared" si="1"/>
        <v>3</v>
      </c>
      <c r="B90">
        <v>22</v>
      </c>
      <c r="C90" s="1">
        <v>70667</v>
      </c>
    </row>
    <row r="91" spans="1:3" x14ac:dyDescent="0.25">
      <c r="A91">
        <f t="shared" si="1"/>
        <v>3</v>
      </c>
      <c r="B91">
        <v>23</v>
      </c>
      <c r="C91" s="1">
        <v>56502</v>
      </c>
    </row>
    <row r="92" spans="1:3" x14ac:dyDescent="0.25">
      <c r="A92">
        <f t="shared" si="1"/>
        <v>3</v>
      </c>
      <c r="B92">
        <v>24</v>
      </c>
      <c r="C92" s="1">
        <v>9166</v>
      </c>
    </row>
    <row r="93" spans="1:3" x14ac:dyDescent="0.25">
      <c r="A93">
        <f t="shared" si="1"/>
        <v>3</v>
      </c>
      <c r="B93">
        <v>25</v>
      </c>
      <c r="C93" s="1">
        <v>29824</v>
      </c>
    </row>
    <row r="94" spans="1:3" x14ac:dyDescent="0.25">
      <c r="A94">
        <f t="shared" si="1"/>
        <v>3</v>
      </c>
      <c r="B94">
        <v>26</v>
      </c>
      <c r="C94" s="1">
        <v>41612</v>
      </c>
    </row>
    <row r="95" spans="1:3" x14ac:dyDescent="0.25">
      <c r="A95">
        <f t="shared" si="1"/>
        <v>3</v>
      </c>
      <c r="B95">
        <v>27</v>
      </c>
      <c r="C95" s="1">
        <v>115686</v>
      </c>
    </row>
    <row r="96" spans="1:3" x14ac:dyDescent="0.25">
      <c r="A96">
        <f t="shared" si="1"/>
        <v>3</v>
      </c>
      <c r="B96">
        <v>28</v>
      </c>
      <c r="C96" s="1">
        <v>35753</v>
      </c>
    </row>
    <row r="97" spans="1:3" x14ac:dyDescent="0.25">
      <c r="A97">
        <f t="shared" si="1"/>
        <v>3</v>
      </c>
      <c r="B97">
        <v>29</v>
      </c>
      <c r="C97" s="1">
        <v>12854</v>
      </c>
    </row>
    <row r="98" spans="1:3" x14ac:dyDescent="0.25">
      <c r="A98">
        <f t="shared" si="1"/>
        <v>3</v>
      </c>
      <c r="B98">
        <v>30</v>
      </c>
      <c r="C98" s="1">
        <v>19907</v>
      </c>
    </row>
    <row r="99" spans="1:3" x14ac:dyDescent="0.25">
      <c r="A99">
        <f t="shared" si="1"/>
        <v>3</v>
      </c>
      <c r="B99">
        <v>31</v>
      </c>
      <c r="C99" s="1">
        <v>26233</v>
      </c>
    </row>
    <row r="100" spans="1:3" x14ac:dyDescent="0.25">
      <c r="A100">
        <f t="shared" si="1"/>
        <v>3</v>
      </c>
      <c r="B100">
        <v>32</v>
      </c>
      <c r="C100" s="1">
        <v>14929</v>
      </c>
    </row>
    <row r="101" spans="1:3" x14ac:dyDescent="0.25">
      <c r="A101">
        <f t="shared" si="1"/>
        <v>3</v>
      </c>
      <c r="B101">
        <v>33</v>
      </c>
      <c r="C101" s="1">
        <v>6687.7877270955996</v>
      </c>
    </row>
    <row r="102" spans="1:3" x14ac:dyDescent="0.25">
      <c r="A102">
        <f t="shared" si="1"/>
        <v>3</v>
      </c>
      <c r="B102">
        <v>34</v>
      </c>
      <c r="C102" s="1">
        <v>24011.212272904409</v>
      </c>
    </row>
    <row r="103" spans="1:3" x14ac:dyDescent="0.25">
      <c r="A103">
        <f t="shared" si="1"/>
        <v>4</v>
      </c>
      <c r="B103">
        <v>1</v>
      </c>
      <c r="C103" s="1">
        <v>46077</v>
      </c>
    </row>
    <row r="104" spans="1:3" x14ac:dyDescent="0.25">
      <c r="A104">
        <f t="shared" si="1"/>
        <v>4</v>
      </c>
      <c r="B104">
        <v>2</v>
      </c>
      <c r="C104" s="1">
        <v>180188</v>
      </c>
    </row>
    <row r="105" spans="1:3" x14ac:dyDescent="0.25">
      <c r="A105">
        <f t="shared" si="1"/>
        <v>4</v>
      </c>
      <c r="B105">
        <v>3</v>
      </c>
      <c r="C105" s="1">
        <v>126415</v>
      </c>
    </row>
    <row r="106" spans="1:3" x14ac:dyDescent="0.25">
      <c r="A106">
        <f t="shared" si="1"/>
        <v>4</v>
      </c>
      <c r="B106">
        <v>4</v>
      </c>
      <c r="C106" s="1">
        <v>515289</v>
      </c>
    </row>
    <row r="107" spans="1:3" x14ac:dyDescent="0.25">
      <c r="A107">
        <f t="shared" si="1"/>
        <v>4</v>
      </c>
      <c r="B107">
        <v>5</v>
      </c>
      <c r="C107" s="1">
        <v>78081</v>
      </c>
    </row>
    <row r="108" spans="1:3" x14ac:dyDescent="0.25">
      <c r="A108">
        <f t="shared" si="1"/>
        <v>4</v>
      </c>
      <c r="B108">
        <v>6</v>
      </c>
      <c r="C108" s="1">
        <v>80096</v>
      </c>
    </row>
    <row r="109" spans="1:3" x14ac:dyDescent="0.25">
      <c r="A109">
        <f t="shared" si="1"/>
        <v>4</v>
      </c>
      <c r="B109">
        <v>7</v>
      </c>
      <c r="C109" s="1">
        <v>22262</v>
      </c>
    </row>
    <row r="110" spans="1:3" x14ac:dyDescent="0.25">
      <c r="A110">
        <f t="shared" si="1"/>
        <v>4</v>
      </c>
      <c r="B110">
        <v>8</v>
      </c>
      <c r="C110" s="1">
        <v>50824</v>
      </c>
    </row>
    <row r="111" spans="1:3" x14ac:dyDescent="0.25">
      <c r="A111">
        <f t="shared" si="1"/>
        <v>4</v>
      </c>
      <c r="B111">
        <v>9</v>
      </c>
      <c r="C111" s="1">
        <v>13570</v>
      </c>
    </row>
    <row r="112" spans="1:3" x14ac:dyDescent="0.25">
      <c r="A112">
        <f t="shared" si="1"/>
        <v>4</v>
      </c>
      <c r="B112">
        <v>10</v>
      </c>
      <c r="C112" s="1">
        <v>43561</v>
      </c>
    </row>
    <row r="113" spans="1:3" x14ac:dyDescent="0.25">
      <c r="A113">
        <f t="shared" si="1"/>
        <v>4</v>
      </c>
      <c r="B113">
        <v>11</v>
      </c>
      <c r="C113" s="1">
        <v>51261</v>
      </c>
    </row>
    <row r="114" spans="1:3" x14ac:dyDescent="0.25">
      <c r="A114">
        <f t="shared" si="1"/>
        <v>4</v>
      </c>
      <c r="B114">
        <v>12</v>
      </c>
      <c r="C114" s="1">
        <v>224648</v>
      </c>
    </row>
    <row r="115" spans="1:3" x14ac:dyDescent="0.25">
      <c r="A115">
        <f t="shared" si="1"/>
        <v>4</v>
      </c>
      <c r="B115">
        <v>13</v>
      </c>
      <c r="C115" s="1">
        <v>134589</v>
      </c>
    </row>
    <row r="116" spans="1:3" x14ac:dyDescent="0.25">
      <c r="A116">
        <f t="shared" si="1"/>
        <v>4</v>
      </c>
      <c r="B116">
        <v>14</v>
      </c>
      <c r="C116" s="1">
        <v>13923</v>
      </c>
    </row>
    <row r="117" spans="1:3" x14ac:dyDescent="0.25">
      <c r="A117">
        <f t="shared" si="1"/>
        <v>4</v>
      </c>
      <c r="B117">
        <v>15</v>
      </c>
      <c r="C117" s="1">
        <v>131162</v>
      </c>
    </row>
    <row r="118" spans="1:3" x14ac:dyDescent="0.25">
      <c r="A118">
        <f t="shared" si="1"/>
        <v>4</v>
      </c>
      <c r="B118">
        <v>16</v>
      </c>
      <c r="C118" s="1">
        <v>66198</v>
      </c>
    </row>
    <row r="119" spans="1:3" x14ac:dyDescent="0.25">
      <c r="A119">
        <f t="shared" si="1"/>
        <v>4</v>
      </c>
      <c r="B119">
        <v>17</v>
      </c>
      <c r="C119" s="1">
        <v>12995</v>
      </c>
    </row>
    <row r="120" spans="1:3" x14ac:dyDescent="0.25">
      <c r="A120">
        <f t="shared" si="1"/>
        <v>4</v>
      </c>
      <c r="B120">
        <v>18</v>
      </c>
      <c r="C120" s="1">
        <v>15168</v>
      </c>
    </row>
    <row r="121" spans="1:3" x14ac:dyDescent="0.25">
      <c r="A121">
        <f t="shared" si="1"/>
        <v>4</v>
      </c>
      <c r="B121">
        <v>19</v>
      </c>
      <c r="C121" s="1">
        <v>16079</v>
      </c>
    </row>
    <row r="122" spans="1:3" x14ac:dyDescent="0.25">
      <c r="A122">
        <f t="shared" si="1"/>
        <v>4</v>
      </c>
      <c r="B122">
        <v>20</v>
      </c>
      <c r="C122" s="1">
        <v>30267</v>
      </c>
    </row>
    <row r="123" spans="1:3" x14ac:dyDescent="0.25">
      <c r="A123">
        <f t="shared" si="1"/>
        <v>4</v>
      </c>
      <c r="B123">
        <v>21</v>
      </c>
      <c r="C123" s="1">
        <v>11496</v>
      </c>
    </row>
    <row r="124" spans="1:3" x14ac:dyDescent="0.25">
      <c r="A124">
        <f t="shared" si="1"/>
        <v>4</v>
      </c>
      <c r="B124">
        <v>22</v>
      </c>
      <c r="C124" s="1">
        <v>14730</v>
      </c>
    </row>
    <row r="125" spans="1:3" x14ac:dyDescent="0.25">
      <c r="A125">
        <f t="shared" si="1"/>
        <v>4</v>
      </c>
      <c r="B125">
        <v>23</v>
      </c>
      <c r="C125" s="1">
        <v>11783</v>
      </c>
    </row>
    <row r="126" spans="1:3" x14ac:dyDescent="0.25">
      <c r="A126">
        <f t="shared" si="1"/>
        <v>4</v>
      </c>
      <c r="B126">
        <v>24</v>
      </c>
      <c r="C126" s="1">
        <v>1878</v>
      </c>
    </row>
    <row r="127" spans="1:3" x14ac:dyDescent="0.25">
      <c r="A127">
        <f t="shared" si="1"/>
        <v>4</v>
      </c>
      <c r="B127">
        <v>25</v>
      </c>
      <c r="C127" s="1">
        <v>5911</v>
      </c>
    </row>
    <row r="128" spans="1:3" x14ac:dyDescent="0.25">
      <c r="A128">
        <f t="shared" si="1"/>
        <v>4</v>
      </c>
      <c r="B128">
        <v>26</v>
      </c>
      <c r="C128" s="1">
        <v>8443</v>
      </c>
    </row>
    <row r="129" spans="1:3" x14ac:dyDescent="0.25">
      <c r="A129">
        <f t="shared" si="1"/>
        <v>4</v>
      </c>
      <c r="B129">
        <v>27</v>
      </c>
      <c r="C129" s="1">
        <v>23821</v>
      </c>
    </row>
    <row r="130" spans="1:3" x14ac:dyDescent="0.25">
      <c r="A130">
        <f t="shared" ref="A130:A193" si="2">INT((ROW()-ROW($A$1))/34)+1</f>
        <v>4</v>
      </c>
      <c r="B130">
        <v>28</v>
      </c>
      <c r="C130" s="1">
        <v>7111</v>
      </c>
    </row>
    <row r="131" spans="1:3" x14ac:dyDescent="0.25">
      <c r="A131">
        <f t="shared" si="2"/>
        <v>4</v>
      </c>
      <c r="B131">
        <v>29</v>
      </c>
      <c r="C131" s="1">
        <v>2582</v>
      </c>
    </row>
    <row r="132" spans="1:3" x14ac:dyDescent="0.25">
      <c r="A132">
        <f t="shared" si="2"/>
        <v>4</v>
      </c>
      <c r="B132">
        <v>30</v>
      </c>
      <c r="C132" s="1">
        <v>4012</v>
      </c>
    </row>
    <row r="133" spans="1:3" x14ac:dyDescent="0.25">
      <c r="A133">
        <f t="shared" si="2"/>
        <v>4</v>
      </c>
      <c r="B133">
        <v>31</v>
      </c>
      <c r="C133" s="1">
        <v>4853</v>
      </c>
    </row>
    <row r="134" spans="1:3" x14ac:dyDescent="0.25">
      <c r="A134">
        <f t="shared" si="2"/>
        <v>4</v>
      </c>
      <c r="B134">
        <v>32</v>
      </c>
      <c r="C134" s="1">
        <v>2825</v>
      </c>
    </row>
    <row r="135" spans="1:3" x14ac:dyDescent="0.25">
      <c r="A135">
        <f t="shared" si="2"/>
        <v>4</v>
      </c>
      <c r="B135">
        <v>33</v>
      </c>
      <c r="C135" s="1">
        <v>1217.565575645373</v>
      </c>
    </row>
    <row r="136" spans="1:3" x14ac:dyDescent="0.25">
      <c r="A136">
        <f t="shared" si="2"/>
        <v>4</v>
      </c>
      <c r="B136">
        <v>34</v>
      </c>
      <c r="C136" s="1">
        <v>4371.4344243546284</v>
      </c>
    </row>
    <row r="137" spans="1:3" x14ac:dyDescent="0.25">
      <c r="A137">
        <f t="shared" si="2"/>
        <v>5</v>
      </c>
      <c r="B137">
        <v>1</v>
      </c>
      <c r="C137" s="1">
        <v>53731</v>
      </c>
    </row>
    <row r="138" spans="1:3" x14ac:dyDescent="0.25">
      <c r="A138">
        <f t="shared" si="2"/>
        <v>5</v>
      </c>
      <c r="B138">
        <v>2</v>
      </c>
      <c r="C138" s="1">
        <v>148924</v>
      </c>
    </row>
    <row r="139" spans="1:3" x14ac:dyDescent="0.25">
      <c r="A139">
        <f t="shared" si="2"/>
        <v>5</v>
      </c>
      <c r="B139">
        <v>3</v>
      </c>
      <c r="C139" s="1">
        <v>177435</v>
      </c>
    </row>
    <row r="140" spans="1:3" x14ac:dyDescent="0.25">
      <c r="A140">
        <f t="shared" si="2"/>
        <v>5</v>
      </c>
      <c r="B140">
        <v>4</v>
      </c>
      <c r="C140" s="1">
        <v>163670</v>
      </c>
    </row>
    <row r="141" spans="1:3" x14ac:dyDescent="0.25">
      <c r="A141">
        <f t="shared" si="2"/>
        <v>5</v>
      </c>
      <c r="B141">
        <v>5</v>
      </c>
      <c r="C141" s="1">
        <v>609812</v>
      </c>
    </row>
    <row r="142" spans="1:3" x14ac:dyDescent="0.25">
      <c r="A142">
        <f t="shared" si="2"/>
        <v>5</v>
      </c>
      <c r="B142">
        <v>6</v>
      </c>
      <c r="C142" s="1">
        <v>199052</v>
      </c>
    </row>
    <row r="143" spans="1:3" x14ac:dyDescent="0.25">
      <c r="A143">
        <f t="shared" si="2"/>
        <v>5</v>
      </c>
      <c r="B143">
        <v>7</v>
      </c>
      <c r="C143" s="1">
        <v>66624</v>
      </c>
    </row>
    <row r="144" spans="1:3" x14ac:dyDescent="0.25">
      <c r="A144">
        <f t="shared" si="2"/>
        <v>5</v>
      </c>
      <c r="B144">
        <v>8</v>
      </c>
      <c r="C144" s="1">
        <v>100332</v>
      </c>
    </row>
    <row r="145" spans="1:3" x14ac:dyDescent="0.25">
      <c r="A145">
        <f t="shared" si="2"/>
        <v>5</v>
      </c>
      <c r="B145">
        <v>9</v>
      </c>
      <c r="C145" s="1">
        <v>27087</v>
      </c>
    </row>
    <row r="146" spans="1:3" x14ac:dyDescent="0.25">
      <c r="A146">
        <f t="shared" si="2"/>
        <v>5</v>
      </c>
      <c r="B146">
        <v>10</v>
      </c>
      <c r="C146" s="1">
        <v>47017</v>
      </c>
    </row>
    <row r="147" spans="1:3" x14ac:dyDescent="0.25">
      <c r="A147">
        <f t="shared" si="2"/>
        <v>5</v>
      </c>
      <c r="B147">
        <v>11</v>
      </c>
      <c r="C147" s="1">
        <v>89807</v>
      </c>
    </row>
    <row r="148" spans="1:3" x14ac:dyDescent="0.25">
      <c r="A148">
        <f t="shared" si="2"/>
        <v>5</v>
      </c>
      <c r="B148">
        <v>12</v>
      </c>
      <c r="C148" s="1">
        <v>399594</v>
      </c>
    </row>
    <row r="149" spans="1:3" x14ac:dyDescent="0.25">
      <c r="A149">
        <f t="shared" si="2"/>
        <v>5</v>
      </c>
      <c r="B149">
        <v>13</v>
      </c>
      <c r="C149" s="1">
        <v>230476</v>
      </c>
    </row>
    <row r="150" spans="1:3" x14ac:dyDescent="0.25">
      <c r="A150">
        <f t="shared" si="2"/>
        <v>5</v>
      </c>
      <c r="B150">
        <v>14</v>
      </c>
      <c r="C150" s="1">
        <v>23869</v>
      </c>
    </row>
    <row r="151" spans="1:3" x14ac:dyDescent="0.25">
      <c r="A151">
        <f t="shared" si="2"/>
        <v>5</v>
      </c>
      <c r="B151">
        <v>15</v>
      </c>
      <c r="C151" s="1">
        <v>214590</v>
      </c>
    </row>
    <row r="152" spans="1:3" x14ac:dyDescent="0.25">
      <c r="A152">
        <f t="shared" si="2"/>
        <v>5</v>
      </c>
      <c r="B152">
        <v>16</v>
      </c>
      <c r="C152" s="1">
        <v>120340</v>
      </c>
    </row>
    <row r="153" spans="1:3" x14ac:dyDescent="0.25">
      <c r="A153">
        <f t="shared" si="2"/>
        <v>5</v>
      </c>
      <c r="B153">
        <v>17</v>
      </c>
      <c r="C153" s="1">
        <v>21372</v>
      </c>
    </row>
    <row r="154" spans="1:3" x14ac:dyDescent="0.25">
      <c r="A154">
        <f t="shared" si="2"/>
        <v>5</v>
      </c>
      <c r="B154">
        <v>18</v>
      </c>
      <c r="C154" s="1">
        <v>25288</v>
      </c>
    </row>
    <row r="155" spans="1:3" x14ac:dyDescent="0.25">
      <c r="A155">
        <f t="shared" si="2"/>
        <v>5</v>
      </c>
      <c r="B155">
        <v>19</v>
      </c>
      <c r="C155" s="1">
        <v>27545</v>
      </c>
    </row>
    <row r="156" spans="1:3" x14ac:dyDescent="0.25">
      <c r="A156">
        <f t="shared" si="2"/>
        <v>5</v>
      </c>
      <c r="B156">
        <v>20</v>
      </c>
      <c r="C156" s="1">
        <v>47667</v>
      </c>
    </row>
    <row r="157" spans="1:3" x14ac:dyDescent="0.25">
      <c r="A157">
        <f t="shared" si="2"/>
        <v>5</v>
      </c>
      <c r="B157">
        <v>21</v>
      </c>
      <c r="C157" s="1">
        <v>19068</v>
      </c>
    </row>
    <row r="158" spans="1:3" x14ac:dyDescent="0.25">
      <c r="A158">
        <f t="shared" si="2"/>
        <v>5</v>
      </c>
      <c r="B158">
        <v>22</v>
      </c>
      <c r="C158" s="1">
        <v>23926</v>
      </c>
    </row>
    <row r="159" spans="1:3" x14ac:dyDescent="0.25">
      <c r="A159">
        <f t="shared" si="2"/>
        <v>5</v>
      </c>
      <c r="B159">
        <v>23</v>
      </c>
      <c r="C159" s="1">
        <v>18791</v>
      </c>
    </row>
    <row r="160" spans="1:3" x14ac:dyDescent="0.25">
      <c r="A160">
        <f t="shared" si="2"/>
        <v>5</v>
      </c>
      <c r="B160">
        <v>24</v>
      </c>
      <c r="C160" s="1">
        <v>2982</v>
      </c>
    </row>
    <row r="161" spans="1:3" x14ac:dyDescent="0.25">
      <c r="A161">
        <f t="shared" si="2"/>
        <v>5</v>
      </c>
      <c r="B161">
        <v>25</v>
      </c>
      <c r="C161" s="1">
        <v>9359</v>
      </c>
    </row>
    <row r="162" spans="1:3" x14ac:dyDescent="0.25">
      <c r="A162">
        <f t="shared" si="2"/>
        <v>5</v>
      </c>
      <c r="B162">
        <v>26</v>
      </c>
      <c r="C162" s="1">
        <v>13528</v>
      </c>
    </row>
    <row r="163" spans="1:3" x14ac:dyDescent="0.25">
      <c r="A163">
        <f t="shared" si="2"/>
        <v>5</v>
      </c>
      <c r="B163">
        <v>27</v>
      </c>
      <c r="C163" s="1">
        <v>38943</v>
      </c>
    </row>
    <row r="164" spans="1:3" x14ac:dyDescent="0.25">
      <c r="A164">
        <f t="shared" si="2"/>
        <v>5</v>
      </c>
      <c r="B164">
        <v>28</v>
      </c>
      <c r="C164" s="1">
        <v>11786</v>
      </c>
    </row>
    <row r="165" spans="1:3" x14ac:dyDescent="0.25">
      <c r="A165">
        <f t="shared" si="2"/>
        <v>5</v>
      </c>
      <c r="B165">
        <v>29</v>
      </c>
      <c r="C165" s="1">
        <v>4142</v>
      </c>
    </row>
    <row r="166" spans="1:3" x14ac:dyDescent="0.25">
      <c r="A166">
        <f t="shared" si="2"/>
        <v>5</v>
      </c>
      <c r="B166">
        <v>30</v>
      </c>
      <c r="C166" s="1">
        <v>6604</v>
      </c>
    </row>
    <row r="167" spans="1:3" x14ac:dyDescent="0.25">
      <c r="A167">
        <f t="shared" si="2"/>
        <v>5</v>
      </c>
      <c r="B167">
        <v>31</v>
      </c>
      <c r="C167" s="1">
        <v>8476</v>
      </c>
    </row>
    <row r="168" spans="1:3" x14ac:dyDescent="0.25">
      <c r="A168">
        <f t="shared" si="2"/>
        <v>5</v>
      </c>
      <c r="B168">
        <v>32</v>
      </c>
      <c r="C168" s="1">
        <v>4830</v>
      </c>
    </row>
    <row r="169" spans="1:3" x14ac:dyDescent="0.25">
      <c r="A169">
        <f t="shared" si="2"/>
        <v>5</v>
      </c>
      <c r="B169">
        <v>33</v>
      </c>
      <c r="C169" s="1">
        <v>2166.303826125888</v>
      </c>
    </row>
    <row r="170" spans="1:3" x14ac:dyDescent="0.25">
      <c r="A170">
        <f t="shared" si="2"/>
        <v>5</v>
      </c>
      <c r="B170">
        <v>34</v>
      </c>
      <c r="C170" s="1">
        <v>7777.6961738741147</v>
      </c>
    </row>
    <row r="171" spans="1:3" x14ac:dyDescent="0.25">
      <c r="A171">
        <f t="shared" si="2"/>
        <v>6</v>
      </c>
      <c r="B171">
        <v>1</v>
      </c>
      <c r="C171" s="1">
        <v>367132</v>
      </c>
    </row>
    <row r="172" spans="1:3" x14ac:dyDescent="0.25">
      <c r="A172">
        <f t="shared" si="2"/>
        <v>6</v>
      </c>
      <c r="B172">
        <v>2</v>
      </c>
      <c r="C172" s="1">
        <v>873296</v>
      </c>
    </row>
    <row r="173" spans="1:3" x14ac:dyDescent="0.25">
      <c r="A173">
        <f t="shared" si="2"/>
        <v>6</v>
      </c>
      <c r="B173">
        <v>3</v>
      </c>
      <c r="C173" s="1">
        <v>756490</v>
      </c>
    </row>
    <row r="174" spans="1:3" x14ac:dyDescent="0.25">
      <c r="A174">
        <f t="shared" si="2"/>
        <v>6</v>
      </c>
      <c r="B174">
        <v>4</v>
      </c>
      <c r="C174" s="1">
        <v>609446</v>
      </c>
    </row>
    <row r="175" spans="1:3" x14ac:dyDescent="0.25">
      <c r="A175">
        <f t="shared" si="2"/>
        <v>6</v>
      </c>
      <c r="B175">
        <v>5</v>
      </c>
      <c r="C175" s="1">
        <v>746170</v>
      </c>
    </row>
    <row r="176" spans="1:3" x14ac:dyDescent="0.25">
      <c r="A176">
        <f t="shared" si="2"/>
        <v>6</v>
      </c>
      <c r="B176">
        <v>6</v>
      </c>
      <c r="C176" s="1">
        <v>12574940</v>
      </c>
    </row>
    <row r="177" spans="1:3" x14ac:dyDescent="0.25">
      <c r="A177">
        <f t="shared" si="2"/>
        <v>6</v>
      </c>
      <c r="B177">
        <v>7</v>
      </c>
      <c r="C177" s="1">
        <v>586091</v>
      </c>
    </row>
    <row r="178" spans="1:3" x14ac:dyDescent="0.25">
      <c r="A178">
        <f t="shared" si="2"/>
        <v>6</v>
      </c>
      <c r="B178">
        <v>8</v>
      </c>
      <c r="C178" s="1">
        <v>2593544</v>
      </c>
    </row>
    <row r="179" spans="1:3" x14ac:dyDescent="0.25">
      <c r="A179">
        <f t="shared" si="2"/>
        <v>6</v>
      </c>
      <c r="B179">
        <v>9</v>
      </c>
      <c r="C179" s="1">
        <v>316304</v>
      </c>
    </row>
    <row r="180" spans="1:3" x14ac:dyDescent="0.25">
      <c r="A180">
        <f t="shared" si="2"/>
        <v>6</v>
      </c>
      <c r="B180">
        <v>10</v>
      </c>
      <c r="C180" s="1">
        <v>163205</v>
      </c>
    </row>
    <row r="181" spans="1:3" x14ac:dyDescent="0.25">
      <c r="A181">
        <f t="shared" si="2"/>
        <v>6</v>
      </c>
      <c r="B181">
        <v>11</v>
      </c>
      <c r="C181" s="1">
        <v>661881</v>
      </c>
    </row>
    <row r="182" spans="1:3" x14ac:dyDescent="0.25">
      <c r="A182">
        <f t="shared" si="2"/>
        <v>6</v>
      </c>
      <c r="B182">
        <v>12</v>
      </c>
      <c r="C182" s="1">
        <v>3951025</v>
      </c>
    </row>
    <row r="183" spans="1:3" x14ac:dyDescent="0.25">
      <c r="A183">
        <f t="shared" si="2"/>
        <v>6</v>
      </c>
      <c r="B183">
        <v>13</v>
      </c>
      <c r="C183" s="1">
        <v>2307849</v>
      </c>
    </row>
    <row r="184" spans="1:3" x14ac:dyDescent="0.25">
      <c r="A184">
        <f t="shared" si="2"/>
        <v>6</v>
      </c>
      <c r="B184">
        <v>14</v>
      </c>
      <c r="C184" s="1">
        <v>173440</v>
      </c>
    </row>
    <row r="185" spans="1:3" x14ac:dyDescent="0.25">
      <c r="A185">
        <f t="shared" si="2"/>
        <v>6</v>
      </c>
      <c r="B185">
        <v>15</v>
      </c>
      <c r="C185" s="1">
        <v>2006877</v>
      </c>
    </row>
    <row r="186" spans="1:3" x14ac:dyDescent="0.25">
      <c r="A186">
        <f t="shared" si="2"/>
        <v>6</v>
      </c>
      <c r="B186">
        <v>16</v>
      </c>
      <c r="C186" s="1">
        <v>1255785</v>
      </c>
    </row>
    <row r="187" spans="1:3" x14ac:dyDescent="0.25">
      <c r="A187">
        <f t="shared" si="2"/>
        <v>6</v>
      </c>
      <c r="B187">
        <v>17</v>
      </c>
      <c r="C187" s="1">
        <v>157477</v>
      </c>
    </row>
    <row r="188" spans="1:3" x14ac:dyDescent="0.25">
      <c r="A188">
        <f t="shared" si="2"/>
        <v>6</v>
      </c>
      <c r="B188">
        <v>18</v>
      </c>
      <c r="C188" s="1">
        <v>233717</v>
      </c>
    </row>
    <row r="189" spans="1:3" x14ac:dyDescent="0.25">
      <c r="A189">
        <f t="shared" si="2"/>
        <v>6</v>
      </c>
      <c r="B189">
        <v>19</v>
      </c>
      <c r="C189" s="1">
        <v>193261</v>
      </c>
    </row>
    <row r="190" spans="1:3" x14ac:dyDescent="0.25">
      <c r="A190">
        <f t="shared" si="2"/>
        <v>6</v>
      </c>
      <c r="B190">
        <v>20</v>
      </c>
      <c r="C190" s="1">
        <v>457399</v>
      </c>
    </row>
    <row r="191" spans="1:3" x14ac:dyDescent="0.25">
      <c r="A191">
        <f t="shared" si="2"/>
        <v>6</v>
      </c>
      <c r="B191">
        <v>21</v>
      </c>
      <c r="C191" s="1">
        <v>248209</v>
      </c>
    </row>
    <row r="192" spans="1:3" x14ac:dyDescent="0.25">
      <c r="A192">
        <f t="shared" si="2"/>
        <v>6</v>
      </c>
      <c r="B192">
        <v>22</v>
      </c>
      <c r="C192" s="1">
        <v>294014</v>
      </c>
    </row>
    <row r="193" spans="1:3" x14ac:dyDescent="0.25">
      <c r="A193">
        <f t="shared" si="2"/>
        <v>6</v>
      </c>
      <c r="B193">
        <v>23</v>
      </c>
      <c r="C193" s="1">
        <v>106572</v>
      </c>
    </row>
    <row r="194" spans="1:3" x14ac:dyDescent="0.25">
      <c r="A194">
        <f t="shared" ref="A194:A257" si="3">INT((ROW()-ROW($A$1))/34)+1</f>
        <v>6</v>
      </c>
      <c r="B194">
        <v>24</v>
      </c>
      <c r="C194" s="1">
        <v>16548</v>
      </c>
    </row>
    <row r="195" spans="1:3" x14ac:dyDescent="0.25">
      <c r="A195">
        <f t="shared" si="3"/>
        <v>6</v>
      </c>
      <c r="B195">
        <v>25</v>
      </c>
      <c r="C195" s="1">
        <v>75274</v>
      </c>
    </row>
    <row r="196" spans="1:3" x14ac:dyDescent="0.25">
      <c r="A196">
        <f t="shared" si="3"/>
        <v>6</v>
      </c>
      <c r="B196">
        <v>26</v>
      </c>
      <c r="C196" s="1">
        <v>129360</v>
      </c>
    </row>
    <row r="197" spans="1:3" x14ac:dyDescent="0.25">
      <c r="A197">
        <f t="shared" si="3"/>
        <v>6</v>
      </c>
      <c r="B197">
        <v>27</v>
      </c>
      <c r="C197" s="1">
        <v>424797</v>
      </c>
    </row>
    <row r="198" spans="1:3" x14ac:dyDescent="0.25">
      <c r="A198">
        <f t="shared" si="3"/>
        <v>6</v>
      </c>
      <c r="B198">
        <v>28</v>
      </c>
      <c r="C198" s="1">
        <v>95549</v>
      </c>
    </row>
    <row r="199" spans="1:3" x14ac:dyDescent="0.25">
      <c r="A199">
        <f t="shared" si="3"/>
        <v>6</v>
      </c>
      <c r="B199">
        <v>29</v>
      </c>
      <c r="C199" s="1">
        <v>35730</v>
      </c>
    </row>
    <row r="200" spans="1:3" x14ac:dyDescent="0.25">
      <c r="A200">
        <f t="shared" si="3"/>
        <v>6</v>
      </c>
      <c r="B200">
        <v>30</v>
      </c>
      <c r="C200" s="1">
        <v>59855</v>
      </c>
    </row>
    <row r="201" spans="1:3" x14ac:dyDescent="0.25">
      <c r="A201">
        <f t="shared" si="3"/>
        <v>6</v>
      </c>
      <c r="B201">
        <v>31</v>
      </c>
      <c r="C201" s="1">
        <v>71895</v>
      </c>
    </row>
    <row r="202" spans="1:3" x14ac:dyDescent="0.25">
      <c r="A202">
        <f t="shared" si="3"/>
        <v>6</v>
      </c>
      <c r="B202">
        <v>32</v>
      </c>
      <c r="C202" s="1">
        <v>38206</v>
      </c>
    </row>
    <row r="203" spans="1:3" x14ac:dyDescent="0.25">
      <c r="A203">
        <f t="shared" si="3"/>
        <v>6</v>
      </c>
      <c r="B203">
        <v>33</v>
      </c>
      <c r="C203" s="1">
        <v>10203.89228800387</v>
      </c>
    </row>
    <row r="204" spans="1:3" x14ac:dyDescent="0.25">
      <c r="A204">
        <f t="shared" si="3"/>
        <v>6</v>
      </c>
      <c r="B204">
        <v>34</v>
      </c>
      <c r="C204" s="1">
        <v>36635.107711996141</v>
      </c>
    </row>
    <row r="205" spans="1:3" x14ac:dyDescent="0.25">
      <c r="A205">
        <f t="shared" si="3"/>
        <v>7</v>
      </c>
      <c r="B205">
        <v>1</v>
      </c>
      <c r="C205" s="1">
        <v>47914</v>
      </c>
    </row>
    <row r="206" spans="1:3" x14ac:dyDescent="0.25">
      <c r="A206">
        <f t="shared" si="3"/>
        <v>7</v>
      </c>
      <c r="B206">
        <v>2</v>
      </c>
      <c r="C206" s="1">
        <v>120423</v>
      </c>
    </row>
    <row r="207" spans="1:3" x14ac:dyDescent="0.25">
      <c r="A207">
        <f t="shared" si="3"/>
        <v>7</v>
      </c>
      <c r="B207">
        <v>3</v>
      </c>
      <c r="C207" s="1">
        <v>100486</v>
      </c>
    </row>
    <row r="208" spans="1:3" x14ac:dyDescent="0.25">
      <c r="A208">
        <f t="shared" si="3"/>
        <v>7</v>
      </c>
      <c r="B208">
        <v>4</v>
      </c>
      <c r="C208" s="1">
        <v>87868</v>
      </c>
    </row>
    <row r="209" spans="1:3" x14ac:dyDescent="0.25">
      <c r="A209">
        <f t="shared" si="3"/>
        <v>7</v>
      </c>
      <c r="B209">
        <v>5</v>
      </c>
      <c r="C209" s="1">
        <v>98292</v>
      </c>
    </row>
    <row r="210" spans="1:3" x14ac:dyDescent="0.25">
      <c r="A210">
        <f t="shared" si="3"/>
        <v>7</v>
      </c>
      <c r="B210">
        <v>6</v>
      </c>
      <c r="C210" s="1">
        <v>276365</v>
      </c>
    </row>
    <row r="211" spans="1:3" x14ac:dyDescent="0.25">
      <c r="A211">
        <f t="shared" si="3"/>
        <v>7</v>
      </c>
      <c r="B211">
        <v>7</v>
      </c>
      <c r="C211" s="1">
        <v>540138</v>
      </c>
    </row>
    <row r="212" spans="1:3" x14ac:dyDescent="0.25">
      <c r="A212">
        <f t="shared" si="3"/>
        <v>7</v>
      </c>
      <c r="B212">
        <v>8</v>
      </c>
      <c r="C212" s="1">
        <v>132258</v>
      </c>
    </row>
    <row r="213" spans="1:3" x14ac:dyDescent="0.25">
      <c r="A213">
        <f t="shared" si="3"/>
        <v>7</v>
      </c>
      <c r="B213">
        <v>9</v>
      </c>
      <c r="C213" s="1">
        <v>22093</v>
      </c>
    </row>
    <row r="214" spans="1:3" x14ac:dyDescent="0.25">
      <c r="A214">
        <f t="shared" si="3"/>
        <v>7</v>
      </c>
      <c r="B214">
        <v>10</v>
      </c>
      <c r="C214" s="1">
        <v>27365</v>
      </c>
    </row>
    <row r="215" spans="1:3" x14ac:dyDescent="0.25">
      <c r="A215">
        <f t="shared" si="3"/>
        <v>7</v>
      </c>
      <c r="B215">
        <v>11</v>
      </c>
      <c r="C215" s="1">
        <v>94841</v>
      </c>
    </row>
    <row r="216" spans="1:3" x14ac:dyDescent="0.25">
      <c r="A216">
        <f t="shared" si="3"/>
        <v>7</v>
      </c>
      <c r="B216">
        <v>12</v>
      </c>
      <c r="C216" s="1">
        <v>424879</v>
      </c>
    </row>
    <row r="217" spans="1:3" x14ac:dyDescent="0.25">
      <c r="A217">
        <f t="shared" si="3"/>
        <v>7</v>
      </c>
      <c r="B217">
        <v>13</v>
      </c>
      <c r="C217" s="1">
        <v>233122</v>
      </c>
    </row>
    <row r="218" spans="1:3" x14ac:dyDescent="0.25">
      <c r="A218">
        <f t="shared" si="3"/>
        <v>7</v>
      </c>
      <c r="B218">
        <v>14</v>
      </c>
      <c r="C218" s="1">
        <v>24467</v>
      </c>
    </row>
    <row r="219" spans="1:3" x14ac:dyDescent="0.25">
      <c r="A219">
        <f t="shared" si="3"/>
        <v>7</v>
      </c>
      <c r="B219">
        <v>15</v>
      </c>
      <c r="C219" s="1">
        <v>206775</v>
      </c>
    </row>
    <row r="220" spans="1:3" x14ac:dyDescent="0.25">
      <c r="A220">
        <f t="shared" si="3"/>
        <v>7</v>
      </c>
      <c r="B220">
        <v>16</v>
      </c>
      <c r="C220" s="1">
        <v>129787</v>
      </c>
    </row>
    <row r="221" spans="1:3" x14ac:dyDescent="0.25">
      <c r="A221">
        <f t="shared" si="3"/>
        <v>7</v>
      </c>
      <c r="B221">
        <v>17</v>
      </c>
      <c r="C221" s="1">
        <v>20527</v>
      </c>
    </row>
    <row r="222" spans="1:3" x14ac:dyDescent="0.25">
      <c r="A222">
        <f t="shared" si="3"/>
        <v>7</v>
      </c>
      <c r="B222">
        <v>18</v>
      </c>
      <c r="C222" s="1">
        <v>24438</v>
      </c>
    </row>
    <row r="223" spans="1:3" x14ac:dyDescent="0.25">
      <c r="A223">
        <f t="shared" si="3"/>
        <v>7</v>
      </c>
      <c r="B223">
        <v>19</v>
      </c>
      <c r="C223" s="1">
        <v>27076</v>
      </c>
    </row>
    <row r="224" spans="1:3" x14ac:dyDescent="0.25">
      <c r="A224">
        <f t="shared" si="3"/>
        <v>7</v>
      </c>
      <c r="B224">
        <v>20</v>
      </c>
      <c r="C224" s="1">
        <v>41581</v>
      </c>
    </row>
    <row r="225" spans="1:3" x14ac:dyDescent="0.25">
      <c r="A225">
        <f t="shared" si="3"/>
        <v>7</v>
      </c>
      <c r="B225">
        <v>21</v>
      </c>
      <c r="C225" s="1">
        <v>18517</v>
      </c>
    </row>
    <row r="226" spans="1:3" x14ac:dyDescent="0.25">
      <c r="A226">
        <f t="shared" si="3"/>
        <v>7</v>
      </c>
      <c r="B226">
        <v>22</v>
      </c>
      <c r="C226" s="1">
        <v>23111</v>
      </c>
    </row>
    <row r="227" spans="1:3" x14ac:dyDescent="0.25">
      <c r="A227">
        <f t="shared" si="3"/>
        <v>7</v>
      </c>
      <c r="B227">
        <v>23</v>
      </c>
      <c r="C227" s="1">
        <v>24678</v>
      </c>
    </row>
    <row r="228" spans="1:3" x14ac:dyDescent="0.25">
      <c r="A228">
        <f t="shared" si="3"/>
        <v>7</v>
      </c>
      <c r="B228">
        <v>24</v>
      </c>
      <c r="C228" s="1">
        <v>2676</v>
      </c>
    </row>
    <row r="229" spans="1:3" x14ac:dyDescent="0.25">
      <c r="A229">
        <f t="shared" si="3"/>
        <v>7</v>
      </c>
      <c r="B229">
        <v>25</v>
      </c>
      <c r="C229" s="1">
        <v>9201</v>
      </c>
    </row>
    <row r="230" spans="1:3" x14ac:dyDescent="0.25">
      <c r="A230">
        <f t="shared" si="3"/>
        <v>7</v>
      </c>
      <c r="B230">
        <v>26</v>
      </c>
      <c r="C230" s="1">
        <v>12978</v>
      </c>
    </row>
    <row r="231" spans="1:3" x14ac:dyDescent="0.25">
      <c r="A231">
        <f t="shared" si="3"/>
        <v>7</v>
      </c>
      <c r="B231">
        <v>27</v>
      </c>
      <c r="C231" s="1">
        <v>37154</v>
      </c>
    </row>
    <row r="232" spans="1:3" x14ac:dyDescent="0.25">
      <c r="A232">
        <f t="shared" si="3"/>
        <v>7</v>
      </c>
      <c r="B232">
        <v>28</v>
      </c>
      <c r="C232" s="1">
        <v>11519</v>
      </c>
    </row>
    <row r="233" spans="1:3" x14ac:dyDescent="0.25">
      <c r="A233">
        <f t="shared" si="3"/>
        <v>7</v>
      </c>
      <c r="B233">
        <v>29</v>
      </c>
      <c r="C233" s="1">
        <v>4097</v>
      </c>
    </row>
    <row r="234" spans="1:3" x14ac:dyDescent="0.25">
      <c r="A234">
        <f t="shared" si="3"/>
        <v>7</v>
      </c>
      <c r="B234">
        <v>30</v>
      </c>
      <c r="C234" s="1">
        <v>6492</v>
      </c>
    </row>
    <row r="235" spans="1:3" x14ac:dyDescent="0.25">
      <c r="A235">
        <f t="shared" si="3"/>
        <v>7</v>
      </c>
      <c r="B235">
        <v>31</v>
      </c>
      <c r="C235" s="1">
        <v>8872</v>
      </c>
    </row>
    <row r="236" spans="1:3" x14ac:dyDescent="0.25">
      <c r="A236">
        <f t="shared" si="3"/>
        <v>7</v>
      </c>
      <c r="B236">
        <v>32</v>
      </c>
      <c r="C236" s="1">
        <v>5227</v>
      </c>
    </row>
    <row r="237" spans="1:3" x14ac:dyDescent="0.25">
      <c r="A237">
        <f t="shared" si="3"/>
        <v>7</v>
      </c>
      <c r="B237">
        <v>33</v>
      </c>
      <c r="C237" s="1">
        <v>2141.0331861590134</v>
      </c>
    </row>
    <row r="238" spans="1:3" x14ac:dyDescent="0.25">
      <c r="A238">
        <f t="shared" si="3"/>
        <v>7</v>
      </c>
      <c r="B238">
        <v>34</v>
      </c>
      <c r="C238" s="1">
        <v>7686.9668138409888</v>
      </c>
    </row>
    <row r="239" spans="1:3" x14ac:dyDescent="0.25">
      <c r="A239">
        <f t="shared" si="3"/>
        <v>8</v>
      </c>
      <c r="B239">
        <v>1</v>
      </c>
      <c r="C239" s="1">
        <v>147041</v>
      </c>
    </row>
    <row r="240" spans="1:3" x14ac:dyDescent="0.25">
      <c r="A240">
        <f t="shared" si="3"/>
        <v>8</v>
      </c>
      <c r="B240">
        <v>2</v>
      </c>
      <c r="C240" s="1">
        <v>342746</v>
      </c>
    </row>
    <row r="241" spans="1:3" x14ac:dyDescent="0.25">
      <c r="A241">
        <f t="shared" si="3"/>
        <v>8</v>
      </c>
      <c r="B241">
        <v>3</v>
      </c>
      <c r="C241" s="1">
        <v>199462</v>
      </c>
    </row>
    <row r="242" spans="1:3" x14ac:dyDescent="0.25">
      <c r="A242">
        <f t="shared" si="3"/>
        <v>8</v>
      </c>
      <c r="B242">
        <v>4</v>
      </c>
      <c r="C242" s="1">
        <v>266545</v>
      </c>
    </row>
    <row r="243" spans="1:3" x14ac:dyDescent="0.25">
      <c r="A243">
        <f t="shared" si="3"/>
        <v>8</v>
      </c>
      <c r="B243">
        <v>5</v>
      </c>
      <c r="C243" s="1">
        <v>187504</v>
      </c>
    </row>
    <row r="244" spans="1:3" x14ac:dyDescent="0.25">
      <c r="A244">
        <f t="shared" si="3"/>
        <v>8</v>
      </c>
      <c r="B244">
        <v>6</v>
      </c>
      <c r="C244" s="1">
        <v>927265</v>
      </c>
    </row>
    <row r="245" spans="1:3" x14ac:dyDescent="0.25">
      <c r="A245">
        <f t="shared" si="3"/>
        <v>8</v>
      </c>
      <c r="B245">
        <v>7</v>
      </c>
      <c r="C245" s="1">
        <v>147414</v>
      </c>
    </row>
    <row r="246" spans="1:3" x14ac:dyDescent="0.25">
      <c r="A246">
        <f t="shared" si="3"/>
        <v>8</v>
      </c>
      <c r="B246">
        <v>8</v>
      </c>
      <c r="C246" s="1">
        <v>4786562</v>
      </c>
    </row>
    <row r="247" spans="1:3" x14ac:dyDescent="0.25">
      <c r="A247">
        <f t="shared" si="3"/>
        <v>8</v>
      </c>
      <c r="B247">
        <v>9</v>
      </c>
      <c r="C247" s="1">
        <v>122135</v>
      </c>
    </row>
    <row r="248" spans="1:3" x14ac:dyDescent="0.25">
      <c r="A248">
        <f t="shared" si="3"/>
        <v>8</v>
      </c>
      <c r="B248">
        <v>10</v>
      </c>
      <c r="C248" s="1">
        <v>87503</v>
      </c>
    </row>
    <row r="249" spans="1:3" x14ac:dyDescent="0.25">
      <c r="A249">
        <f t="shared" si="3"/>
        <v>8</v>
      </c>
      <c r="B249">
        <v>11</v>
      </c>
      <c r="C249" s="1">
        <v>961942</v>
      </c>
    </row>
    <row r="250" spans="1:3" x14ac:dyDescent="0.25">
      <c r="A250">
        <f t="shared" si="3"/>
        <v>8</v>
      </c>
      <c r="B250">
        <v>12</v>
      </c>
      <c r="C250" s="1">
        <v>3446333</v>
      </c>
    </row>
    <row r="251" spans="1:3" x14ac:dyDescent="0.25">
      <c r="A251">
        <f t="shared" si="3"/>
        <v>8</v>
      </c>
      <c r="B251">
        <v>13</v>
      </c>
      <c r="C251" s="1">
        <v>1376139</v>
      </c>
    </row>
    <row r="252" spans="1:3" x14ac:dyDescent="0.25">
      <c r="A252">
        <f t="shared" si="3"/>
        <v>8</v>
      </c>
      <c r="B252">
        <v>14</v>
      </c>
      <c r="C252" s="1">
        <v>139303</v>
      </c>
    </row>
    <row r="253" spans="1:3" x14ac:dyDescent="0.25">
      <c r="A253">
        <f t="shared" si="3"/>
        <v>8</v>
      </c>
      <c r="B253">
        <v>15</v>
      </c>
      <c r="C253" s="1">
        <v>1094842</v>
      </c>
    </row>
    <row r="254" spans="1:3" x14ac:dyDescent="0.25">
      <c r="A254">
        <f t="shared" si="3"/>
        <v>8</v>
      </c>
      <c r="B254">
        <v>16</v>
      </c>
      <c r="C254" s="1">
        <v>1405577</v>
      </c>
    </row>
    <row r="255" spans="1:3" x14ac:dyDescent="0.25">
      <c r="A255">
        <f t="shared" si="3"/>
        <v>8</v>
      </c>
      <c r="B255">
        <v>17</v>
      </c>
      <c r="C255" s="1">
        <v>98975</v>
      </c>
    </row>
    <row r="256" spans="1:3" x14ac:dyDescent="0.25">
      <c r="A256">
        <f t="shared" si="3"/>
        <v>8</v>
      </c>
      <c r="B256">
        <v>18</v>
      </c>
      <c r="C256" s="1">
        <v>114316</v>
      </c>
    </row>
    <row r="257" spans="1:3" x14ac:dyDescent="0.25">
      <c r="A257">
        <f t="shared" si="3"/>
        <v>8</v>
      </c>
      <c r="B257">
        <v>19</v>
      </c>
      <c r="C257" s="1">
        <v>120183</v>
      </c>
    </row>
    <row r="258" spans="1:3" x14ac:dyDescent="0.25">
      <c r="A258">
        <f t="shared" ref="A258:A321" si="4">INT((ROW()-ROW($A$1))/34)+1</f>
        <v>8</v>
      </c>
      <c r="B258">
        <v>20</v>
      </c>
      <c r="C258" s="1">
        <v>197309</v>
      </c>
    </row>
    <row r="259" spans="1:3" x14ac:dyDescent="0.25">
      <c r="A259">
        <f t="shared" si="4"/>
        <v>8</v>
      </c>
      <c r="B259">
        <v>21</v>
      </c>
      <c r="C259" s="1">
        <v>92345</v>
      </c>
    </row>
    <row r="260" spans="1:3" x14ac:dyDescent="0.25">
      <c r="A260">
        <f t="shared" si="4"/>
        <v>8</v>
      </c>
      <c r="B260">
        <v>22</v>
      </c>
      <c r="C260" s="1">
        <v>112172</v>
      </c>
    </row>
    <row r="261" spans="1:3" x14ac:dyDescent="0.25">
      <c r="A261">
        <f t="shared" si="4"/>
        <v>8</v>
      </c>
      <c r="B261">
        <v>23</v>
      </c>
      <c r="C261" s="1">
        <v>75321</v>
      </c>
    </row>
    <row r="262" spans="1:3" x14ac:dyDescent="0.25">
      <c r="A262">
        <f t="shared" si="4"/>
        <v>8</v>
      </c>
      <c r="B262">
        <v>24</v>
      </c>
      <c r="C262" s="1">
        <v>11302</v>
      </c>
    </row>
    <row r="263" spans="1:3" x14ac:dyDescent="0.25">
      <c r="A263">
        <f t="shared" si="4"/>
        <v>8</v>
      </c>
      <c r="B263">
        <v>25</v>
      </c>
      <c r="C263" s="1">
        <v>39990</v>
      </c>
    </row>
    <row r="264" spans="1:3" x14ac:dyDescent="0.25">
      <c r="A264">
        <f t="shared" si="4"/>
        <v>8</v>
      </c>
      <c r="B264">
        <v>26</v>
      </c>
      <c r="C264" s="1">
        <v>56877</v>
      </c>
    </row>
    <row r="265" spans="1:3" x14ac:dyDescent="0.25">
      <c r="A265">
        <f t="shared" si="4"/>
        <v>8</v>
      </c>
      <c r="B265">
        <v>27</v>
      </c>
      <c r="C265" s="1">
        <v>163990</v>
      </c>
    </row>
    <row r="266" spans="1:3" x14ac:dyDescent="0.25">
      <c r="A266">
        <f t="shared" si="4"/>
        <v>8</v>
      </c>
      <c r="B266">
        <v>28</v>
      </c>
      <c r="C266" s="1">
        <v>50495</v>
      </c>
    </row>
    <row r="267" spans="1:3" x14ac:dyDescent="0.25">
      <c r="A267">
        <f t="shared" si="4"/>
        <v>8</v>
      </c>
      <c r="B267">
        <v>29</v>
      </c>
      <c r="C267" s="1">
        <v>17818</v>
      </c>
    </row>
    <row r="268" spans="1:3" x14ac:dyDescent="0.25">
      <c r="A268">
        <f t="shared" si="4"/>
        <v>8</v>
      </c>
      <c r="B268">
        <v>30</v>
      </c>
      <c r="C268" s="1">
        <v>29153</v>
      </c>
    </row>
    <row r="269" spans="1:3" x14ac:dyDescent="0.25">
      <c r="A269">
        <f t="shared" si="4"/>
        <v>8</v>
      </c>
      <c r="B269">
        <v>31</v>
      </c>
      <c r="C269" s="1">
        <v>38533</v>
      </c>
    </row>
    <row r="270" spans="1:3" x14ac:dyDescent="0.25">
      <c r="A270">
        <f t="shared" si="4"/>
        <v>8</v>
      </c>
      <c r="B270">
        <v>32</v>
      </c>
      <c r="C270" s="1">
        <v>22883</v>
      </c>
    </row>
    <row r="271" spans="1:3" x14ac:dyDescent="0.25">
      <c r="A271">
        <f t="shared" si="4"/>
        <v>8</v>
      </c>
      <c r="B271">
        <v>33</v>
      </c>
      <c r="C271" s="1">
        <v>8676.7613727642802</v>
      </c>
    </row>
    <row r="272" spans="1:3" x14ac:dyDescent="0.25">
      <c r="A272">
        <f t="shared" si="4"/>
        <v>8</v>
      </c>
      <c r="B272">
        <v>34</v>
      </c>
      <c r="C272" s="1">
        <v>31152.238627235729</v>
      </c>
    </row>
    <row r="273" spans="1:3" x14ac:dyDescent="0.25">
      <c r="A273">
        <f t="shared" si="4"/>
        <v>9</v>
      </c>
      <c r="B273">
        <v>1</v>
      </c>
      <c r="C273" s="1">
        <v>5122</v>
      </c>
    </row>
    <row r="274" spans="1:3" x14ac:dyDescent="0.25">
      <c r="A274">
        <f t="shared" si="4"/>
        <v>9</v>
      </c>
      <c r="B274">
        <v>2</v>
      </c>
      <c r="C274" s="1">
        <v>17139</v>
      </c>
    </row>
    <row r="275" spans="1:3" x14ac:dyDescent="0.25">
      <c r="A275">
        <f t="shared" si="4"/>
        <v>9</v>
      </c>
      <c r="B275">
        <v>3</v>
      </c>
      <c r="C275" s="1">
        <v>9476</v>
      </c>
    </row>
    <row r="276" spans="1:3" x14ac:dyDescent="0.25">
      <c r="A276">
        <f t="shared" si="4"/>
        <v>9</v>
      </c>
      <c r="B276">
        <v>4</v>
      </c>
      <c r="C276" s="1">
        <v>16593</v>
      </c>
    </row>
    <row r="277" spans="1:3" x14ac:dyDescent="0.25">
      <c r="A277">
        <f t="shared" si="4"/>
        <v>9</v>
      </c>
      <c r="B277">
        <v>5</v>
      </c>
      <c r="C277" s="1">
        <v>20312</v>
      </c>
    </row>
    <row r="278" spans="1:3" x14ac:dyDescent="0.25">
      <c r="A278">
        <f t="shared" si="4"/>
        <v>9</v>
      </c>
      <c r="B278">
        <v>6</v>
      </c>
      <c r="C278" s="1">
        <v>38180</v>
      </c>
    </row>
    <row r="279" spans="1:3" x14ac:dyDescent="0.25">
      <c r="A279">
        <f t="shared" si="4"/>
        <v>9</v>
      </c>
      <c r="B279">
        <v>7</v>
      </c>
      <c r="C279" s="1">
        <v>4890</v>
      </c>
    </row>
    <row r="280" spans="1:3" x14ac:dyDescent="0.25">
      <c r="A280">
        <f t="shared" si="4"/>
        <v>9</v>
      </c>
      <c r="B280">
        <v>8</v>
      </c>
      <c r="C280" s="1">
        <v>27848</v>
      </c>
    </row>
    <row r="281" spans="1:3" x14ac:dyDescent="0.25">
      <c r="A281">
        <f t="shared" si="4"/>
        <v>9</v>
      </c>
      <c r="B281">
        <v>9</v>
      </c>
      <c r="C281" s="1">
        <v>45695</v>
      </c>
    </row>
    <row r="282" spans="1:3" x14ac:dyDescent="0.25">
      <c r="A282">
        <f t="shared" si="4"/>
        <v>9</v>
      </c>
      <c r="B282">
        <v>10</v>
      </c>
      <c r="C282" s="1">
        <v>5497</v>
      </c>
    </row>
    <row r="283" spans="1:3" x14ac:dyDescent="0.25">
      <c r="A283">
        <f t="shared" si="4"/>
        <v>9</v>
      </c>
      <c r="B283">
        <v>11</v>
      </c>
      <c r="C283" s="1">
        <v>43244</v>
      </c>
    </row>
    <row r="284" spans="1:3" x14ac:dyDescent="0.25">
      <c r="A284">
        <f t="shared" si="4"/>
        <v>9</v>
      </c>
      <c r="B284">
        <v>12</v>
      </c>
      <c r="C284" s="1">
        <v>136848</v>
      </c>
    </row>
    <row r="285" spans="1:3" x14ac:dyDescent="0.25">
      <c r="A285">
        <f t="shared" si="4"/>
        <v>9</v>
      </c>
      <c r="B285">
        <v>13</v>
      </c>
      <c r="C285" s="1">
        <v>64377</v>
      </c>
    </row>
    <row r="286" spans="1:3" x14ac:dyDescent="0.25">
      <c r="A286">
        <f t="shared" si="4"/>
        <v>9</v>
      </c>
      <c r="B286">
        <v>14</v>
      </c>
      <c r="C286" s="1">
        <v>6170</v>
      </c>
    </row>
    <row r="287" spans="1:3" x14ac:dyDescent="0.25">
      <c r="A287">
        <f t="shared" si="4"/>
        <v>9</v>
      </c>
      <c r="B287">
        <v>15</v>
      </c>
      <c r="C287" s="1">
        <v>66113</v>
      </c>
    </row>
    <row r="288" spans="1:3" x14ac:dyDescent="0.25">
      <c r="A288">
        <f t="shared" si="4"/>
        <v>9</v>
      </c>
      <c r="B288">
        <v>16</v>
      </c>
      <c r="C288" s="1">
        <v>48876</v>
      </c>
    </row>
    <row r="289" spans="1:3" x14ac:dyDescent="0.25">
      <c r="A289">
        <f t="shared" si="4"/>
        <v>9</v>
      </c>
      <c r="B289">
        <v>17</v>
      </c>
      <c r="C289" s="1">
        <v>4498</v>
      </c>
    </row>
    <row r="290" spans="1:3" x14ac:dyDescent="0.25">
      <c r="A290">
        <f t="shared" si="4"/>
        <v>9</v>
      </c>
      <c r="B290">
        <v>18</v>
      </c>
      <c r="C290" s="1">
        <v>4691</v>
      </c>
    </row>
    <row r="291" spans="1:3" x14ac:dyDescent="0.25">
      <c r="A291">
        <f t="shared" si="4"/>
        <v>9</v>
      </c>
      <c r="B291">
        <v>19</v>
      </c>
      <c r="C291" s="1">
        <v>3627</v>
      </c>
    </row>
    <row r="292" spans="1:3" x14ac:dyDescent="0.25">
      <c r="A292">
        <f t="shared" si="4"/>
        <v>9</v>
      </c>
      <c r="B292">
        <v>20</v>
      </c>
      <c r="C292" s="1">
        <v>12754</v>
      </c>
    </row>
    <row r="293" spans="1:3" x14ac:dyDescent="0.25">
      <c r="A293">
        <f t="shared" si="4"/>
        <v>9</v>
      </c>
      <c r="B293">
        <v>21</v>
      </c>
      <c r="C293" s="1">
        <v>4404</v>
      </c>
    </row>
    <row r="294" spans="1:3" x14ac:dyDescent="0.25">
      <c r="A294">
        <f t="shared" si="4"/>
        <v>9</v>
      </c>
      <c r="B294">
        <v>22</v>
      </c>
      <c r="C294" s="1">
        <v>5387</v>
      </c>
    </row>
    <row r="295" spans="1:3" x14ac:dyDescent="0.25">
      <c r="A295">
        <f t="shared" si="4"/>
        <v>9</v>
      </c>
      <c r="B295">
        <v>23</v>
      </c>
      <c r="C295" s="1">
        <v>3425</v>
      </c>
    </row>
    <row r="296" spans="1:3" x14ac:dyDescent="0.25">
      <c r="A296">
        <f t="shared" si="4"/>
        <v>9</v>
      </c>
      <c r="B296">
        <v>24</v>
      </c>
      <c r="C296" s="1">
        <v>427</v>
      </c>
    </row>
    <row r="297" spans="1:3" x14ac:dyDescent="0.25">
      <c r="A297">
        <f t="shared" si="4"/>
        <v>9</v>
      </c>
      <c r="B297">
        <v>25</v>
      </c>
      <c r="C297" s="1">
        <v>1518</v>
      </c>
    </row>
    <row r="298" spans="1:3" x14ac:dyDescent="0.25">
      <c r="A298">
        <f t="shared" si="4"/>
        <v>9</v>
      </c>
      <c r="B298">
        <v>26</v>
      </c>
      <c r="C298" s="1">
        <v>2301</v>
      </c>
    </row>
    <row r="299" spans="1:3" x14ac:dyDescent="0.25">
      <c r="A299">
        <f t="shared" si="4"/>
        <v>9</v>
      </c>
      <c r="B299">
        <v>27</v>
      </c>
      <c r="C299" s="1">
        <v>7116</v>
      </c>
    </row>
    <row r="300" spans="1:3" x14ac:dyDescent="0.25">
      <c r="A300">
        <f t="shared" si="4"/>
        <v>9</v>
      </c>
      <c r="B300">
        <v>28</v>
      </c>
      <c r="C300" s="1">
        <v>1827</v>
      </c>
    </row>
    <row r="301" spans="1:3" x14ac:dyDescent="0.25">
      <c r="A301">
        <f t="shared" si="4"/>
        <v>9</v>
      </c>
      <c r="B301">
        <v>29</v>
      </c>
      <c r="C301" s="1">
        <v>688</v>
      </c>
    </row>
    <row r="302" spans="1:3" x14ac:dyDescent="0.25">
      <c r="A302">
        <f t="shared" si="4"/>
        <v>9</v>
      </c>
      <c r="B302">
        <v>30</v>
      </c>
      <c r="C302" s="1">
        <v>1135</v>
      </c>
    </row>
    <row r="303" spans="1:3" x14ac:dyDescent="0.25">
      <c r="A303">
        <f t="shared" si="4"/>
        <v>9</v>
      </c>
      <c r="B303">
        <v>31</v>
      </c>
      <c r="C303" s="1">
        <v>921</v>
      </c>
    </row>
    <row r="304" spans="1:3" x14ac:dyDescent="0.25">
      <c r="A304">
        <f t="shared" si="4"/>
        <v>9</v>
      </c>
      <c r="B304">
        <v>32</v>
      </c>
      <c r="C304" s="1">
        <v>642</v>
      </c>
    </row>
    <row r="305" spans="1:3" x14ac:dyDescent="0.25">
      <c r="A305">
        <f t="shared" si="4"/>
        <v>9</v>
      </c>
      <c r="B305">
        <v>33</v>
      </c>
      <c r="C305" s="1">
        <v>168.83401702006873</v>
      </c>
    </row>
    <row r="306" spans="1:3" x14ac:dyDescent="0.25">
      <c r="A306">
        <f t="shared" si="4"/>
        <v>9</v>
      </c>
      <c r="B306">
        <v>34</v>
      </c>
      <c r="C306" s="1">
        <v>606.16598297993153</v>
      </c>
    </row>
    <row r="307" spans="1:3" x14ac:dyDescent="0.25">
      <c r="A307">
        <f t="shared" si="4"/>
        <v>10</v>
      </c>
      <c r="B307">
        <v>1</v>
      </c>
      <c r="C307" s="1">
        <v>23441</v>
      </c>
    </row>
    <row r="308" spans="1:3" x14ac:dyDescent="0.25">
      <c r="A308">
        <f t="shared" si="4"/>
        <v>10</v>
      </c>
      <c r="B308">
        <v>2</v>
      </c>
      <c r="C308" s="1">
        <v>93004</v>
      </c>
    </row>
    <row r="309" spans="1:3" x14ac:dyDescent="0.25">
      <c r="A309">
        <f t="shared" si="4"/>
        <v>10</v>
      </c>
      <c r="B309">
        <v>3</v>
      </c>
      <c r="C309" s="1">
        <v>46901</v>
      </c>
    </row>
    <row r="310" spans="1:3" x14ac:dyDescent="0.25">
      <c r="A310">
        <f t="shared" si="4"/>
        <v>10</v>
      </c>
      <c r="B310">
        <v>4</v>
      </c>
      <c r="C310" s="1">
        <v>107388</v>
      </c>
    </row>
    <row r="311" spans="1:3" x14ac:dyDescent="0.25">
      <c r="A311">
        <f t="shared" si="4"/>
        <v>10</v>
      </c>
      <c r="B311">
        <v>5</v>
      </c>
      <c r="C311" s="1">
        <v>73255</v>
      </c>
    </row>
    <row r="312" spans="1:3" x14ac:dyDescent="0.25">
      <c r="A312">
        <f t="shared" si="4"/>
        <v>10</v>
      </c>
      <c r="B312">
        <v>6</v>
      </c>
      <c r="C312" s="1">
        <v>68159</v>
      </c>
    </row>
    <row r="313" spans="1:3" x14ac:dyDescent="0.25">
      <c r="A313">
        <f t="shared" si="4"/>
        <v>10</v>
      </c>
      <c r="B313">
        <v>7</v>
      </c>
      <c r="C313" s="1">
        <v>13745</v>
      </c>
    </row>
    <row r="314" spans="1:3" x14ac:dyDescent="0.25">
      <c r="A314">
        <f t="shared" si="4"/>
        <v>10</v>
      </c>
      <c r="B314">
        <v>8</v>
      </c>
      <c r="C314" s="1">
        <v>63695</v>
      </c>
    </row>
    <row r="315" spans="1:3" x14ac:dyDescent="0.25">
      <c r="A315">
        <f t="shared" si="4"/>
        <v>10</v>
      </c>
      <c r="B315">
        <v>9</v>
      </c>
      <c r="C315" s="1">
        <v>13476</v>
      </c>
    </row>
    <row r="316" spans="1:3" x14ac:dyDescent="0.25">
      <c r="A316">
        <f t="shared" si="4"/>
        <v>10</v>
      </c>
      <c r="B316">
        <v>10</v>
      </c>
      <c r="C316" s="1">
        <v>87101</v>
      </c>
    </row>
    <row r="317" spans="1:3" x14ac:dyDescent="0.25">
      <c r="A317">
        <f t="shared" si="4"/>
        <v>10</v>
      </c>
      <c r="B317">
        <v>11</v>
      </c>
      <c r="C317" s="1">
        <v>70011</v>
      </c>
    </row>
    <row r="318" spans="1:3" x14ac:dyDescent="0.25">
      <c r="A318">
        <f t="shared" si="4"/>
        <v>10</v>
      </c>
      <c r="B318">
        <v>12</v>
      </c>
      <c r="C318" s="1">
        <v>237918</v>
      </c>
    </row>
    <row r="319" spans="1:3" x14ac:dyDescent="0.25">
      <c r="A319">
        <f t="shared" si="4"/>
        <v>10</v>
      </c>
      <c r="B319">
        <v>13</v>
      </c>
      <c r="C319" s="1">
        <v>127163</v>
      </c>
    </row>
    <row r="320" spans="1:3" x14ac:dyDescent="0.25">
      <c r="A320">
        <f t="shared" si="4"/>
        <v>10</v>
      </c>
      <c r="B320">
        <v>14</v>
      </c>
      <c r="C320" s="1">
        <v>12775</v>
      </c>
    </row>
    <row r="321" spans="1:3" x14ac:dyDescent="0.25">
      <c r="A321">
        <f t="shared" si="4"/>
        <v>10</v>
      </c>
      <c r="B321">
        <v>15</v>
      </c>
      <c r="C321" s="1">
        <v>144630</v>
      </c>
    </row>
    <row r="322" spans="1:3" x14ac:dyDescent="0.25">
      <c r="A322">
        <f t="shared" ref="A322:A385" si="5">INT((ROW()-ROW($A$1))/34)+1</f>
        <v>10</v>
      </c>
      <c r="B322">
        <v>16</v>
      </c>
      <c r="C322" s="1">
        <v>80361</v>
      </c>
    </row>
    <row r="323" spans="1:3" x14ac:dyDescent="0.25">
      <c r="A323">
        <f t="shared" si="5"/>
        <v>10</v>
      </c>
      <c r="B323">
        <v>17</v>
      </c>
      <c r="C323" s="1">
        <v>10896</v>
      </c>
    </row>
    <row r="324" spans="1:3" x14ac:dyDescent="0.25">
      <c r="A324">
        <f t="shared" si="5"/>
        <v>10</v>
      </c>
      <c r="B324">
        <v>18</v>
      </c>
      <c r="C324" s="1">
        <v>11649</v>
      </c>
    </row>
    <row r="325" spans="1:3" x14ac:dyDescent="0.25">
      <c r="A325">
        <f t="shared" si="5"/>
        <v>10</v>
      </c>
      <c r="B325">
        <v>19</v>
      </c>
      <c r="C325" s="1">
        <v>9410</v>
      </c>
    </row>
    <row r="326" spans="1:3" x14ac:dyDescent="0.25">
      <c r="A326">
        <f t="shared" si="5"/>
        <v>10</v>
      </c>
      <c r="B326">
        <v>20</v>
      </c>
      <c r="C326" s="1">
        <v>32259</v>
      </c>
    </row>
    <row r="327" spans="1:3" x14ac:dyDescent="0.25">
      <c r="A327">
        <f t="shared" si="5"/>
        <v>10</v>
      </c>
      <c r="B327">
        <v>21</v>
      </c>
      <c r="C327" s="1">
        <v>10008</v>
      </c>
    </row>
    <row r="328" spans="1:3" x14ac:dyDescent="0.25">
      <c r="A328">
        <f t="shared" si="5"/>
        <v>10</v>
      </c>
      <c r="B328">
        <v>22</v>
      </c>
      <c r="C328" s="1">
        <v>13229</v>
      </c>
    </row>
    <row r="329" spans="1:3" x14ac:dyDescent="0.25">
      <c r="A329">
        <f t="shared" si="5"/>
        <v>10</v>
      </c>
      <c r="B329">
        <v>23</v>
      </c>
      <c r="C329" s="1">
        <v>9502</v>
      </c>
    </row>
    <row r="330" spans="1:3" x14ac:dyDescent="0.25">
      <c r="A330">
        <f t="shared" si="5"/>
        <v>10</v>
      </c>
      <c r="B330">
        <v>24</v>
      </c>
      <c r="C330" s="1">
        <v>1291</v>
      </c>
    </row>
    <row r="331" spans="1:3" x14ac:dyDescent="0.25">
      <c r="A331">
        <f t="shared" si="5"/>
        <v>10</v>
      </c>
      <c r="B331">
        <v>25</v>
      </c>
      <c r="C331" s="1">
        <v>4568</v>
      </c>
    </row>
    <row r="332" spans="1:3" x14ac:dyDescent="0.25">
      <c r="A332">
        <f t="shared" si="5"/>
        <v>10</v>
      </c>
      <c r="B332">
        <v>26</v>
      </c>
      <c r="C332" s="1">
        <v>6648</v>
      </c>
    </row>
    <row r="333" spans="1:3" x14ac:dyDescent="0.25">
      <c r="A333">
        <f t="shared" si="5"/>
        <v>10</v>
      </c>
      <c r="B333">
        <v>27</v>
      </c>
      <c r="C333" s="1">
        <v>19424</v>
      </c>
    </row>
    <row r="334" spans="1:3" x14ac:dyDescent="0.25">
      <c r="A334">
        <f t="shared" si="5"/>
        <v>10</v>
      </c>
      <c r="B334">
        <v>28</v>
      </c>
      <c r="C334" s="1">
        <v>5049</v>
      </c>
    </row>
    <row r="335" spans="1:3" x14ac:dyDescent="0.25">
      <c r="A335">
        <f t="shared" si="5"/>
        <v>10</v>
      </c>
      <c r="B335">
        <v>29</v>
      </c>
      <c r="C335" s="1">
        <v>2053</v>
      </c>
    </row>
    <row r="336" spans="1:3" x14ac:dyDescent="0.25">
      <c r="A336">
        <f t="shared" si="5"/>
        <v>10</v>
      </c>
      <c r="B336">
        <v>30</v>
      </c>
      <c r="C336" s="1">
        <v>3084</v>
      </c>
    </row>
    <row r="337" spans="1:3" x14ac:dyDescent="0.25">
      <c r="A337">
        <f t="shared" si="5"/>
        <v>10</v>
      </c>
      <c r="B337">
        <v>31</v>
      </c>
      <c r="C337" s="1">
        <v>2525</v>
      </c>
    </row>
    <row r="338" spans="1:3" x14ac:dyDescent="0.25">
      <c r="A338">
        <f t="shared" si="5"/>
        <v>10</v>
      </c>
      <c r="B338">
        <v>32</v>
      </c>
      <c r="C338" s="1">
        <v>1908</v>
      </c>
    </row>
    <row r="339" spans="1:3" x14ac:dyDescent="0.25">
      <c r="A339">
        <f t="shared" si="5"/>
        <v>10</v>
      </c>
      <c r="B339">
        <v>33</v>
      </c>
      <c r="C339" s="1">
        <v>445.7218049329814</v>
      </c>
    </row>
    <row r="340" spans="1:3" x14ac:dyDescent="0.25">
      <c r="A340">
        <f t="shared" si="5"/>
        <v>10</v>
      </c>
      <c r="B340">
        <v>34</v>
      </c>
      <c r="C340" s="1">
        <v>1600.2781950670192</v>
      </c>
    </row>
    <row r="341" spans="1:3" x14ac:dyDescent="0.25">
      <c r="A341">
        <f t="shared" si="5"/>
        <v>11</v>
      </c>
      <c r="B341">
        <v>1</v>
      </c>
      <c r="C341" s="1">
        <v>2221</v>
      </c>
    </row>
    <row r="342" spans="1:3" x14ac:dyDescent="0.25">
      <c r="A342">
        <f t="shared" si="5"/>
        <v>11</v>
      </c>
      <c r="B342">
        <v>2</v>
      </c>
      <c r="C342" s="1">
        <v>6486</v>
      </c>
    </row>
    <row r="343" spans="1:3" x14ac:dyDescent="0.25">
      <c r="A343">
        <f t="shared" si="5"/>
        <v>11</v>
      </c>
      <c r="B343">
        <v>3</v>
      </c>
      <c r="C343" s="1">
        <v>2570</v>
      </c>
    </row>
    <row r="344" spans="1:3" x14ac:dyDescent="0.25">
      <c r="A344">
        <f t="shared" si="5"/>
        <v>11</v>
      </c>
      <c r="B344">
        <v>4</v>
      </c>
      <c r="C344" s="1">
        <v>7411</v>
      </c>
    </row>
    <row r="345" spans="1:3" x14ac:dyDescent="0.25">
      <c r="A345">
        <f t="shared" si="5"/>
        <v>11</v>
      </c>
      <c r="B345">
        <v>5</v>
      </c>
      <c r="C345" s="1">
        <v>10410</v>
      </c>
    </row>
    <row r="346" spans="1:3" x14ac:dyDescent="0.25">
      <c r="A346">
        <f t="shared" si="5"/>
        <v>11</v>
      </c>
      <c r="B346">
        <v>6</v>
      </c>
      <c r="C346" s="1">
        <v>12641</v>
      </c>
    </row>
    <row r="347" spans="1:3" x14ac:dyDescent="0.25">
      <c r="A347">
        <f t="shared" si="5"/>
        <v>11</v>
      </c>
      <c r="B347">
        <v>7</v>
      </c>
      <c r="C347" s="1">
        <v>2690</v>
      </c>
    </row>
    <row r="348" spans="1:3" x14ac:dyDescent="0.25">
      <c r="A348">
        <f t="shared" si="5"/>
        <v>11</v>
      </c>
      <c r="B348">
        <v>8</v>
      </c>
      <c r="C348" s="1">
        <v>25165</v>
      </c>
    </row>
    <row r="349" spans="1:3" x14ac:dyDescent="0.25">
      <c r="A349">
        <f t="shared" si="5"/>
        <v>11</v>
      </c>
      <c r="B349">
        <v>9</v>
      </c>
      <c r="C349" s="1">
        <v>2190</v>
      </c>
    </row>
    <row r="350" spans="1:3" x14ac:dyDescent="0.25">
      <c r="A350">
        <f t="shared" si="5"/>
        <v>11</v>
      </c>
      <c r="B350">
        <v>10</v>
      </c>
      <c r="C350" s="1">
        <v>3168</v>
      </c>
    </row>
    <row r="351" spans="1:3" x14ac:dyDescent="0.25">
      <c r="A351">
        <f t="shared" si="5"/>
        <v>11</v>
      </c>
      <c r="B351">
        <v>11</v>
      </c>
      <c r="C351" s="1">
        <v>1008910</v>
      </c>
    </row>
    <row r="352" spans="1:3" x14ac:dyDescent="0.25">
      <c r="A352">
        <f t="shared" si="5"/>
        <v>11</v>
      </c>
      <c r="B352">
        <v>12</v>
      </c>
      <c r="C352" s="1">
        <v>712058</v>
      </c>
    </row>
    <row r="353" spans="1:3" x14ac:dyDescent="0.25">
      <c r="A353">
        <f t="shared" si="5"/>
        <v>11</v>
      </c>
      <c r="B353">
        <v>13</v>
      </c>
      <c r="C353" s="1">
        <v>74919</v>
      </c>
    </row>
    <row r="354" spans="1:3" x14ac:dyDescent="0.25">
      <c r="A354">
        <f t="shared" si="5"/>
        <v>11</v>
      </c>
      <c r="B354">
        <v>14</v>
      </c>
      <c r="C354" s="1">
        <v>6708</v>
      </c>
    </row>
    <row r="355" spans="1:3" x14ac:dyDescent="0.25">
      <c r="A355">
        <f t="shared" si="5"/>
        <v>11</v>
      </c>
      <c r="B355">
        <v>15</v>
      </c>
      <c r="C355" s="1">
        <v>74548</v>
      </c>
    </row>
    <row r="356" spans="1:3" x14ac:dyDescent="0.25">
      <c r="A356">
        <f t="shared" si="5"/>
        <v>11</v>
      </c>
      <c r="B356">
        <v>16</v>
      </c>
      <c r="C356" s="1">
        <v>337905</v>
      </c>
    </row>
    <row r="357" spans="1:3" x14ac:dyDescent="0.25">
      <c r="A357">
        <f t="shared" si="5"/>
        <v>11</v>
      </c>
      <c r="B357">
        <v>17</v>
      </c>
      <c r="C357" s="1">
        <v>2899</v>
      </c>
    </row>
    <row r="358" spans="1:3" x14ac:dyDescent="0.25">
      <c r="A358">
        <f t="shared" si="5"/>
        <v>11</v>
      </c>
      <c r="B358">
        <v>18</v>
      </c>
      <c r="C358" s="1">
        <v>1789</v>
      </c>
    </row>
    <row r="359" spans="1:3" x14ac:dyDescent="0.25">
      <c r="A359">
        <f t="shared" si="5"/>
        <v>11</v>
      </c>
      <c r="B359">
        <v>19</v>
      </c>
      <c r="C359" s="1">
        <v>1563</v>
      </c>
    </row>
    <row r="360" spans="1:3" x14ac:dyDescent="0.25">
      <c r="A360">
        <f t="shared" si="5"/>
        <v>11</v>
      </c>
      <c r="B360">
        <v>20</v>
      </c>
      <c r="C360" s="1">
        <v>3268</v>
      </c>
    </row>
    <row r="361" spans="1:3" x14ac:dyDescent="0.25">
      <c r="A361">
        <f t="shared" si="5"/>
        <v>11</v>
      </c>
      <c r="B361">
        <v>21</v>
      </c>
      <c r="C361" s="1">
        <v>1741</v>
      </c>
    </row>
    <row r="362" spans="1:3" x14ac:dyDescent="0.25">
      <c r="A362">
        <f t="shared" si="5"/>
        <v>11</v>
      </c>
      <c r="B362">
        <v>22</v>
      </c>
      <c r="C362" s="1">
        <v>2425</v>
      </c>
    </row>
    <row r="363" spans="1:3" x14ac:dyDescent="0.25">
      <c r="A363">
        <f t="shared" si="5"/>
        <v>11</v>
      </c>
      <c r="B363">
        <v>23</v>
      </c>
      <c r="C363" s="1">
        <v>1424</v>
      </c>
    </row>
    <row r="364" spans="1:3" x14ac:dyDescent="0.25">
      <c r="A364">
        <f t="shared" si="5"/>
        <v>11</v>
      </c>
      <c r="B364">
        <v>24</v>
      </c>
      <c r="C364" s="1">
        <v>283</v>
      </c>
    </row>
    <row r="365" spans="1:3" x14ac:dyDescent="0.25">
      <c r="A365">
        <f t="shared" si="5"/>
        <v>11</v>
      </c>
      <c r="B365">
        <v>25</v>
      </c>
      <c r="C365" s="1">
        <v>662</v>
      </c>
    </row>
    <row r="366" spans="1:3" x14ac:dyDescent="0.25">
      <c r="A366">
        <f t="shared" si="5"/>
        <v>11</v>
      </c>
      <c r="B366">
        <v>26</v>
      </c>
      <c r="C366" s="1">
        <v>1275</v>
      </c>
    </row>
    <row r="367" spans="1:3" x14ac:dyDescent="0.25">
      <c r="A367">
        <f t="shared" si="5"/>
        <v>11</v>
      </c>
      <c r="B367">
        <v>27</v>
      </c>
      <c r="C367" s="1">
        <v>3408</v>
      </c>
    </row>
    <row r="368" spans="1:3" x14ac:dyDescent="0.25">
      <c r="A368">
        <f t="shared" si="5"/>
        <v>11</v>
      </c>
      <c r="B368">
        <v>28</v>
      </c>
      <c r="C368" s="1">
        <v>821</v>
      </c>
    </row>
    <row r="369" spans="1:3" x14ac:dyDescent="0.25">
      <c r="A369">
        <f t="shared" si="5"/>
        <v>11</v>
      </c>
      <c r="B369">
        <v>29</v>
      </c>
      <c r="C369" s="1">
        <v>206</v>
      </c>
    </row>
    <row r="370" spans="1:3" x14ac:dyDescent="0.25">
      <c r="A370">
        <f t="shared" si="5"/>
        <v>11</v>
      </c>
      <c r="B370">
        <v>30</v>
      </c>
      <c r="C370" s="1">
        <v>331</v>
      </c>
    </row>
    <row r="371" spans="1:3" x14ac:dyDescent="0.25">
      <c r="A371">
        <f t="shared" si="5"/>
        <v>11</v>
      </c>
      <c r="B371">
        <v>31</v>
      </c>
      <c r="C371" s="1">
        <v>263</v>
      </c>
    </row>
    <row r="372" spans="1:3" x14ac:dyDescent="0.25">
      <c r="A372">
        <f t="shared" si="5"/>
        <v>11</v>
      </c>
      <c r="B372">
        <v>32</v>
      </c>
      <c r="C372" s="1">
        <v>219</v>
      </c>
    </row>
    <row r="373" spans="1:3" x14ac:dyDescent="0.25">
      <c r="A373">
        <f t="shared" si="5"/>
        <v>11</v>
      </c>
      <c r="B373">
        <v>33</v>
      </c>
      <c r="C373" s="1">
        <v>45.095021320198995</v>
      </c>
    </row>
    <row r="374" spans="1:3" x14ac:dyDescent="0.25">
      <c r="A374">
        <f t="shared" si="5"/>
        <v>11</v>
      </c>
      <c r="B374">
        <v>34</v>
      </c>
      <c r="C374" s="1">
        <v>161.90497867980105</v>
      </c>
    </row>
    <row r="375" spans="1:3" x14ac:dyDescent="0.25">
      <c r="A375">
        <f t="shared" si="5"/>
        <v>12</v>
      </c>
      <c r="B375">
        <v>1</v>
      </c>
      <c r="C375" s="1">
        <v>404294</v>
      </c>
    </row>
    <row r="376" spans="1:3" x14ac:dyDescent="0.25">
      <c r="A376">
        <f t="shared" si="5"/>
        <v>12</v>
      </c>
      <c r="B376">
        <v>2</v>
      </c>
      <c r="C376" s="1">
        <v>503893</v>
      </c>
    </row>
    <row r="377" spans="1:3" x14ac:dyDescent="0.25">
      <c r="A377">
        <f t="shared" si="5"/>
        <v>12</v>
      </c>
      <c r="B377">
        <v>3</v>
      </c>
      <c r="C377" s="1">
        <v>268636</v>
      </c>
    </row>
    <row r="378" spans="1:3" x14ac:dyDescent="0.25">
      <c r="A378">
        <f t="shared" si="5"/>
        <v>12</v>
      </c>
      <c r="B378">
        <v>4</v>
      </c>
      <c r="C378" s="1">
        <v>338963</v>
      </c>
    </row>
    <row r="379" spans="1:3" x14ac:dyDescent="0.25">
      <c r="A379">
        <f t="shared" si="5"/>
        <v>12</v>
      </c>
      <c r="B379">
        <v>5</v>
      </c>
      <c r="C379" s="1">
        <v>291172</v>
      </c>
    </row>
    <row r="380" spans="1:3" x14ac:dyDescent="0.25">
      <c r="A380">
        <f t="shared" si="5"/>
        <v>12</v>
      </c>
      <c r="B380">
        <v>6</v>
      </c>
      <c r="C380" s="1">
        <v>708670</v>
      </c>
    </row>
    <row r="381" spans="1:3" x14ac:dyDescent="0.25">
      <c r="A381">
        <f t="shared" si="5"/>
        <v>12</v>
      </c>
      <c r="B381">
        <v>7</v>
      </c>
      <c r="C381" s="1">
        <v>142117</v>
      </c>
    </row>
    <row r="382" spans="1:3" x14ac:dyDescent="0.25">
      <c r="A382">
        <f t="shared" si="5"/>
        <v>12</v>
      </c>
      <c r="B382">
        <v>8</v>
      </c>
      <c r="C382" s="1">
        <v>994871</v>
      </c>
    </row>
    <row r="383" spans="1:3" x14ac:dyDescent="0.25">
      <c r="A383">
        <f t="shared" si="5"/>
        <v>12</v>
      </c>
      <c r="B383">
        <v>9</v>
      </c>
      <c r="C383" s="1">
        <v>151094</v>
      </c>
    </row>
    <row r="384" spans="1:3" x14ac:dyDescent="0.25">
      <c r="A384">
        <f t="shared" si="5"/>
        <v>12</v>
      </c>
      <c r="B384">
        <v>10</v>
      </c>
      <c r="C384" s="1">
        <v>118587</v>
      </c>
    </row>
    <row r="385" spans="1:3" x14ac:dyDescent="0.25">
      <c r="A385">
        <f t="shared" si="5"/>
        <v>12</v>
      </c>
      <c r="B385">
        <v>11</v>
      </c>
      <c r="C385" s="1">
        <v>4651318</v>
      </c>
    </row>
    <row r="386" spans="1:3" x14ac:dyDescent="0.25">
      <c r="A386">
        <f t="shared" ref="A386:A449" si="6">INT((ROW()-ROW($A$1))/34)+1</f>
        <v>12</v>
      </c>
      <c r="B386">
        <v>12</v>
      </c>
      <c r="C386" s="1">
        <v>39550598</v>
      </c>
    </row>
    <row r="387" spans="1:3" x14ac:dyDescent="0.25">
      <c r="A387">
        <f t="shared" si="6"/>
        <v>12</v>
      </c>
      <c r="B387">
        <v>13</v>
      </c>
      <c r="C387" s="1">
        <v>6009666</v>
      </c>
    </row>
    <row r="388" spans="1:3" x14ac:dyDescent="0.25">
      <c r="A388">
        <f t="shared" si="6"/>
        <v>12</v>
      </c>
      <c r="B388">
        <v>14</v>
      </c>
      <c r="C388" s="1">
        <v>499170</v>
      </c>
    </row>
    <row r="389" spans="1:3" x14ac:dyDescent="0.25">
      <c r="A389">
        <f t="shared" si="6"/>
        <v>12</v>
      </c>
      <c r="B389">
        <v>15</v>
      </c>
      <c r="C389" s="1">
        <v>3378038</v>
      </c>
    </row>
    <row r="390" spans="1:3" x14ac:dyDescent="0.25">
      <c r="A390">
        <f t="shared" si="6"/>
        <v>12</v>
      </c>
      <c r="B390">
        <v>16</v>
      </c>
      <c r="C390" s="1">
        <v>3986865</v>
      </c>
    </row>
    <row r="391" spans="1:3" x14ac:dyDescent="0.25">
      <c r="A391">
        <f t="shared" si="6"/>
        <v>12</v>
      </c>
      <c r="B391">
        <v>17</v>
      </c>
      <c r="C391" s="1">
        <v>229486</v>
      </c>
    </row>
    <row r="392" spans="1:3" x14ac:dyDescent="0.25">
      <c r="A392">
        <f t="shared" si="6"/>
        <v>12</v>
      </c>
      <c r="B392">
        <v>18</v>
      </c>
      <c r="C392" s="1">
        <v>251607</v>
      </c>
    </row>
    <row r="393" spans="1:3" x14ac:dyDescent="0.25">
      <c r="A393">
        <f t="shared" si="6"/>
        <v>12</v>
      </c>
      <c r="B393">
        <v>19</v>
      </c>
      <c r="C393" s="1">
        <v>253443</v>
      </c>
    </row>
    <row r="394" spans="1:3" x14ac:dyDescent="0.25">
      <c r="A394">
        <f t="shared" si="6"/>
        <v>12</v>
      </c>
      <c r="B394">
        <v>20</v>
      </c>
      <c r="C394" s="1">
        <v>365568</v>
      </c>
    </row>
    <row r="395" spans="1:3" x14ac:dyDescent="0.25">
      <c r="A395">
        <f t="shared" si="6"/>
        <v>12</v>
      </c>
      <c r="B395">
        <v>21</v>
      </c>
      <c r="C395" s="1">
        <v>203748</v>
      </c>
    </row>
    <row r="396" spans="1:3" x14ac:dyDescent="0.25">
      <c r="A396">
        <f t="shared" si="6"/>
        <v>12</v>
      </c>
      <c r="B396">
        <v>22</v>
      </c>
      <c r="C396" s="1">
        <v>253437</v>
      </c>
    </row>
    <row r="397" spans="1:3" x14ac:dyDescent="0.25">
      <c r="A397">
        <f t="shared" si="6"/>
        <v>12</v>
      </c>
      <c r="B397">
        <v>23</v>
      </c>
      <c r="C397" s="1">
        <v>147555</v>
      </c>
    </row>
    <row r="398" spans="1:3" x14ac:dyDescent="0.25">
      <c r="A398">
        <f t="shared" si="6"/>
        <v>12</v>
      </c>
      <c r="B398">
        <v>24</v>
      </c>
      <c r="C398" s="1">
        <v>20805</v>
      </c>
    </row>
    <row r="399" spans="1:3" x14ac:dyDescent="0.25">
      <c r="A399">
        <f t="shared" si="6"/>
        <v>12</v>
      </c>
      <c r="B399">
        <v>25</v>
      </c>
      <c r="C399" s="1">
        <v>149953</v>
      </c>
    </row>
    <row r="400" spans="1:3" x14ac:dyDescent="0.25">
      <c r="A400">
        <f t="shared" si="6"/>
        <v>12</v>
      </c>
      <c r="B400">
        <v>26</v>
      </c>
      <c r="C400" s="1">
        <v>134239</v>
      </c>
    </row>
    <row r="401" spans="1:3" x14ac:dyDescent="0.25">
      <c r="A401">
        <f t="shared" si="6"/>
        <v>12</v>
      </c>
      <c r="B401">
        <v>27</v>
      </c>
      <c r="C401" s="1">
        <v>511169</v>
      </c>
    </row>
    <row r="402" spans="1:3" x14ac:dyDescent="0.25">
      <c r="A402">
        <f t="shared" si="6"/>
        <v>12</v>
      </c>
      <c r="B402">
        <v>28</v>
      </c>
      <c r="C402" s="1">
        <v>167932</v>
      </c>
    </row>
    <row r="403" spans="1:3" x14ac:dyDescent="0.25">
      <c r="A403">
        <f t="shared" si="6"/>
        <v>12</v>
      </c>
      <c r="B403">
        <v>29</v>
      </c>
      <c r="C403" s="1">
        <v>38307</v>
      </c>
    </row>
    <row r="404" spans="1:3" x14ac:dyDescent="0.25">
      <c r="A404">
        <f t="shared" si="6"/>
        <v>12</v>
      </c>
      <c r="B404">
        <v>30</v>
      </c>
      <c r="C404" s="1">
        <v>150735</v>
      </c>
    </row>
    <row r="405" spans="1:3" x14ac:dyDescent="0.25">
      <c r="A405">
        <f t="shared" si="6"/>
        <v>12</v>
      </c>
      <c r="B405">
        <v>31</v>
      </c>
      <c r="C405" s="1">
        <v>148925</v>
      </c>
    </row>
    <row r="406" spans="1:3" x14ac:dyDescent="0.25">
      <c r="A406">
        <f t="shared" si="6"/>
        <v>12</v>
      </c>
      <c r="B406">
        <v>32</v>
      </c>
      <c r="C406" s="1">
        <v>116510</v>
      </c>
    </row>
    <row r="407" spans="1:3" x14ac:dyDescent="0.25">
      <c r="A407">
        <f t="shared" si="6"/>
        <v>12</v>
      </c>
      <c r="B407">
        <v>33</v>
      </c>
      <c r="C407" s="1">
        <v>33729.768845441598</v>
      </c>
    </row>
    <row r="408" spans="1:3" x14ac:dyDescent="0.25">
      <c r="A408">
        <f t="shared" si="6"/>
        <v>12</v>
      </c>
      <c r="B408">
        <v>34</v>
      </c>
      <c r="C408" s="1">
        <v>121100.23115455844</v>
      </c>
    </row>
    <row r="409" spans="1:3" x14ac:dyDescent="0.25">
      <c r="A409">
        <f t="shared" si="6"/>
        <v>13</v>
      </c>
      <c r="B409">
        <v>1</v>
      </c>
      <c r="C409" s="1">
        <v>149866</v>
      </c>
    </row>
    <row r="410" spans="1:3" x14ac:dyDescent="0.25">
      <c r="A410">
        <f t="shared" si="6"/>
        <v>13</v>
      </c>
      <c r="B410">
        <v>2</v>
      </c>
      <c r="C410" s="1">
        <v>336765</v>
      </c>
    </row>
    <row r="411" spans="1:3" x14ac:dyDescent="0.25">
      <c r="A411">
        <f t="shared" si="6"/>
        <v>13</v>
      </c>
      <c r="B411">
        <v>3</v>
      </c>
      <c r="C411" s="1">
        <v>171774</v>
      </c>
    </row>
    <row r="412" spans="1:3" x14ac:dyDescent="0.25">
      <c r="A412">
        <f t="shared" si="6"/>
        <v>13</v>
      </c>
      <c r="B412">
        <v>4</v>
      </c>
      <c r="C412" s="1">
        <v>298639</v>
      </c>
    </row>
    <row r="413" spans="1:3" x14ac:dyDescent="0.25">
      <c r="A413">
        <f t="shared" si="6"/>
        <v>13</v>
      </c>
      <c r="B413">
        <v>5</v>
      </c>
      <c r="C413" s="1">
        <v>308620</v>
      </c>
    </row>
    <row r="414" spans="1:3" x14ac:dyDescent="0.25">
      <c r="A414">
        <f t="shared" si="6"/>
        <v>13</v>
      </c>
      <c r="B414">
        <v>6</v>
      </c>
      <c r="C414" s="1">
        <v>357848</v>
      </c>
    </row>
    <row r="415" spans="1:3" x14ac:dyDescent="0.25">
      <c r="A415">
        <f t="shared" si="6"/>
        <v>13</v>
      </c>
      <c r="B415">
        <v>7</v>
      </c>
      <c r="C415" s="1">
        <v>87626</v>
      </c>
    </row>
    <row r="416" spans="1:3" x14ac:dyDescent="0.25">
      <c r="A416">
        <f t="shared" si="6"/>
        <v>13</v>
      </c>
      <c r="B416">
        <v>8</v>
      </c>
      <c r="C416" s="1">
        <v>441796</v>
      </c>
    </row>
    <row r="417" spans="1:3" x14ac:dyDescent="0.25">
      <c r="A417">
        <f t="shared" si="6"/>
        <v>13</v>
      </c>
      <c r="B417">
        <v>9</v>
      </c>
      <c r="C417" s="1">
        <v>102112</v>
      </c>
    </row>
    <row r="418" spans="1:3" x14ac:dyDescent="0.25">
      <c r="A418">
        <f t="shared" si="6"/>
        <v>13</v>
      </c>
      <c r="B418">
        <v>10</v>
      </c>
      <c r="C418" s="1">
        <v>83448</v>
      </c>
    </row>
    <row r="419" spans="1:3" x14ac:dyDescent="0.25">
      <c r="A419">
        <f t="shared" si="6"/>
        <v>13</v>
      </c>
      <c r="B419">
        <v>11</v>
      </c>
      <c r="C419" s="1">
        <v>1725434</v>
      </c>
    </row>
    <row r="420" spans="1:3" x14ac:dyDescent="0.25">
      <c r="A420">
        <f t="shared" si="6"/>
        <v>13</v>
      </c>
      <c r="B420">
        <v>12</v>
      </c>
      <c r="C420" s="1">
        <v>7326096</v>
      </c>
    </row>
    <row r="421" spans="1:3" x14ac:dyDescent="0.25">
      <c r="A421">
        <f t="shared" si="6"/>
        <v>13</v>
      </c>
      <c r="B421">
        <v>13</v>
      </c>
      <c r="C421" s="1">
        <v>23744998</v>
      </c>
    </row>
    <row r="422" spans="1:3" x14ac:dyDescent="0.25">
      <c r="A422">
        <f t="shared" si="6"/>
        <v>13</v>
      </c>
      <c r="B422">
        <v>14</v>
      </c>
      <c r="C422" s="1">
        <v>1345272</v>
      </c>
    </row>
    <row r="423" spans="1:3" x14ac:dyDescent="0.25">
      <c r="A423">
        <f t="shared" si="6"/>
        <v>13</v>
      </c>
      <c r="B423">
        <v>15</v>
      </c>
      <c r="C423" s="1">
        <v>7765225</v>
      </c>
    </row>
    <row r="424" spans="1:3" x14ac:dyDescent="0.25">
      <c r="A424">
        <f t="shared" si="6"/>
        <v>13</v>
      </c>
      <c r="B424">
        <v>16</v>
      </c>
      <c r="C424" s="1">
        <v>1870989</v>
      </c>
    </row>
    <row r="425" spans="1:3" x14ac:dyDescent="0.25">
      <c r="A425">
        <f t="shared" si="6"/>
        <v>13</v>
      </c>
      <c r="B425">
        <v>17</v>
      </c>
      <c r="C425" s="1">
        <v>278081</v>
      </c>
    </row>
    <row r="426" spans="1:3" x14ac:dyDescent="0.25">
      <c r="A426">
        <f t="shared" si="6"/>
        <v>13</v>
      </c>
      <c r="B426">
        <v>18</v>
      </c>
      <c r="C426" s="1">
        <v>273905</v>
      </c>
    </row>
    <row r="427" spans="1:3" x14ac:dyDescent="0.25">
      <c r="A427">
        <f t="shared" si="6"/>
        <v>13</v>
      </c>
      <c r="B427">
        <v>19</v>
      </c>
      <c r="C427" s="1">
        <v>248132</v>
      </c>
    </row>
    <row r="428" spans="1:3" x14ac:dyDescent="0.25">
      <c r="A428">
        <f t="shared" si="6"/>
        <v>13</v>
      </c>
      <c r="B428">
        <v>20</v>
      </c>
      <c r="C428" s="1">
        <v>286685</v>
      </c>
    </row>
    <row r="429" spans="1:3" x14ac:dyDescent="0.25">
      <c r="A429">
        <f t="shared" si="6"/>
        <v>13</v>
      </c>
      <c r="B429">
        <v>21</v>
      </c>
      <c r="C429" s="1">
        <v>181624</v>
      </c>
    </row>
    <row r="430" spans="1:3" x14ac:dyDescent="0.25">
      <c r="A430">
        <f t="shared" si="6"/>
        <v>13</v>
      </c>
      <c r="B430">
        <v>22</v>
      </c>
      <c r="C430" s="1">
        <v>248498</v>
      </c>
    </row>
    <row r="431" spans="1:3" x14ac:dyDescent="0.25">
      <c r="A431">
        <f t="shared" si="6"/>
        <v>13</v>
      </c>
      <c r="B431">
        <v>23</v>
      </c>
      <c r="C431" s="1">
        <v>176128</v>
      </c>
    </row>
    <row r="432" spans="1:3" x14ac:dyDescent="0.25">
      <c r="A432">
        <f t="shared" si="6"/>
        <v>13</v>
      </c>
      <c r="B432">
        <v>24</v>
      </c>
      <c r="C432" s="1">
        <v>20117</v>
      </c>
    </row>
    <row r="433" spans="1:3" x14ac:dyDescent="0.25">
      <c r="A433">
        <f t="shared" si="6"/>
        <v>13</v>
      </c>
      <c r="B433">
        <v>25</v>
      </c>
      <c r="C433" s="1">
        <v>71895</v>
      </c>
    </row>
    <row r="434" spans="1:3" x14ac:dyDescent="0.25">
      <c r="A434">
        <f t="shared" si="6"/>
        <v>13</v>
      </c>
      <c r="B434">
        <v>26</v>
      </c>
      <c r="C434" s="1">
        <v>102469</v>
      </c>
    </row>
    <row r="435" spans="1:3" x14ac:dyDescent="0.25">
      <c r="A435">
        <f t="shared" si="6"/>
        <v>13</v>
      </c>
      <c r="B435">
        <v>27</v>
      </c>
      <c r="C435" s="1">
        <v>306184</v>
      </c>
    </row>
    <row r="436" spans="1:3" x14ac:dyDescent="0.25">
      <c r="A436">
        <f t="shared" si="6"/>
        <v>13</v>
      </c>
      <c r="B436">
        <v>28</v>
      </c>
      <c r="C436" s="1">
        <v>92560</v>
      </c>
    </row>
    <row r="437" spans="1:3" x14ac:dyDescent="0.25">
      <c r="A437">
        <f t="shared" si="6"/>
        <v>13</v>
      </c>
      <c r="B437">
        <v>29</v>
      </c>
      <c r="C437" s="1">
        <v>30170</v>
      </c>
    </row>
    <row r="438" spans="1:3" x14ac:dyDescent="0.25">
      <c r="A438">
        <f t="shared" si="6"/>
        <v>13</v>
      </c>
      <c r="B438">
        <v>30</v>
      </c>
      <c r="C438" s="1">
        <v>54454</v>
      </c>
    </row>
    <row r="439" spans="1:3" x14ac:dyDescent="0.25">
      <c r="A439">
        <f t="shared" si="6"/>
        <v>13</v>
      </c>
      <c r="B439">
        <v>31</v>
      </c>
      <c r="C439" s="1">
        <v>61492</v>
      </c>
    </row>
    <row r="440" spans="1:3" x14ac:dyDescent="0.25">
      <c r="A440">
        <f t="shared" si="6"/>
        <v>13</v>
      </c>
      <c r="B440">
        <v>32</v>
      </c>
      <c r="C440" s="1">
        <v>34032</v>
      </c>
    </row>
    <row r="441" spans="1:3" x14ac:dyDescent="0.25">
      <c r="A441">
        <f t="shared" si="6"/>
        <v>13</v>
      </c>
      <c r="B441">
        <v>33</v>
      </c>
      <c r="C441" s="1">
        <v>12788.03307496136</v>
      </c>
    </row>
    <row r="442" spans="1:3" x14ac:dyDescent="0.25">
      <c r="A442">
        <f t="shared" si="6"/>
        <v>13</v>
      </c>
      <c r="B442">
        <v>34</v>
      </c>
      <c r="C442" s="1">
        <v>45912.966925038658</v>
      </c>
    </row>
    <row r="443" spans="1:3" x14ac:dyDescent="0.25">
      <c r="A443">
        <f t="shared" si="6"/>
        <v>14</v>
      </c>
      <c r="B443">
        <v>1</v>
      </c>
      <c r="C443" s="1">
        <v>5134</v>
      </c>
    </row>
    <row r="444" spans="1:3" x14ac:dyDescent="0.25">
      <c r="A444">
        <f t="shared" si="6"/>
        <v>14</v>
      </c>
      <c r="B444">
        <v>2</v>
      </c>
      <c r="C444" s="1">
        <v>10635</v>
      </c>
    </row>
    <row r="445" spans="1:3" x14ac:dyDescent="0.25">
      <c r="A445">
        <f t="shared" si="6"/>
        <v>14</v>
      </c>
      <c r="B445">
        <v>3</v>
      </c>
      <c r="C445" s="1">
        <v>5079</v>
      </c>
    </row>
    <row r="446" spans="1:3" x14ac:dyDescent="0.25">
      <c r="A446">
        <f t="shared" si="6"/>
        <v>14</v>
      </c>
      <c r="B446">
        <v>4</v>
      </c>
      <c r="C446" s="1">
        <v>14445</v>
      </c>
    </row>
    <row r="447" spans="1:3" x14ac:dyDescent="0.25">
      <c r="A447">
        <f t="shared" si="6"/>
        <v>14</v>
      </c>
      <c r="B447">
        <v>5</v>
      </c>
      <c r="C447" s="1">
        <v>19261</v>
      </c>
    </row>
    <row r="448" spans="1:3" x14ac:dyDescent="0.25">
      <c r="A448">
        <f t="shared" si="6"/>
        <v>14</v>
      </c>
      <c r="B448">
        <v>6</v>
      </c>
      <c r="C448" s="1">
        <v>12669</v>
      </c>
    </row>
    <row r="449" spans="1:3" x14ac:dyDescent="0.25">
      <c r="A449">
        <f t="shared" si="6"/>
        <v>14</v>
      </c>
      <c r="B449">
        <v>7</v>
      </c>
      <c r="C449" s="1">
        <v>2688</v>
      </c>
    </row>
    <row r="450" spans="1:3" x14ac:dyDescent="0.25">
      <c r="A450">
        <f t="shared" ref="A450:A513" si="7">INT((ROW()-ROW($A$1))/34)+1</f>
        <v>14</v>
      </c>
      <c r="B450">
        <v>8</v>
      </c>
      <c r="C450" s="1">
        <v>13408</v>
      </c>
    </row>
    <row r="451" spans="1:3" x14ac:dyDescent="0.25">
      <c r="A451">
        <f t="shared" si="7"/>
        <v>14</v>
      </c>
      <c r="B451">
        <v>9</v>
      </c>
      <c r="C451" s="1">
        <v>3620</v>
      </c>
    </row>
    <row r="452" spans="1:3" x14ac:dyDescent="0.25">
      <c r="A452">
        <f t="shared" si="7"/>
        <v>14</v>
      </c>
      <c r="B452">
        <v>10</v>
      </c>
      <c r="C452" s="1">
        <v>2473</v>
      </c>
    </row>
    <row r="453" spans="1:3" x14ac:dyDescent="0.25">
      <c r="A453">
        <f t="shared" si="7"/>
        <v>14</v>
      </c>
      <c r="B453">
        <v>11</v>
      </c>
      <c r="C453" s="1">
        <v>98941</v>
      </c>
    </row>
    <row r="454" spans="1:3" x14ac:dyDescent="0.25">
      <c r="A454">
        <f t="shared" si="7"/>
        <v>14</v>
      </c>
      <c r="B454">
        <v>12</v>
      </c>
      <c r="C454" s="1">
        <v>299755</v>
      </c>
    </row>
    <row r="455" spans="1:3" x14ac:dyDescent="0.25">
      <c r="A455">
        <f t="shared" si="7"/>
        <v>14</v>
      </c>
      <c r="B455">
        <v>13</v>
      </c>
      <c r="C455" s="1">
        <v>482059</v>
      </c>
    </row>
    <row r="456" spans="1:3" x14ac:dyDescent="0.25">
      <c r="A456">
        <f t="shared" si="7"/>
        <v>14</v>
      </c>
      <c r="B456">
        <v>14</v>
      </c>
      <c r="C456" s="1">
        <v>331119</v>
      </c>
    </row>
    <row r="457" spans="1:3" x14ac:dyDescent="0.25">
      <c r="A457">
        <f t="shared" si="7"/>
        <v>14</v>
      </c>
      <c r="B457">
        <v>15</v>
      </c>
      <c r="C457" s="1">
        <v>411196</v>
      </c>
    </row>
    <row r="458" spans="1:3" x14ac:dyDescent="0.25">
      <c r="A458">
        <f t="shared" si="7"/>
        <v>14</v>
      </c>
      <c r="B458">
        <v>16</v>
      </c>
      <c r="C458" s="1">
        <v>99094</v>
      </c>
    </row>
    <row r="459" spans="1:3" x14ac:dyDescent="0.25">
      <c r="A459">
        <f t="shared" si="7"/>
        <v>14</v>
      </c>
      <c r="B459">
        <v>17</v>
      </c>
      <c r="C459" s="1">
        <v>10449</v>
      </c>
    </row>
    <row r="460" spans="1:3" x14ac:dyDescent="0.25">
      <c r="A460">
        <f t="shared" si="7"/>
        <v>14</v>
      </c>
      <c r="B460">
        <v>18</v>
      </c>
      <c r="C460" s="1">
        <v>10374</v>
      </c>
    </row>
    <row r="461" spans="1:3" x14ac:dyDescent="0.25">
      <c r="A461">
        <f t="shared" si="7"/>
        <v>14</v>
      </c>
      <c r="B461">
        <v>19</v>
      </c>
      <c r="C461" s="1">
        <v>8051</v>
      </c>
    </row>
    <row r="462" spans="1:3" x14ac:dyDescent="0.25">
      <c r="A462">
        <f t="shared" si="7"/>
        <v>14</v>
      </c>
      <c r="B462">
        <v>20</v>
      </c>
      <c r="C462" s="1">
        <v>8572</v>
      </c>
    </row>
    <row r="463" spans="1:3" x14ac:dyDescent="0.25">
      <c r="A463">
        <f t="shared" si="7"/>
        <v>14</v>
      </c>
      <c r="B463">
        <v>21</v>
      </c>
      <c r="C463" s="1">
        <v>5470</v>
      </c>
    </row>
    <row r="464" spans="1:3" x14ac:dyDescent="0.25">
      <c r="A464">
        <f t="shared" si="7"/>
        <v>14</v>
      </c>
      <c r="B464">
        <v>22</v>
      </c>
      <c r="C464" s="1">
        <v>7849</v>
      </c>
    </row>
    <row r="465" spans="1:3" x14ac:dyDescent="0.25">
      <c r="A465">
        <f t="shared" si="7"/>
        <v>14</v>
      </c>
      <c r="B465">
        <v>23</v>
      </c>
      <c r="C465" s="1">
        <v>5242</v>
      </c>
    </row>
    <row r="466" spans="1:3" x14ac:dyDescent="0.25">
      <c r="A466">
        <f t="shared" si="7"/>
        <v>14</v>
      </c>
      <c r="B466">
        <v>24</v>
      </c>
      <c r="C466" s="1">
        <v>587</v>
      </c>
    </row>
    <row r="467" spans="1:3" x14ac:dyDescent="0.25">
      <c r="A467">
        <f t="shared" si="7"/>
        <v>14</v>
      </c>
      <c r="B467">
        <v>25</v>
      </c>
      <c r="C467" s="1">
        <v>2182</v>
      </c>
    </row>
    <row r="468" spans="1:3" x14ac:dyDescent="0.25">
      <c r="A468">
        <f t="shared" si="7"/>
        <v>14</v>
      </c>
      <c r="B468">
        <v>26</v>
      </c>
      <c r="C468" s="1">
        <v>3267</v>
      </c>
    </row>
    <row r="469" spans="1:3" x14ac:dyDescent="0.25">
      <c r="A469">
        <f t="shared" si="7"/>
        <v>14</v>
      </c>
      <c r="B469">
        <v>27</v>
      </c>
      <c r="C469" s="1">
        <v>11236</v>
      </c>
    </row>
    <row r="470" spans="1:3" x14ac:dyDescent="0.25">
      <c r="A470">
        <f t="shared" si="7"/>
        <v>14</v>
      </c>
      <c r="B470">
        <v>28</v>
      </c>
      <c r="C470" s="1">
        <v>3069</v>
      </c>
    </row>
    <row r="471" spans="1:3" x14ac:dyDescent="0.25">
      <c r="A471">
        <f t="shared" si="7"/>
        <v>14</v>
      </c>
      <c r="B471">
        <v>29</v>
      </c>
      <c r="C471" s="1">
        <v>944</v>
      </c>
    </row>
    <row r="472" spans="1:3" x14ac:dyDescent="0.25">
      <c r="A472">
        <f t="shared" si="7"/>
        <v>14</v>
      </c>
      <c r="B472">
        <v>30</v>
      </c>
      <c r="C472" s="1">
        <v>1846</v>
      </c>
    </row>
    <row r="473" spans="1:3" x14ac:dyDescent="0.25">
      <c r="A473">
        <f t="shared" si="7"/>
        <v>14</v>
      </c>
      <c r="B473">
        <v>31</v>
      </c>
      <c r="C473" s="1">
        <v>1967</v>
      </c>
    </row>
    <row r="474" spans="1:3" x14ac:dyDescent="0.25">
      <c r="A474">
        <f t="shared" si="7"/>
        <v>14</v>
      </c>
      <c r="B474">
        <v>32</v>
      </c>
      <c r="C474" s="1">
        <v>1166</v>
      </c>
    </row>
    <row r="475" spans="1:3" x14ac:dyDescent="0.25">
      <c r="A475">
        <f t="shared" si="7"/>
        <v>14</v>
      </c>
      <c r="B475">
        <v>33</v>
      </c>
      <c r="C475" s="1">
        <v>424.37247116786307</v>
      </c>
    </row>
    <row r="476" spans="1:3" x14ac:dyDescent="0.25">
      <c r="A476">
        <f t="shared" si="7"/>
        <v>14</v>
      </c>
      <c r="B476">
        <v>34</v>
      </c>
      <c r="C476" s="1">
        <v>1523.6275288321374</v>
      </c>
    </row>
    <row r="477" spans="1:3" x14ac:dyDescent="0.25">
      <c r="A477">
        <f t="shared" si="7"/>
        <v>15</v>
      </c>
      <c r="B477">
        <v>1</v>
      </c>
      <c r="C477" s="1">
        <v>245009</v>
      </c>
    </row>
    <row r="478" spans="1:3" x14ac:dyDescent="0.25">
      <c r="A478">
        <f t="shared" si="7"/>
        <v>15</v>
      </c>
      <c r="B478">
        <v>2</v>
      </c>
      <c r="C478" s="1">
        <v>566559</v>
      </c>
    </row>
    <row r="479" spans="1:3" x14ac:dyDescent="0.25">
      <c r="A479">
        <f t="shared" si="7"/>
        <v>15</v>
      </c>
      <c r="B479">
        <v>3</v>
      </c>
      <c r="C479" s="1">
        <v>285216</v>
      </c>
    </row>
    <row r="480" spans="1:3" x14ac:dyDescent="0.25">
      <c r="A480">
        <f t="shared" si="7"/>
        <v>15</v>
      </c>
      <c r="B480">
        <v>4</v>
      </c>
      <c r="C480" s="1">
        <v>415959</v>
      </c>
    </row>
    <row r="481" spans="1:3" x14ac:dyDescent="0.25">
      <c r="A481">
        <f t="shared" si="7"/>
        <v>15</v>
      </c>
      <c r="B481">
        <v>5</v>
      </c>
      <c r="C481" s="1">
        <v>1442961</v>
      </c>
    </row>
    <row r="482" spans="1:3" x14ac:dyDescent="0.25">
      <c r="A482">
        <f t="shared" si="7"/>
        <v>15</v>
      </c>
      <c r="B482">
        <v>6</v>
      </c>
      <c r="C482" s="1">
        <v>615414</v>
      </c>
    </row>
    <row r="483" spans="1:3" x14ac:dyDescent="0.25">
      <c r="A483">
        <f t="shared" si="7"/>
        <v>15</v>
      </c>
      <c r="B483">
        <v>7</v>
      </c>
      <c r="C483" s="1">
        <v>132461</v>
      </c>
    </row>
    <row r="484" spans="1:3" x14ac:dyDescent="0.25">
      <c r="A484">
        <f t="shared" si="7"/>
        <v>15</v>
      </c>
      <c r="B484">
        <v>8</v>
      </c>
      <c r="C484" s="1">
        <v>603308</v>
      </c>
    </row>
    <row r="485" spans="1:3" x14ac:dyDescent="0.25">
      <c r="A485">
        <f t="shared" si="7"/>
        <v>15</v>
      </c>
      <c r="B485">
        <v>9</v>
      </c>
      <c r="C485" s="1">
        <v>139422</v>
      </c>
    </row>
    <row r="486" spans="1:3" x14ac:dyDescent="0.25">
      <c r="A486">
        <f t="shared" si="7"/>
        <v>15</v>
      </c>
      <c r="B486">
        <v>10</v>
      </c>
      <c r="C486" s="1">
        <v>133213</v>
      </c>
    </row>
    <row r="487" spans="1:3" x14ac:dyDescent="0.25">
      <c r="A487">
        <f t="shared" si="7"/>
        <v>15</v>
      </c>
      <c r="B487">
        <v>11</v>
      </c>
      <c r="C487" s="1">
        <v>1406006</v>
      </c>
    </row>
    <row r="488" spans="1:3" x14ac:dyDescent="0.25">
      <c r="A488">
        <f t="shared" si="7"/>
        <v>15</v>
      </c>
      <c r="B488">
        <v>12</v>
      </c>
      <c r="C488" s="1">
        <v>5866834</v>
      </c>
    </row>
    <row r="489" spans="1:3" x14ac:dyDescent="0.25">
      <c r="A489">
        <f t="shared" si="7"/>
        <v>15</v>
      </c>
      <c r="B489">
        <v>13</v>
      </c>
      <c r="C489" s="1">
        <v>8466407</v>
      </c>
    </row>
    <row r="490" spans="1:3" x14ac:dyDescent="0.25">
      <c r="A490">
        <f t="shared" si="7"/>
        <v>15</v>
      </c>
      <c r="B490">
        <v>14</v>
      </c>
      <c r="C490" s="1">
        <v>950294</v>
      </c>
    </row>
    <row r="491" spans="1:3" x14ac:dyDescent="0.25">
      <c r="A491">
        <f t="shared" si="7"/>
        <v>15</v>
      </c>
      <c r="B491">
        <v>15</v>
      </c>
      <c r="C491" s="1">
        <v>44613253</v>
      </c>
    </row>
    <row r="492" spans="1:3" x14ac:dyDescent="0.25">
      <c r="A492">
        <f t="shared" si="7"/>
        <v>15</v>
      </c>
      <c r="B492">
        <v>16</v>
      </c>
      <c r="C492" s="1">
        <v>1576089</v>
      </c>
    </row>
    <row r="493" spans="1:3" x14ac:dyDescent="0.25">
      <c r="A493">
        <f t="shared" si="7"/>
        <v>15</v>
      </c>
      <c r="B493">
        <v>17</v>
      </c>
      <c r="C493" s="1">
        <v>1223903</v>
      </c>
    </row>
    <row r="494" spans="1:3" x14ac:dyDescent="0.25">
      <c r="A494">
        <f t="shared" si="7"/>
        <v>15</v>
      </c>
      <c r="B494">
        <v>18</v>
      </c>
      <c r="C494" s="1">
        <v>850972</v>
      </c>
    </row>
    <row r="495" spans="1:3" x14ac:dyDescent="0.25">
      <c r="A495">
        <f t="shared" si="7"/>
        <v>15</v>
      </c>
      <c r="B495">
        <v>19</v>
      </c>
      <c r="C495" s="1">
        <v>535728</v>
      </c>
    </row>
    <row r="496" spans="1:3" x14ac:dyDescent="0.25">
      <c r="A496">
        <f t="shared" si="7"/>
        <v>15</v>
      </c>
      <c r="B496">
        <v>20</v>
      </c>
      <c r="C496" s="1">
        <v>499077</v>
      </c>
    </row>
    <row r="497" spans="1:3" x14ac:dyDescent="0.25">
      <c r="A497">
        <f t="shared" si="7"/>
        <v>15</v>
      </c>
      <c r="B497">
        <v>21</v>
      </c>
      <c r="C497" s="1">
        <v>364045</v>
      </c>
    </row>
    <row r="498" spans="1:3" x14ac:dyDescent="0.25">
      <c r="A498">
        <f t="shared" si="7"/>
        <v>15</v>
      </c>
      <c r="B498">
        <v>22</v>
      </c>
      <c r="C498" s="1">
        <v>577756</v>
      </c>
    </row>
    <row r="499" spans="1:3" x14ac:dyDescent="0.25">
      <c r="A499">
        <f t="shared" si="7"/>
        <v>15</v>
      </c>
      <c r="B499">
        <v>23</v>
      </c>
      <c r="C499" s="1">
        <v>297258</v>
      </c>
    </row>
    <row r="500" spans="1:3" x14ac:dyDescent="0.25">
      <c r="A500">
        <f t="shared" si="7"/>
        <v>15</v>
      </c>
      <c r="B500">
        <v>24</v>
      </c>
      <c r="C500" s="1">
        <v>36447</v>
      </c>
    </row>
    <row r="501" spans="1:3" x14ac:dyDescent="0.25">
      <c r="A501">
        <f t="shared" si="7"/>
        <v>15</v>
      </c>
      <c r="B501">
        <v>25</v>
      </c>
      <c r="C501" s="1">
        <v>147895</v>
      </c>
    </row>
    <row r="502" spans="1:3" x14ac:dyDescent="0.25">
      <c r="A502">
        <f t="shared" si="7"/>
        <v>15</v>
      </c>
      <c r="B502">
        <v>26</v>
      </c>
      <c r="C502" s="1">
        <v>228438</v>
      </c>
    </row>
    <row r="503" spans="1:3" x14ac:dyDescent="0.25">
      <c r="A503">
        <f t="shared" si="7"/>
        <v>15</v>
      </c>
      <c r="B503">
        <v>27</v>
      </c>
      <c r="C503" s="1">
        <v>743845</v>
      </c>
    </row>
    <row r="504" spans="1:3" x14ac:dyDescent="0.25">
      <c r="A504">
        <f t="shared" si="7"/>
        <v>15</v>
      </c>
      <c r="B504">
        <v>28</v>
      </c>
      <c r="C504" s="1">
        <v>213232</v>
      </c>
    </row>
    <row r="505" spans="1:3" x14ac:dyDescent="0.25">
      <c r="A505">
        <f t="shared" si="7"/>
        <v>15</v>
      </c>
      <c r="B505">
        <v>29</v>
      </c>
      <c r="C505" s="1">
        <v>65739</v>
      </c>
    </row>
    <row r="506" spans="1:3" x14ac:dyDescent="0.25">
      <c r="A506">
        <f t="shared" si="7"/>
        <v>15</v>
      </c>
      <c r="B506">
        <v>30</v>
      </c>
      <c r="C506" s="1">
        <v>125428</v>
      </c>
    </row>
    <row r="507" spans="1:3" x14ac:dyDescent="0.25">
      <c r="A507">
        <f t="shared" si="7"/>
        <v>15</v>
      </c>
      <c r="B507">
        <v>31</v>
      </c>
      <c r="C507" s="1">
        <v>130252</v>
      </c>
    </row>
    <row r="508" spans="1:3" x14ac:dyDescent="0.25">
      <c r="A508">
        <f t="shared" si="7"/>
        <v>15</v>
      </c>
      <c r="B508">
        <v>32</v>
      </c>
      <c r="C508" s="1">
        <v>71843</v>
      </c>
    </row>
    <row r="509" spans="1:3" x14ac:dyDescent="0.25">
      <c r="A509">
        <f t="shared" si="7"/>
        <v>15</v>
      </c>
      <c r="B509">
        <v>33</v>
      </c>
      <c r="C509" s="1">
        <v>23417.822786544886</v>
      </c>
    </row>
    <row r="510" spans="1:3" x14ac:dyDescent="0.25">
      <c r="A510">
        <f t="shared" si="7"/>
        <v>15</v>
      </c>
      <c r="B510">
        <v>34</v>
      </c>
      <c r="C510" s="1">
        <v>84077.177213455143</v>
      </c>
    </row>
    <row r="511" spans="1:3" x14ac:dyDescent="0.25">
      <c r="A511">
        <f t="shared" si="7"/>
        <v>16</v>
      </c>
      <c r="B511">
        <v>1</v>
      </c>
      <c r="C511" s="1">
        <v>49180</v>
      </c>
    </row>
    <row r="512" spans="1:3" x14ac:dyDescent="0.25">
      <c r="A512">
        <f t="shared" si="7"/>
        <v>16</v>
      </c>
      <c r="B512">
        <v>2</v>
      </c>
      <c r="C512" s="1">
        <v>111180</v>
      </c>
    </row>
    <row r="513" spans="1:3" x14ac:dyDescent="0.25">
      <c r="A513">
        <f t="shared" si="7"/>
        <v>16</v>
      </c>
      <c r="B513">
        <v>3</v>
      </c>
      <c r="C513" s="1">
        <v>142735</v>
      </c>
    </row>
    <row r="514" spans="1:3" x14ac:dyDescent="0.25">
      <c r="A514">
        <f t="shared" ref="A514:A577" si="8">INT((ROW()-ROW($A$1))/34)+1</f>
        <v>16</v>
      </c>
      <c r="B514">
        <v>4</v>
      </c>
      <c r="C514" s="1">
        <v>205720</v>
      </c>
    </row>
    <row r="515" spans="1:3" x14ac:dyDescent="0.25">
      <c r="A515">
        <f t="shared" si="8"/>
        <v>16</v>
      </c>
      <c r="B515">
        <v>5</v>
      </c>
      <c r="C515" s="1">
        <v>130556</v>
      </c>
    </row>
    <row r="516" spans="1:3" x14ac:dyDescent="0.25">
      <c r="A516">
        <f t="shared" si="8"/>
        <v>16</v>
      </c>
      <c r="B516">
        <v>6</v>
      </c>
      <c r="C516" s="1">
        <v>288303</v>
      </c>
    </row>
    <row r="517" spans="1:3" x14ac:dyDescent="0.25">
      <c r="A517">
        <f t="shared" si="8"/>
        <v>16</v>
      </c>
      <c r="B517">
        <v>7</v>
      </c>
      <c r="C517" s="1">
        <v>63594</v>
      </c>
    </row>
    <row r="518" spans="1:3" x14ac:dyDescent="0.25">
      <c r="A518">
        <f t="shared" si="8"/>
        <v>16</v>
      </c>
      <c r="B518">
        <v>8</v>
      </c>
      <c r="C518" s="1">
        <v>357318</v>
      </c>
    </row>
    <row r="519" spans="1:3" x14ac:dyDescent="0.25">
      <c r="A519">
        <f t="shared" si="8"/>
        <v>16</v>
      </c>
      <c r="B519">
        <v>9</v>
      </c>
      <c r="C519" s="1">
        <v>32097</v>
      </c>
    </row>
    <row r="520" spans="1:3" x14ac:dyDescent="0.25">
      <c r="A520">
        <f t="shared" si="8"/>
        <v>16</v>
      </c>
      <c r="B520">
        <v>10</v>
      </c>
      <c r="C520" s="1">
        <v>26901</v>
      </c>
    </row>
    <row r="521" spans="1:3" x14ac:dyDescent="0.25">
      <c r="A521">
        <f t="shared" si="8"/>
        <v>16</v>
      </c>
      <c r="B521">
        <v>11</v>
      </c>
      <c r="C521" s="1">
        <v>1576013</v>
      </c>
    </row>
    <row r="522" spans="1:3" x14ac:dyDescent="0.25">
      <c r="A522">
        <f t="shared" si="8"/>
        <v>16</v>
      </c>
      <c r="B522">
        <v>12</v>
      </c>
      <c r="C522" s="1">
        <v>3404243</v>
      </c>
    </row>
    <row r="523" spans="1:3" x14ac:dyDescent="0.25">
      <c r="A523">
        <f t="shared" si="8"/>
        <v>16</v>
      </c>
      <c r="B523">
        <v>13</v>
      </c>
      <c r="C523" s="1">
        <v>691372</v>
      </c>
    </row>
    <row r="524" spans="1:3" x14ac:dyDescent="0.25">
      <c r="A524">
        <f t="shared" si="8"/>
        <v>16</v>
      </c>
      <c r="B524">
        <v>14</v>
      </c>
      <c r="C524" s="1">
        <v>67589</v>
      </c>
    </row>
    <row r="525" spans="1:3" x14ac:dyDescent="0.25">
      <c r="A525">
        <f t="shared" si="8"/>
        <v>16</v>
      </c>
      <c r="B525">
        <v>15</v>
      </c>
      <c r="C525" s="1">
        <v>535670</v>
      </c>
    </row>
    <row r="526" spans="1:3" x14ac:dyDescent="0.25">
      <c r="A526">
        <f t="shared" si="8"/>
        <v>16</v>
      </c>
      <c r="B526">
        <v>16</v>
      </c>
      <c r="C526" s="1">
        <v>3757691</v>
      </c>
    </row>
    <row r="527" spans="1:3" x14ac:dyDescent="0.25">
      <c r="A527">
        <f t="shared" si="8"/>
        <v>16</v>
      </c>
      <c r="B527">
        <v>17</v>
      </c>
      <c r="C527" s="1">
        <v>41061</v>
      </c>
    </row>
    <row r="528" spans="1:3" x14ac:dyDescent="0.25">
      <c r="A528">
        <f t="shared" si="8"/>
        <v>16</v>
      </c>
      <c r="B528">
        <v>18</v>
      </c>
      <c r="C528" s="1">
        <v>45267</v>
      </c>
    </row>
    <row r="529" spans="1:3" x14ac:dyDescent="0.25">
      <c r="A529">
        <f t="shared" si="8"/>
        <v>16</v>
      </c>
      <c r="B529">
        <v>19</v>
      </c>
      <c r="C529" s="1">
        <v>46724</v>
      </c>
    </row>
    <row r="530" spans="1:3" x14ac:dyDescent="0.25">
      <c r="A530">
        <f t="shared" si="8"/>
        <v>16</v>
      </c>
      <c r="B530">
        <v>20</v>
      </c>
      <c r="C530" s="1">
        <v>63934</v>
      </c>
    </row>
    <row r="531" spans="1:3" x14ac:dyDescent="0.25">
      <c r="A531">
        <f t="shared" si="8"/>
        <v>16</v>
      </c>
      <c r="B531">
        <v>21</v>
      </c>
      <c r="C531" s="1">
        <v>33183</v>
      </c>
    </row>
    <row r="532" spans="1:3" x14ac:dyDescent="0.25">
      <c r="A532">
        <f t="shared" si="8"/>
        <v>16</v>
      </c>
      <c r="B532">
        <v>22</v>
      </c>
      <c r="C532" s="1">
        <v>41710</v>
      </c>
    </row>
    <row r="533" spans="1:3" x14ac:dyDescent="0.25">
      <c r="A533">
        <f t="shared" si="8"/>
        <v>16</v>
      </c>
      <c r="B533">
        <v>23</v>
      </c>
      <c r="C533" s="1">
        <v>28235</v>
      </c>
    </row>
    <row r="534" spans="1:3" x14ac:dyDescent="0.25">
      <c r="A534">
        <f t="shared" si="8"/>
        <v>16</v>
      </c>
      <c r="B534">
        <v>24</v>
      </c>
      <c r="C534" s="1">
        <v>4266</v>
      </c>
    </row>
    <row r="535" spans="1:3" x14ac:dyDescent="0.25">
      <c r="A535">
        <f t="shared" si="8"/>
        <v>16</v>
      </c>
      <c r="B535">
        <v>25</v>
      </c>
      <c r="C535" s="1">
        <v>13908</v>
      </c>
    </row>
    <row r="536" spans="1:3" x14ac:dyDescent="0.25">
      <c r="A536">
        <f t="shared" si="8"/>
        <v>16</v>
      </c>
      <c r="B536">
        <v>26</v>
      </c>
      <c r="C536" s="1">
        <v>21560</v>
      </c>
    </row>
    <row r="537" spans="1:3" x14ac:dyDescent="0.25">
      <c r="A537">
        <f t="shared" si="8"/>
        <v>16</v>
      </c>
      <c r="B537">
        <v>27</v>
      </c>
      <c r="C537" s="1">
        <v>63786</v>
      </c>
    </row>
    <row r="538" spans="1:3" x14ac:dyDescent="0.25">
      <c r="A538">
        <f t="shared" si="8"/>
        <v>16</v>
      </c>
      <c r="B538">
        <v>28</v>
      </c>
      <c r="C538" s="1">
        <v>19451</v>
      </c>
    </row>
    <row r="539" spans="1:3" x14ac:dyDescent="0.25">
      <c r="A539">
        <f t="shared" si="8"/>
        <v>16</v>
      </c>
      <c r="B539">
        <v>29</v>
      </c>
      <c r="C539" s="1">
        <v>6398</v>
      </c>
    </row>
    <row r="540" spans="1:3" x14ac:dyDescent="0.25">
      <c r="A540">
        <f t="shared" si="8"/>
        <v>16</v>
      </c>
      <c r="B540">
        <v>30</v>
      </c>
      <c r="C540" s="1">
        <v>11816</v>
      </c>
    </row>
    <row r="541" spans="1:3" x14ac:dyDescent="0.25">
      <c r="A541">
        <f t="shared" si="8"/>
        <v>16</v>
      </c>
      <c r="B541">
        <v>31</v>
      </c>
      <c r="C541" s="1">
        <v>13998</v>
      </c>
    </row>
    <row r="542" spans="1:3" x14ac:dyDescent="0.25">
      <c r="A542">
        <f t="shared" si="8"/>
        <v>16</v>
      </c>
      <c r="B542">
        <v>32</v>
      </c>
      <c r="C542" s="1">
        <v>8013</v>
      </c>
    </row>
    <row r="543" spans="1:3" x14ac:dyDescent="0.25">
      <c r="A543">
        <f t="shared" si="8"/>
        <v>16</v>
      </c>
      <c r="B543">
        <v>33</v>
      </c>
      <c r="C543" s="1">
        <v>3250.3271405670002</v>
      </c>
    </row>
    <row r="544" spans="1:3" x14ac:dyDescent="0.25">
      <c r="A544">
        <f t="shared" si="8"/>
        <v>16</v>
      </c>
      <c r="B544">
        <v>34</v>
      </c>
      <c r="C544" s="1">
        <v>11669.672859433003</v>
      </c>
    </row>
    <row r="545" spans="1:3" x14ac:dyDescent="0.25">
      <c r="A545">
        <f t="shared" si="8"/>
        <v>17</v>
      </c>
      <c r="B545">
        <v>1</v>
      </c>
      <c r="C545" s="1">
        <v>22048</v>
      </c>
    </row>
    <row r="546" spans="1:3" x14ac:dyDescent="0.25">
      <c r="A546">
        <f t="shared" si="8"/>
        <v>17</v>
      </c>
      <c r="B546">
        <v>2</v>
      </c>
      <c r="C546" s="1">
        <v>49444</v>
      </c>
    </row>
    <row r="547" spans="1:3" x14ac:dyDescent="0.25">
      <c r="A547">
        <f t="shared" si="8"/>
        <v>17</v>
      </c>
      <c r="B547">
        <v>3</v>
      </c>
      <c r="C547" s="1">
        <v>26900</v>
      </c>
    </row>
    <row r="548" spans="1:3" x14ac:dyDescent="0.25">
      <c r="A548">
        <f t="shared" si="8"/>
        <v>17</v>
      </c>
      <c r="B548">
        <v>4</v>
      </c>
      <c r="C548" s="1">
        <v>36826</v>
      </c>
    </row>
    <row r="549" spans="1:3" x14ac:dyDescent="0.25">
      <c r="A549">
        <f t="shared" si="8"/>
        <v>17</v>
      </c>
      <c r="B549">
        <v>5</v>
      </c>
      <c r="C549" s="1">
        <v>25957</v>
      </c>
    </row>
    <row r="550" spans="1:3" x14ac:dyDescent="0.25">
      <c r="A550">
        <f t="shared" si="8"/>
        <v>17</v>
      </c>
      <c r="B550">
        <v>6</v>
      </c>
      <c r="C550" s="1">
        <v>45656</v>
      </c>
    </row>
    <row r="551" spans="1:3" x14ac:dyDescent="0.25">
      <c r="A551">
        <f t="shared" si="8"/>
        <v>17</v>
      </c>
      <c r="B551">
        <v>7</v>
      </c>
      <c r="C551" s="1">
        <v>14395</v>
      </c>
    </row>
    <row r="552" spans="1:3" x14ac:dyDescent="0.25">
      <c r="A552">
        <f t="shared" si="8"/>
        <v>17</v>
      </c>
      <c r="B552">
        <v>8</v>
      </c>
      <c r="C552" s="1">
        <v>53478</v>
      </c>
    </row>
    <row r="553" spans="1:3" x14ac:dyDescent="0.25">
      <c r="A553">
        <f t="shared" si="8"/>
        <v>17</v>
      </c>
      <c r="B553">
        <v>9</v>
      </c>
      <c r="C553" s="1">
        <v>10438</v>
      </c>
    </row>
    <row r="554" spans="1:3" x14ac:dyDescent="0.25">
      <c r="A554">
        <f t="shared" si="8"/>
        <v>17</v>
      </c>
      <c r="B554">
        <v>10</v>
      </c>
      <c r="C554" s="1">
        <v>10932</v>
      </c>
    </row>
    <row r="555" spans="1:3" x14ac:dyDescent="0.25">
      <c r="A555">
        <f t="shared" si="8"/>
        <v>17</v>
      </c>
      <c r="B555">
        <v>11</v>
      </c>
      <c r="C555" s="1">
        <v>84873</v>
      </c>
    </row>
    <row r="556" spans="1:3" x14ac:dyDescent="0.25">
      <c r="A556">
        <f t="shared" si="8"/>
        <v>17</v>
      </c>
      <c r="B556">
        <v>12</v>
      </c>
      <c r="C556" s="1">
        <v>386004</v>
      </c>
    </row>
    <row r="557" spans="1:3" x14ac:dyDescent="0.25">
      <c r="A557">
        <f t="shared" si="8"/>
        <v>17</v>
      </c>
      <c r="B557">
        <v>13</v>
      </c>
      <c r="C557" s="1">
        <v>402975</v>
      </c>
    </row>
    <row r="558" spans="1:3" x14ac:dyDescent="0.25">
      <c r="A558">
        <f t="shared" si="8"/>
        <v>17</v>
      </c>
      <c r="B558">
        <v>14</v>
      </c>
      <c r="C558" s="1">
        <v>46922</v>
      </c>
    </row>
    <row r="559" spans="1:3" x14ac:dyDescent="0.25">
      <c r="A559">
        <f t="shared" si="8"/>
        <v>17</v>
      </c>
      <c r="B559">
        <v>15</v>
      </c>
      <c r="C559" s="1">
        <v>1133946</v>
      </c>
    </row>
    <row r="560" spans="1:3" x14ac:dyDescent="0.25">
      <c r="A560">
        <f t="shared" si="8"/>
        <v>17</v>
      </c>
      <c r="B560">
        <v>16</v>
      </c>
      <c r="C560" s="1">
        <v>98140</v>
      </c>
    </row>
    <row r="561" spans="1:3" x14ac:dyDescent="0.25">
      <c r="A561">
        <f t="shared" si="8"/>
        <v>17</v>
      </c>
      <c r="B561">
        <v>17</v>
      </c>
      <c r="C561" s="1">
        <v>1502284</v>
      </c>
    </row>
    <row r="562" spans="1:3" x14ac:dyDescent="0.25">
      <c r="A562">
        <f t="shared" si="8"/>
        <v>17</v>
      </c>
      <c r="B562">
        <v>18</v>
      </c>
      <c r="C562" s="1">
        <v>261982</v>
      </c>
    </row>
    <row r="563" spans="1:3" x14ac:dyDescent="0.25">
      <c r="A563">
        <f t="shared" si="8"/>
        <v>17</v>
      </c>
      <c r="B563">
        <v>19</v>
      </c>
      <c r="C563" s="1">
        <v>79370</v>
      </c>
    </row>
    <row r="564" spans="1:3" x14ac:dyDescent="0.25">
      <c r="A564">
        <f t="shared" si="8"/>
        <v>17</v>
      </c>
      <c r="B564">
        <v>20</v>
      </c>
      <c r="C564" s="1">
        <v>41247</v>
      </c>
    </row>
    <row r="565" spans="1:3" x14ac:dyDescent="0.25">
      <c r="A565">
        <f t="shared" si="8"/>
        <v>17</v>
      </c>
      <c r="B565">
        <v>21</v>
      </c>
      <c r="C565" s="1">
        <v>31672</v>
      </c>
    </row>
    <row r="566" spans="1:3" x14ac:dyDescent="0.25">
      <c r="A566">
        <f t="shared" si="8"/>
        <v>17</v>
      </c>
      <c r="B566">
        <v>22</v>
      </c>
      <c r="C566" s="1">
        <v>57057</v>
      </c>
    </row>
    <row r="567" spans="1:3" x14ac:dyDescent="0.25">
      <c r="A567">
        <f t="shared" si="8"/>
        <v>17</v>
      </c>
      <c r="B567">
        <v>23</v>
      </c>
      <c r="C567" s="1">
        <v>30965</v>
      </c>
    </row>
    <row r="568" spans="1:3" x14ac:dyDescent="0.25">
      <c r="A568">
        <f t="shared" si="8"/>
        <v>17</v>
      </c>
      <c r="B568">
        <v>24</v>
      </c>
      <c r="C568" s="1">
        <v>3716</v>
      </c>
    </row>
    <row r="569" spans="1:3" x14ac:dyDescent="0.25">
      <c r="A569">
        <f t="shared" si="8"/>
        <v>17</v>
      </c>
      <c r="B569">
        <v>25</v>
      </c>
      <c r="C569" s="1">
        <v>16267</v>
      </c>
    </row>
    <row r="570" spans="1:3" x14ac:dyDescent="0.25">
      <c r="A570">
        <f t="shared" si="8"/>
        <v>17</v>
      </c>
      <c r="B570">
        <v>26</v>
      </c>
      <c r="C570" s="1">
        <v>25922</v>
      </c>
    </row>
    <row r="571" spans="1:3" x14ac:dyDescent="0.25">
      <c r="A571">
        <f t="shared" si="8"/>
        <v>17</v>
      </c>
      <c r="B571">
        <v>27</v>
      </c>
      <c r="C571" s="1">
        <v>103408</v>
      </c>
    </row>
    <row r="572" spans="1:3" x14ac:dyDescent="0.25">
      <c r="A572">
        <f t="shared" si="8"/>
        <v>17</v>
      </c>
      <c r="B572">
        <v>28</v>
      </c>
      <c r="C572" s="1">
        <v>27655</v>
      </c>
    </row>
    <row r="573" spans="1:3" x14ac:dyDescent="0.25">
      <c r="A573">
        <f t="shared" si="8"/>
        <v>17</v>
      </c>
      <c r="B573">
        <v>29</v>
      </c>
      <c r="C573" s="1">
        <v>7420</v>
      </c>
    </row>
    <row r="574" spans="1:3" x14ac:dyDescent="0.25">
      <c r="A574">
        <f t="shared" si="8"/>
        <v>17</v>
      </c>
      <c r="B574">
        <v>30</v>
      </c>
      <c r="C574" s="1">
        <v>15312</v>
      </c>
    </row>
    <row r="575" spans="1:3" x14ac:dyDescent="0.25">
      <c r="A575">
        <f t="shared" si="8"/>
        <v>17</v>
      </c>
      <c r="B575">
        <v>31</v>
      </c>
      <c r="C575" s="1">
        <v>15559</v>
      </c>
    </row>
    <row r="576" spans="1:3" x14ac:dyDescent="0.25">
      <c r="A576">
        <f t="shared" si="8"/>
        <v>17</v>
      </c>
      <c r="B576">
        <v>32</v>
      </c>
      <c r="C576" s="1">
        <v>8503</v>
      </c>
    </row>
    <row r="577" spans="1:3" x14ac:dyDescent="0.25">
      <c r="A577">
        <f t="shared" si="8"/>
        <v>17</v>
      </c>
      <c r="B577">
        <v>33</v>
      </c>
      <c r="C577" s="1">
        <v>2955.3577740570995</v>
      </c>
    </row>
    <row r="578" spans="1:3" x14ac:dyDescent="0.25">
      <c r="A578">
        <f t="shared" ref="A578:A641" si="9">INT((ROW()-ROW($A$1))/34)+1</f>
        <v>17</v>
      </c>
      <c r="B578">
        <v>34</v>
      </c>
      <c r="C578" s="1">
        <v>10610.642225942904</v>
      </c>
    </row>
    <row r="579" spans="1:3" x14ac:dyDescent="0.25">
      <c r="A579">
        <f t="shared" si="9"/>
        <v>18</v>
      </c>
      <c r="B579">
        <v>1</v>
      </c>
      <c r="C579" s="1">
        <v>71849</v>
      </c>
    </row>
    <row r="580" spans="1:3" x14ac:dyDescent="0.25">
      <c r="A580">
        <f t="shared" si="9"/>
        <v>18</v>
      </c>
      <c r="B580">
        <v>2</v>
      </c>
      <c r="C580" s="1">
        <v>175899</v>
      </c>
    </row>
    <row r="581" spans="1:3" x14ac:dyDescent="0.25">
      <c r="A581">
        <f t="shared" si="9"/>
        <v>18</v>
      </c>
      <c r="B581">
        <v>3</v>
      </c>
      <c r="C581" s="1">
        <v>82319</v>
      </c>
    </row>
    <row r="582" spans="1:3" x14ac:dyDescent="0.25">
      <c r="A582">
        <f t="shared" si="9"/>
        <v>18</v>
      </c>
      <c r="B582">
        <v>4</v>
      </c>
      <c r="C582" s="1">
        <v>99527</v>
      </c>
    </row>
    <row r="583" spans="1:3" x14ac:dyDescent="0.25">
      <c r="A583">
        <f t="shared" si="9"/>
        <v>18</v>
      </c>
      <c r="B583">
        <v>5</v>
      </c>
      <c r="C583" s="1">
        <v>61545</v>
      </c>
    </row>
    <row r="584" spans="1:3" x14ac:dyDescent="0.25">
      <c r="A584">
        <f t="shared" si="9"/>
        <v>18</v>
      </c>
      <c r="B584">
        <v>6</v>
      </c>
      <c r="C584" s="1">
        <v>146812</v>
      </c>
    </row>
    <row r="585" spans="1:3" x14ac:dyDescent="0.25">
      <c r="A585">
        <f t="shared" si="9"/>
        <v>18</v>
      </c>
      <c r="B585">
        <v>7</v>
      </c>
      <c r="C585" s="1">
        <v>39416</v>
      </c>
    </row>
    <row r="586" spans="1:3" x14ac:dyDescent="0.25">
      <c r="A586">
        <f t="shared" si="9"/>
        <v>18</v>
      </c>
      <c r="B586">
        <v>8</v>
      </c>
      <c r="C586" s="1">
        <v>144981</v>
      </c>
    </row>
    <row r="587" spans="1:3" x14ac:dyDescent="0.25">
      <c r="A587">
        <f t="shared" si="9"/>
        <v>18</v>
      </c>
      <c r="B587">
        <v>9</v>
      </c>
      <c r="C587" s="1">
        <v>48278</v>
      </c>
    </row>
    <row r="588" spans="1:3" x14ac:dyDescent="0.25">
      <c r="A588">
        <f t="shared" si="9"/>
        <v>18</v>
      </c>
      <c r="B588">
        <v>10</v>
      </c>
      <c r="C588" s="1">
        <v>37761</v>
      </c>
    </row>
    <row r="589" spans="1:3" x14ac:dyDescent="0.25">
      <c r="A589">
        <f t="shared" si="9"/>
        <v>18</v>
      </c>
      <c r="B589">
        <v>11</v>
      </c>
      <c r="C589" s="1">
        <v>207540</v>
      </c>
    </row>
    <row r="590" spans="1:3" x14ac:dyDescent="0.25">
      <c r="A590">
        <f t="shared" si="9"/>
        <v>18</v>
      </c>
      <c r="B590">
        <v>12</v>
      </c>
      <c r="C590" s="1">
        <v>1009649</v>
      </c>
    </row>
    <row r="591" spans="1:3" x14ac:dyDescent="0.25">
      <c r="A591">
        <f t="shared" si="9"/>
        <v>18</v>
      </c>
      <c r="B591">
        <v>13</v>
      </c>
      <c r="C591" s="1">
        <v>983943</v>
      </c>
    </row>
    <row r="592" spans="1:3" x14ac:dyDescent="0.25">
      <c r="A592">
        <f t="shared" si="9"/>
        <v>18</v>
      </c>
      <c r="B592">
        <v>14</v>
      </c>
      <c r="C592" s="1">
        <v>115460</v>
      </c>
    </row>
    <row r="593" spans="1:3" x14ac:dyDescent="0.25">
      <c r="A593">
        <f t="shared" si="9"/>
        <v>18</v>
      </c>
      <c r="B593">
        <v>15</v>
      </c>
      <c r="C593" s="1">
        <v>1854914</v>
      </c>
    </row>
    <row r="594" spans="1:3" x14ac:dyDescent="0.25">
      <c r="A594">
        <f t="shared" si="9"/>
        <v>18</v>
      </c>
      <c r="B594">
        <v>16</v>
      </c>
      <c r="C594" s="1">
        <v>247087</v>
      </c>
    </row>
    <row r="595" spans="1:3" x14ac:dyDescent="0.25">
      <c r="A595">
        <f t="shared" si="9"/>
        <v>18</v>
      </c>
      <c r="B595">
        <v>17</v>
      </c>
      <c r="C595" s="1">
        <v>565208</v>
      </c>
    </row>
    <row r="596" spans="1:3" x14ac:dyDescent="0.25">
      <c r="A596">
        <f t="shared" si="9"/>
        <v>18</v>
      </c>
      <c r="B596">
        <v>18</v>
      </c>
      <c r="C596" s="1">
        <v>4087251</v>
      </c>
    </row>
    <row r="597" spans="1:3" x14ac:dyDescent="0.25">
      <c r="A597">
        <f t="shared" si="9"/>
        <v>18</v>
      </c>
      <c r="B597">
        <v>19</v>
      </c>
      <c r="C597" s="1">
        <v>429572</v>
      </c>
    </row>
    <row r="598" spans="1:3" x14ac:dyDescent="0.25">
      <c r="A598">
        <f t="shared" si="9"/>
        <v>18</v>
      </c>
      <c r="B598">
        <v>20</v>
      </c>
      <c r="C598" s="1">
        <v>136839</v>
      </c>
    </row>
    <row r="599" spans="1:3" x14ac:dyDescent="0.25">
      <c r="A599">
        <f t="shared" si="9"/>
        <v>18</v>
      </c>
      <c r="B599">
        <v>21</v>
      </c>
      <c r="C599" s="1">
        <v>101946</v>
      </c>
    </row>
    <row r="600" spans="1:3" x14ac:dyDescent="0.25">
      <c r="A600">
        <f t="shared" si="9"/>
        <v>18</v>
      </c>
      <c r="B600">
        <v>22</v>
      </c>
      <c r="C600" s="1">
        <v>186073</v>
      </c>
    </row>
    <row r="601" spans="1:3" x14ac:dyDescent="0.25">
      <c r="A601">
        <f t="shared" si="9"/>
        <v>18</v>
      </c>
      <c r="B601">
        <v>23</v>
      </c>
      <c r="C601" s="1">
        <v>109343</v>
      </c>
    </row>
    <row r="602" spans="1:3" x14ac:dyDescent="0.25">
      <c r="A602">
        <f t="shared" si="9"/>
        <v>18</v>
      </c>
      <c r="B602">
        <v>24</v>
      </c>
      <c r="C602" s="1">
        <v>13312</v>
      </c>
    </row>
    <row r="603" spans="1:3" x14ac:dyDescent="0.25">
      <c r="A603">
        <f t="shared" si="9"/>
        <v>18</v>
      </c>
      <c r="B603">
        <v>25</v>
      </c>
      <c r="C603" s="1">
        <v>68884</v>
      </c>
    </row>
    <row r="604" spans="1:3" x14ac:dyDescent="0.25">
      <c r="A604">
        <f t="shared" si="9"/>
        <v>18</v>
      </c>
      <c r="B604">
        <v>26</v>
      </c>
      <c r="C604" s="1">
        <v>105973</v>
      </c>
    </row>
    <row r="605" spans="1:3" x14ac:dyDescent="0.25">
      <c r="A605">
        <f t="shared" si="9"/>
        <v>18</v>
      </c>
      <c r="B605">
        <v>27</v>
      </c>
      <c r="C605" s="1">
        <v>451014</v>
      </c>
    </row>
    <row r="606" spans="1:3" x14ac:dyDescent="0.25">
      <c r="A606">
        <f t="shared" si="9"/>
        <v>18</v>
      </c>
      <c r="B606">
        <v>28</v>
      </c>
      <c r="C606" s="1">
        <v>124113</v>
      </c>
    </row>
    <row r="607" spans="1:3" x14ac:dyDescent="0.25">
      <c r="A607">
        <f t="shared" si="9"/>
        <v>18</v>
      </c>
      <c r="B607">
        <v>29</v>
      </c>
      <c r="C607" s="1">
        <v>31088</v>
      </c>
    </row>
    <row r="608" spans="1:3" x14ac:dyDescent="0.25">
      <c r="A608">
        <f t="shared" si="9"/>
        <v>18</v>
      </c>
      <c r="B608">
        <v>30</v>
      </c>
      <c r="C608" s="1">
        <v>62213</v>
      </c>
    </row>
    <row r="609" spans="1:3" x14ac:dyDescent="0.25">
      <c r="A609">
        <f t="shared" si="9"/>
        <v>18</v>
      </c>
      <c r="B609">
        <v>31</v>
      </c>
      <c r="C609" s="1">
        <v>65525</v>
      </c>
    </row>
    <row r="610" spans="1:3" x14ac:dyDescent="0.25">
      <c r="A610">
        <f t="shared" si="9"/>
        <v>18</v>
      </c>
      <c r="B610">
        <v>32</v>
      </c>
      <c r="C610" s="1">
        <v>36311</v>
      </c>
    </row>
    <row r="611" spans="1:3" x14ac:dyDescent="0.25">
      <c r="A611">
        <f t="shared" si="9"/>
        <v>18</v>
      </c>
      <c r="B611">
        <v>33</v>
      </c>
      <c r="C611" s="1">
        <v>11293.14401071399</v>
      </c>
    </row>
    <row r="612" spans="1:3" x14ac:dyDescent="0.25">
      <c r="A612">
        <f t="shared" si="9"/>
        <v>18</v>
      </c>
      <c r="B612">
        <v>34</v>
      </c>
      <c r="C612" s="1">
        <v>40545.855989286021</v>
      </c>
    </row>
    <row r="613" spans="1:3" x14ac:dyDescent="0.25">
      <c r="A613">
        <f t="shared" si="9"/>
        <v>19</v>
      </c>
      <c r="B613">
        <v>1</v>
      </c>
      <c r="C613" s="1">
        <v>57109</v>
      </c>
    </row>
    <row r="614" spans="1:3" x14ac:dyDescent="0.25">
      <c r="A614">
        <f t="shared" si="9"/>
        <v>19</v>
      </c>
      <c r="B614">
        <v>2</v>
      </c>
      <c r="C614" s="1">
        <v>153776</v>
      </c>
    </row>
    <row r="615" spans="1:3" x14ac:dyDescent="0.25">
      <c r="A615">
        <f t="shared" si="9"/>
        <v>19</v>
      </c>
      <c r="B615">
        <v>3</v>
      </c>
      <c r="C615" s="1">
        <v>66971</v>
      </c>
    </row>
    <row r="616" spans="1:3" x14ac:dyDescent="0.25">
      <c r="A616">
        <f t="shared" si="9"/>
        <v>19</v>
      </c>
      <c r="B616">
        <v>4</v>
      </c>
      <c r="C616" s="1">
        <v>81486</v>
      </c>
    </row>
    <row r="617" spans="1:3" x14ac:dyDescent="0.25">
      <c r="A617">
        <f t="shared" si="9"/>
        <v>19</v>
      </c>
      <c r="B617">
        <v>5</v>
      </c>
      <c r="C617" s="1">
        <v>48346</v>
      </c>
    </row>
    <row r="618" spans="1:3" x14ac:dyDescent="0.25">
      <c r="A618">
        <f t="shared" si="9"/>
        <v>19</v>
      </c>
      <c r="B618">
        <v>6</v>
      </c>
      <c r="C618" s="1">
        <v>120544</v>
      </c>
    </row>
    <row r="619" spans="1:3" x14ac:dyDescent="0.25">
      <c r="A619">
        <f t="shared" si="9"/>
        <v>19</v>
      </c>
      <c r="B619">
        <v>7</v>
      </c>
      <c r="C619" s="1">
        <v>27689</v>
      </c>
    </row>
    <row r="620" spans="1:3" x14ac:dyDescent="0.25">
      <c r="A620">
        <f t="shared" si="9"/>
        <v>19</v>
      </c>
      <c r="B620">
        <v>8</v>
      </c>
      <c r="C620" s="1">
        <v>124168</v>
      </c>
    </row>
    <row r="621" spans="1:3" x14ac:dyDescent="0.25">
      <c r="A621">
        <f t="shared" si="9"/>
        <v>19</v>
      </c>
      <c r="B621">
        <v>9</v>
      </c>
      <c r="C621" s="1">
        <v>30436</v>
      </c>
    </row>
    <row r="622" spans="1:3" x14ac:dyDescent="0.25">
      <c r="A622">
        <f t="shared" si="9"/>
        <v>19</v>
      </c>
      <c r="B622">
        <v>10</v>
      </c>
      <c r="C622" s="1">
        <v>29199</v>
      </c>
    </row>
    <row r="623" spans="1:3" x14ac:dyDescent="0.25">
      <c r="A623">
        <f t="shared" si="9"/>
        <v>19</v>
      </c>
      <c r="B623">
        <v>11</v>
      </c>
      <c r="C623" s="1">
        <v>171701</v>
      </c>
    </row>
    <row r="624" spans="1:3" x14ac:dyDescent="0.25">
      <c r="A624">
        <f t="shared" si="9"/>
        <v>19</v>
      </c>
      <c r="B624">
        <v>12</v>
      </c>
      <c r="C624" s="1">
        <v>825438</v>
      </c>
    </row>
    <row r="625" spans="1:3" x14ac:dyDescent="0.25">
      <c r="A625">
        <f t="shared" si="9"/>
        <v>19</v>
      </c>
      <c r="B625">
        <v>13</v>
      </c>
      <c r="C625" s="1">
        <v>717590</v>
      </c>
    </row>
    <row r="626" spans="1:3" x14ac:dyDescent="0.25">
      <c r="A626">
        <f t="shared" si="9"/>
        <v>19</v>
      </c>
      <c r="B626">
        <v>14</v>
      </c>
      <c r="C626" s="1">
        <v>80472</v>
      </c>
    </row>
    <row r="627" spans="1:3" x14ac:dyDescent="0.25">
      <c r="A627">
        <f t="shared" si="9"/>
        <v>19</v>
      </c>
      <c r="B627">
        <v>15</v>
      </c>
      <c r="C627" s="1">
        <v>1016932</v>
      </c>
    </row>
    <row r="628" spans="1:3" x14ac:dyDescent="0.25">
      <c r="A628">
        <f t="shared" si="9"/>
        <v>19</v>
      </c>
      <c r="B628">
        <v>16</v>
      </c>
      <c r="C628" s="1">
        <v>199230</v>
      </c>
    </row>
    <row r="629" spans="1:3" x14ac:dyDescent="0.25">
      <c r="A629">
        <f t="shared" si="9"/>
        <v>19</v>
      </c>
      <c r="B629">
        <v>17</v>
      </c>
      <c r="C629" s="1">
        <v>155757</v>
      </c>
    </row>
    <row r="630" spans="1:3" x14ac:dyDescent="0.25">
      <c r="A630">
        <f t="shared" si="9"/>
        <v>19</v>
      </c>
      <c r="B630">
        <v>18</v>
      </c>
      <c r="C630" s="1">
        <v>261251</v>
      </c>
    </row>
    <row r="631" spans="1:3" x14ac:dyDescent="0.25">
      <c r="A631">
        <f t="shared" si="9"/>
        <v>19</v>
      </c>
      <c r="B631">
        <v>19</v>
      </c>
      <c r="C631" s="1">
        <v>2257563</v>
      </c>
    </row>
    <row r="632" spans="1:3" x14ac:dyDescent="0.25">
      <c r="A632">
        <f t="shared" si="9"/>
        <v>19</v>
      </c>
      <c r="B632">
        <v>20</v>
      </c>
      <c r="C632" s="1">
        <v>97607</v>
      </c>
    </row>
    <row r="633" spans="1:3" x14ac:dyDescent="0.25">
      <c r="A633">
        <f t="shared" si="9"/>
        <v>19</v>
      </c>
      <c r="B633">
        <v>21</v>
      </c>
      <c r="C633" s="1">
        <v>62713</v>
      </c>
    </row>
    <row r="634" spans="1:3" x14ac:dyDescent="0.25">
      <c r="A634">
        <f t="shared" si="9"/>
        <v>19</v>
      </c>
      <c r="B634">
        <v>22</v>
      </c>
      <c r="C634" s="1">
        <v>119618</v>
      </c>
    </row>
    <row r="635" spans="1:3" x14ac:dyDescent="0.25">
      <c r="A635">
        <f t="shared" si="9"/>
        <v>19</v>
      </c>
      <c r="B635">
        <v>23</v>
      </c>
      <c r="C635" s="1">
        <v>83926</v>
      </c>
    </row>
    <row r="636" spans="1:3" x14ac:dyDescent="0.25">
      <c r="A636">
        <f t="shared" si="9"/>
        <v>19</v>
      </c>
      <c r="B636">
        <v>24</v>
      </c>
      <c r="C636" s="1">
        <v>10247</v>
      </c>
    </row>
    <row r="637" spans="1:3" x14ac:dyDescent="0.25">
      <c r="A637">
        <f t="shared" si="9"/>
        <v>19</v>
      </c>
      <c r="B637">
        <v>25</v>
      </c>
      <c r="C637" s="1">
        <v>71542</v>
      </c>
    </row>
    <row r="638" spans="1:3" x14ac:dyDescent="0.25">
      <c r="A638">
        <f t="shared" si="9"/>
        <v>19</v>
      </c>
      <c r="B638">
        <v>26</v>
      </c>
      <c r="C638" s="1">
        <v>100328</v>
      </c>
    </row>
    <row r="639" spans="1:3" x14ac:dyDescent="0.25">
      <c r="A639">
        <f t="shared" si="9"/>
        <v>19</v>
      </c>
      <c r="B639">
        <v>27</v>
      </c>
      <c r="C639" s="1">
        <v>411712</v>
      </c>
    </row>
    <row r="640" spans="1:3" x14ac:dyDescent="0.25">
      <c r="A640">
        <f t="shared" si="9"/>
        <v>19</v>
      </c>
      <c r="B640">
        <v>28</v>
      </c>
      <c r="C640" s="1">
        <v>152848</v>
      </c>
    </row>
    <row r="641" spans="1:3" x14ac:dyDescent="0.25">
      <c r="A641">
        <f t="shared" si="9"/>
        <v>19</v>
      </c>
      <c r="B641">
        <v>29</v>
      </c>
      <c r="C641" s="1">
        <v>31053</v>
      </c>
    </row>
    <row r="642" spans="1:3" x14ac:dyDescent="0.25">
      <c r="A642">
        <f t="shared" ref="A642:A705" si="10">INT((ROW()-ROW($A$1))/34)+1</f>
        <v>19</v>
      </c>
      <c r="B642">
        <v>30</v>
      </c>
      <c r="C642" s="1">
        <v>51069</v>
      </c>
    </row>
    <row r="643" spans="1:3" x14ac:dyDescent="0.25">
      <c r="A643">
        <f t="shared" si="10"/>
        <v>19</v>
      </c>
      <c r="B643">
        <v>31</v>
      </c>
      <c r="C643" s="1">
        <v>79612</v>
      </c>
    </row>
    <row r="644" spans="1:3" x14ac:dyDescent="0.25">
      <c r="A644">
        <f t="shared" si="10"/>
        <v>19</v>
      </c>
      <c r="B644">
        <v>32</v>
      </c>
      <c r="C644" s="1">
        <v>37914</v>
      </c>
    </row>
    <row r="645" spans="1:3" x14ac:dyDescent="0.25">
      <c r="A645">
        <f t="shared" si="10"/>
        <v>19</v>
      </c>
      <c r="B645">
        <v>33</v>
      </c>
      <c r="C645" s="1">
        <v>10643.514283289674</v>
      </c>
    </row>
    <row r="646" spans="1:3" x14ac:dyDescent="0.25">
      <c r="A646">
        <f t="shared" si="10"/>
        <v>19</v>
      </c>
      <c r="B646">
        <v>34</v>
      </c>
      <c r="C646" s="1">
        <v>38213.48571671034</v>
      </c>
    </row>
    <row r="647" spans="1:3" x14ac:dyDescent="0.25">
      <c r="A647">
        <f t="shared" si="10"/>
        <v>20</v>
      </c>
      <c r="B647">
        <v>1</v>
      </c>
      <c r="C647" s="1">
        <v>82473</v>
      </c>
    </row>
    <row r="648" spans="1:3" x14ac:dyDescent="0.25">
      <c r="A648">
        <f t="shared" si="10"/>
        <v>20</v>
      </c>
      <c r="B648">
        <v>2</v>
      </c>
      <c r="C648" s="1">
        <v>183031</v>
      </c>
    </row>
    <row r="649" spans="1:3" x14ac:dyDescent="0.25">
      <c r="A649">
        <f t="shared" si="10"/>
        <v>20</v>
      </c>
      <c r="B649">
        <v>3</v>
      </c>
      <c r="C649" s="1">
        <v>85428</v>
      </c>
    </row>
    <row r="650" spans="1:3" x14ac:dyDescent="0.25">
      <c r="A650">
        <f t="shared" si="10"/>
        <v>20</v>
      </c>
      <c r="B650">
        <v>4</v>
      </c>
      <c r="C650" s="1">
        <v>112944</v>
      </c>
    </row>
    <row r="651" spans="1:3" x14ac:dyDescent="0.25">
      <c r="A651">
        <f t="shared" si="10"/>
        <v>20</v>
      </c>
      <c r="B651">
        <v>5</v>
      </c>
      <c r="C651" s="1">
        <v>72345</v>
      </c>
    </row>
    <row r="652" spans="1:3" x14ac:dyDescent="0.25">
      <c r="A652">
        <f t="shared" si="10"/>
        <v>20</v>
      </c>
      <c r="B652">
        <v>6</v>
      </c>
      <c r="C652" s="1">
        <v>166845</v>
      </c>
    </row>
    <row r="653" spans="1:3" x14ac:dyDescent="0.25">
      <c r="A653">
        <f t="shared" si="10"/>
        <v>20</v>
      </c>
      <c r="B653">
        <v>7</v>
      </c>
      <c r="C653" s="1">
        <v>32560</v>
      </c>
    </row>
    <row r="654" spans="1:3" x14ac:dyDescent="0.25">
      <c r="A654">
        <f t="shared" si="10"/>
        <v>20</v>
      </c>
      <c r="B654">
        <v>8</v>
      </c>
      <c r="C654" s="1">
        <v>141183</v>
      </c>
    </row>
    <row r="655" spans="1:3" x14ac:dyDescent="0.25">
      <c r="A655">
        <f t="shared" si="10"/>
        <v>20</v>
      </c>
      <c r="B655">
        <v>9</v>
      </c>
      <c r="C655" s="1">
        <v>67467</v>
      </c>
    </row>
    <row r="656" spans="1:3" x14ac:dyDescent="0.25">
      <c r="A656">
        <f t="shared" si="10"/>
        <v>20</v>
      </c>
      <c r="B656">
        <v>10</v>
      </c>
      <c r="C656" s="1">
        <v>60443</v>
      </c>
    </row>
    <row r="657" spans="1:3" x14ac:dyDescent="0.25">
      <c r="A657">
        <f t="shared" si="10"/>
        <v>20</v>
      </c>
      <c r="B657">
        <v>11</v>
      </c>
      <c r="C657" s="1">
        <v>178447</v>
      </c>
    </row>
    <row r="658" spans="1:3" x14ac:dyDescent="0.25">
      <c r="A658">
        <f t="shared" si="10"/>
        <v>20</v>
      </c>
      <c r="B658">
        <v>12</v>
      </c>
      <c r="C658" s="1">
        <v>877038</v>
      </c>
    </row>
    <row r="659" spans="1:3" x14ac:dyDescent="0.25">
      <c r="A659">
        <f t="shared" si="10"/>
        <v>20</v>
      </c>
      <c r="B659">
        <v>13</v>
      </c>
      <c r="C659" s="1">
        <v>673987</v>
      </c>
    </row>
    <row r="660" spans="1:3" x14ac:dyDescent="0.25">
      <c r="A660">
        <f t="shared" si="10"/>
        <v>20</v>
      </c>
      <c r="B660">
        <v>14</v>
      </c>
      <c r="C660" s="1">
        <v>68875</v>
      </c>
    </row>
    <row r="661" spans="1:3" x14ac:dyDescent="0.25">
      <c r="A661">
        <f t="shared" si="10"/>
        <v>20</v>
      </c>
      <c r="B661">
        <v>15</v>
      </c>
      <c r="C661" s="1">
        <v>702424</v>
      </c>
    </row>
    <row r="662" spans="1:3" x14ac:dyDescent="0.25">
      <c r="A662">
        <f t="shared" si="10"/>
        <v>20</v>
      </c>
      <c r="B662">
        <v>16</v>
      </c>
      <c r="C662" s="1">
        <v>220133</v>
      </c>
    </row>
    <row r="663" spans="1:3" x14ac:dyDescent="0.25">
      <c r="A663">
        <f t="shared" si="10"/>
        <v>20</v>
      </c>
      <c r="B663">
        <v>17</v>
      </c>
      <c r="C663" s="1">
        <v>71449</v>
      </c>
    </row>
    <row r="664" spans="1:3" x14ac:dyDescent="0.25">
      <c r="A664">
        <f t="shared" si="10"/>
        <v>20</v>
      </c>
      <c r="B664">
        <v>18</v>
      </c>
      <c r="C664" s="1">
        <v>85388</v>
      </c>
    </row>
    <row r="665" spans="1:3" x14ac:dyDescent="0.25">
      <c r="A665">
        <f t="shared" si="10"/>
        <v>20</v>
      </c>
      <c r="B665">
        <v>19</v>
      </c>
      <c r="C665" s="1">
        <v>90782</v>
      </c>
    </row>
    <row r="666" spans="1:3" x14ac:dyDescent="0.25">
      <c r="A666">
        <f t="shared" si="10"/>
        <v>20</v>
      </c>
      <c r="B666">
        <v>20</v>
      </c>
      <c r="C666" s="1">
        <v>1067898</v>
      </c>
    </row>
    <row r="667" spans="1:3" x14ac:dyDescent="0.25">
      <c r="A667">
        <f t="shared" si="10"/>
        <v>20</v>
      </c>
      <c r="B667">
        <v>21</v>
      </c>
      <c r="C667" s="1">
        <v>138352</v>
      </c>
    </row>
    <row r="668" spans="1:3" x14ac:dyDescent="0.25">
      <c r="A668">
        <f t="shared" si="10"/>
        <v>20</v>
      </c>
      <c r="B668">
        <v>22</v>
      </c>
      <c r="C668" s="1">
        <v>126846</v>
      </c>
    </row>
    <row r="669" spans="1:3" x14ac:dyDescent="0.25">
      <c r="A669">
        <f t="shared" si="10"/>
        <v>20</v>
      </c>
      <c r="B669">
        <v>23</v>
      </c>
      <c r="C669" s="1">
        <v>100811</v>
      </c>
    </row>
    <row r="670" spans="1:3" x14ac:dyDescent="0.25">
      <c r="A670">
        <f t="shared" si="10"/>
        <v>20</v>
      </c>
      <c r="B670">
        <v>24</v>
      </c>
      <c r="C670" s="1">
        <v>15124</v>
      </c>
    </row>
    <row r="671" spans="1:3" x14ac:dyDescent="0.25">
      <c r="A671">
        <f t="shared" si="10"/>
        <v>20</v>
      </c>
      <c r="B671">
        <v>25</v>
      </c>
      <c r="C671" s="1">
        <v>35456</v>
      </c>
    </row>
    <row r="672" spans="1:3" x14ac:dyDescent="0.25">
      <c r="A672">
        <f t="shared" si="10"/>
        <v>20</v>
      </c>
      <c r="B672">
        <v>26</v>
      </c>
      <c r="C672" s="1">
        <v>57107</v>
      </c>
    </row>
    <row r="673" spans="1:3" x14ac:dyDescent="0.25">
      <c r="A673">
        <f t="shared" si="10"/>
        <v>20</v>
      </c>
      <c r="B673">
        <v>27</v>
      </c>
      <c r="C673" s="1">
        <v>151378</v>
      </c>
    </row>
    <row r="674" spans="1:3" x14ac:dyDescent="0.25">
      <c r="A674">
        <f t="shared" si="10"/>
        <v>20</v>
      </c>
      <c r="B674">
        <v>28</v>
      </c>
      <c r="C674" s="1">
        <v>44100</v>
      </c>
    </row>
    <row r="675" spans="1:3" x14ac:dyDescent="0.25">
      <c r="A675">
        <f t="shared" si="10"/>
        <v>20</v>
      </c>
      <c r="B675">
        <v>29</v>
      </c>
      <c r="C675" s="1">
        <v>16609</v>
      </c>
    </row>
    <row r="676" spans="1:3" x14ac:dyDescent="0.25">
      <c r="A676">
        <f t="shared" si="10"/>
        <v>20</v>
      </c>
      <c r="B676">
        <v>30</v>
      </c>
      <c r="C676" s="1">
        <v>27807</v>
      </c>
    </row>
    <row r="677" spans="1:3" x14ac:dyDescent="0.25">
      <c r="A677">
        <f t="shared" si="10"/>
        <v>20</v>
      </c>
      <c r="B677">
        <v>31</v>
      </c>
      <c r="C677" s="1">
        <v>28977</v>
      </c>
    </row>
    <row r="678" spans="1:3" x14ac:dyDescent="0.25">
      <c r="A678">
        <f t="shared" si="10"/>
        <v>20</v>
      </c>
      <c r="B678">
        <v>32</v>
      </c>
      <c r="C678" s="1">
        <v>17623</v>
      </c>
    </row>
    <row r="679" spans="1:3" x14ac:dyDescent="0.25">
      <c r="A679">
        <f t="shared" si="10"/>
        <v>20</v>
      </c>
      <c r="B679">
        <v>33</v>
      </c>
      <c r="C679" s="1">
        <v>6534.856785227098</v>
      </c>
    </row>
    <row r="680" spans="1:3" x14ac:dyDescent="0.25">
      <c r="A680">
        <f t="shared" si="10"/>
        <v>20</v>
      </c>
      <c r="B680">
        <v>34</v>
      </c>
      <c r="C680" s="1">
        <v>23462.14321477291</v>
      </c>
    </row>
    <row r="681" spans="1:3" x14ac:dyDescent="0.25">
      <c r="A681">
        <f t="shared" si="10"/>
        <v>21</v>
      </c>
      <c r="B681">
        <v>1</v>
      </c>
      <c r="C681" s="1">
        <v>28024</v>
      </c>
    </row>
    <row r="682" spans="1:3" x14ac:dyDescent="0.25">
      <c r="A682">
        <f t="shared" si="10"/>
        <v>21</v>
      </c>
      <c r="B682">
        <v>2</v>
      </c>
      <c r="C682" s="1">
        <v>63585</v>
      </c>
    </row>
    <row r="683" spans="1:3" x14ac:dyDescent="0.25">
      <c r="A683">
        <f t="shared" si="10"/>
        <v>21</v>
      </c>
      <c r="B683">
        <v>3</v>
      </c>
      <c r="C683" s="1">
        <v>31689</v>
      </c>
    </row>
    <row r="684" spans="1:3" x14ac:dyDescent="0.25">
      <c r="A684">
        <f t="shared" si="10"/>
        <v>21</v>
      </c>
      <c r="B684">
        <v>4</v>
      </c>
      <c r="C684" s="1">
        <v>39073</v>
      </c>
    </row>
    <row r="685" spans="1:3" x14ac:dyDescent="0.25">
      <c r="A685">
        <f t="shared" si="10"/>
        <v>21</v>
      </c>
      <c r="B685">
        <v>5</v>
      </c>
      <c r="C685" s="1">
        <v>25373</v>
      </c>
    </row>
    <row r="686" spans="1:3" x14ac:dyDescent="0.25">
      <c r="A686">
        <f t="shared" si="10"/>
        <v>21</v>
      </c>
      <c r="B686">
        <v>6</v>
      </c>
      <c r="C686" s="1">
        <v>66131</v>
      </c>
    </row>
    <row r="687" spans="1:3" x14ac:dyDescent="0.25">
      <c r="A687">
        <f t="shared" si="10"/>
        <v>21</v>
      </c>
      <c r="B687">
        <v>7</v>
      </c>
      <c r="C687" s="1">
        <v>14754</v>
      </c>
    </row>
    <row r="688" spans="1:3" x14ac:dyDescent="0.25">
      <c r="A688">
        <f t="shared" si="10"/>
        <v>21</v>
      </c>
      <c r="B688">
        <v>8</v>
      </c>
      <c r="C688" s="1">
        <v>62998</v>
      </c>
    </row>
    <row r="689" spans="1:3" x14ac:dyDescent="0.25">
      <c r="A689">
        <f t="shared" si="10"/>
        <v>21</v>
      </c>
      <c r="B689">
        <v>9</v>
      </c>
      <c r="C689" s="1">
        <v>24940</v>
      </c>
    </row>
    <row r="690" spans="1:3" x14ac:dyDescent="0.25">
      <c r="A690">
        <f t="shared" si="10"/>
        <v>21</v>
      </c>
      <c r="B690">
        <v>10</v>
      </c>
      <c r="C690" s="1">
        <v>18269</v>
      </c>
    </row>
    <row r="691" spans="1:3" x14ac:dyDescent="0.25">
      <c r="A691">
        <f t="shared" si="10"/>
        <v>21</v>
      </c>
      <c r="B691">
        <v>11</v>
      </c>
      <c r="C691" s="1">
        <v>81530</v>
      </c>
    </row>
    <row r="692" spans="1:3" x14ac:dyDescent="0.25">
      <c r="A692">
        <f t="shared" si="10"/>
        <v>21</v>
      </c>
      <c r="B692">
        <v>12</v>
      </c>
      <c r="C692" s="1">
        <v>443242</v>
      </c>
    </row>
    <row r="693" spans="1:3" x14ac:dyDescent="0.25">
      <c r="A693">
        <f t="shared" si="10"/>
        <v>21</v>
      </c>
      <c r="B693">
        <v>13</v>
      </c>
      <c r="C693" s="1">
        <v>412665</v>
      </c>
    </row>
    <row r="694" spans="1:3" x14ac:dyDescent="0.25">
      <c r="A694">
        <f t="shared" si="10"/>
        <v>21</v>
      </c>
      <c r="B694">
        <v>14</v>
      </c>
      <c r="C694" s="1">
        <v>42188</v>
      </c>
    </row>
    <row r="695" spans="1:3" x14ac:dyDescent="0.25">
      <c r="A695">
        <f t="shared" si="10"/>
        <v>21</v>
      </c>
      <c r="B695">
        <v>15</v>
      </c>
      <c r="C695" s="1">
        <v>496595</v>
      </c>
    </row>
    <row r="696" spans="1:3" x14ac:dyDescent="0.25">
      <c r="A696">
        <f t="shared" si="10"/>
        <v>21</v>
      </c>
      <c r="B696">
        <v>16</v>
      </c>
      <c r="C696" s="1">
        <v>101681</v>
      </c>
    </row>
    <row r="697" spans="1:3" x14ac:dyDescent="0.25">
      <c r="A697">
        <f t="shared" si="10"/>
        <v>21</v>
      </c>
      <c r="B697">
        <v>17</v>
      </c>
      <c r="C697" s="1">
        <v>55069</v>
      </c>
    </row>
    <row r="698" spans="1:3" x14ac:dyDescent="0.25">
      <c r="A698">
        <f t="shared" si="10"/>
        <v>21</v>
      </c>
      <c r="B698">
        <v>18</v>
      </c>
      <c r="C698" s="1">
        <v>64041</v>
      </c>
    </row>
    <row r="699" spans="1:3" x14ac:dyDescent="0.25">
      <c r="A699">
        <f t="shared" si="10"/>
        <v>21</v>
      </c>
      <c r="B699">
        <v>19</v>
      </c>
      <c r="C699" s="1">
        <v>59447</v>
      </c>
    </row>
    <row r="700" spans="1:3" x14ac:dyDescent="0.25">
      <c r="A700">
        <f t="shared" si="10"/>
        <v>21</v>
      </c>
      <c r="B700">
        <v>20</v>
      </c>
      <c r="C700" s="1">
        <v>125676</v>
      </c>
    </row>
    <row r="701" spans="1:3" x14ac:dyDescent="0.25">
      <c r="A701">
        <f t="shared" si="10"/>
        <v>21</v>
      </c>
      <c r="B701">
        <v>21</v>
      </c>
      <c r="C701" s="1">
        <v>598584</v>
      </c>
    </row>
    <row r="702" spans="1:3" x14ac:dyDescent="0.25">
      <c r="A702">
        <f t="shared" si="10"/>
        <v>21</v>
      </c>
      <c r="B702">
        <v>22</v>
      </c>
      <c r="C702" s="1">
        <v>210939</v>
      </c>
    </row>
    <row r="703" spans="1:3" x14ac:dyDescent="0.25">
      <c r="A703">
        <f t="shared" si="10"/>
        <v>21</v>
      </c>
      <c r="B703">
        <v>23</v>
      </c>
      <c r="C703" s="1">
        <v>91885</v>
      </c>
    </row>
    <row r="704" spans="1:3" x14ac:dyDescent="0.25">
      <c r="A704">
        <f t="shared" si="10"/>
        <v>21</v>
      </c>
      <c r="B704">
        <v>24</v>
      </c>
      <c r="C704" s="1">
        <v>8887</v>
      </c>
    </row>
    <row r="705" spans="1:3" x14ac:dyDescent="0.25">
      <c r="A705">
        <f t="shared" si="10"/>
        <v>21</v>
      </c>
      <c r="B705">
        <v>25</v>
      </c>
      <c r="C705" s="1">
        <v>20921</v>
      </c>
    </row>
    <row r="706" spans="1:3" x14ac:dyDescent="0.25">
      <c r="A706">
        <f t="shared" ref="A706:A769" si="11">INT((ROW()-ROW($A$1))/34)+1</f>
        <v>21</v>
      </c>
      <c r="B706">
        <v>26</v>
      </c>
      <c r="C706" s="1">
        <v>40322</v>
      </c>
    </row>
    <row r="707" spans="1:3" x14ac:dyDescent="0.25">
      <c r="A707">
        <f t="shared" si="11"/>
        <v>21</v>
      </c>
      <c r="B707">
        <v>27</v>
      </c>
      <c r="C707" s="1">
        <v>117711</v>
      </c>
    </row>
    <row r="708" spans="1:3" x14ac:dyDescent="0.25">
      <c r="A708">
        <f t="shared" si="11"/>
        <v>21</v>
      </c>
      <c r="B708">
        <v>28</v>
      </c>
      <c r="C708" s="1">
        <v>30163</v>
      </c>
    </row>
    <row r="709" spans="1:3" x14ac:dyDescent="0.25">
      <c r="A709">
        <f t="shared" si="11"/>
        <v>21</v>
      </c>
      <c r="B709">
        <v>29</v>
      </c>
      <c r="C709" s="1">
        <v>10148</v>
      </c>
    </row>
    <row r="710" spans="1:3" x14ac:dyDescent="0.25">
      <c r="A710">
        <f t="shared" si="11"/>
        <v>21</v>
      </c>
      <c r="B710">
        <v>30</v>
      </c>
      <c r="C710" s="1">
        <v>21545</v>
      </c>
    </row>
    <row r="711" spans="1:3" x14ac:dyDescent="0.25">
      <c r="A711">
        <f t="shared" si="11"/>
        <v>21</v>
      </c>
      <c r="B711">
        <v>31</v>
      </c>
      <c r="C711" s="1">
        <v>15324</v>
      </c>
    </row>
    <row r="712" spans="1:3" x14ac:dyDescent="0.25">
      <c r="A712">
        <f t="shared" si="11"/>
        <v>21</v>
      </c>
      <c r="B712">
        <v>32</v>
      </c>
      <c r="C712" s="1">
        <v>8669</v>
      </c>
    </row>
    <row r="713" spans="1:3" x14ac:dyDescent="0.25">
      <c r="A713">
        <f t="shared" si="11"/>
        <v>21</v>
      </c>
      <c r="B713">
        <v>33</v>
      </c>
      <c r="C713" s="1">
        <v>3364.9164217961052</v>
      </c>
    </row>
    <row r="714" spans="1:3" x14ac:dyDescent="0.25">
      <c r="A714">
        <f t="shared" si="11"/>
        <v>21</v>
      </c>
      <c r="B714">
        <v>34</v>
      </c>
      <c r="C714" s="1">
        <v>12081.083578203899</v>
      </c>
    </row>
    <row r="715" spans="1:3" x14ac:dyDescent="0.25">
      <c r="A715">
        <f t="shared" si="11"/>
        <v>22</v>
      </c>
      <c r="B715">
        <v>1</v>
      </c>
      <c r="C715" s="1">
        <v>69861</v>
      </c>
    </row>
    <row r="716" spans="1:3" x14ac:dyDescent="0.25">
      <c r="A716">
        <f t="shared" si="11"/>
        <v>22</v>
      </c>
      <c r="B716">
        <v>2</v>
      </c>
      <c r="C716" s="1">
        <v>149213</v>
      </c>
    </row>
    <row r="717" spans="1:3" x14ac:dyDescent="0.25">
      <c r="A717">
        <f t="shared" si="11"/>
        <v>22</v>
      </c>
      <c r="B717">
        <v>3</v>
      </c>
      <c r="C717" s="1">
        <v>68990</v>
      </c>
    </row>
    <row r="718" spans="1:3" x14ac:dyDescent="0.25">
      <c r="A718">
        <f t="shared" si="11"/>
        <v>22</v>
      </c>
      <c r="B718">
        <v>4</v>
      </c>
      <c r="C718" s="1">
        <v>89713</v>
      </c>
    </row>
    <row r="719" spans="1:3" x14ac:dyDescent="0.25">
      <c r="A719">
        <f t="shared" si="11"/>
        <v>22</v>
      </c>
      <c r="B719">
        <v>5</v>
      </c>
      <c r="C719" s="1">
        <v>51370</v>
      </c>
    </row>
    <row r="720" spans="1:3" x14ac:dyDescent="0.25">
      <c r="A720">
        <f t="shared" si="11"/>
        <v>22</v>
      </c>
      <c r="B720">
        <v>6</v>
      </c>
      <c r="C720" s="1">
        <v>130997</v>
      </c>
    </row>
    <row r="721" spans="1:3" x14ac:dyDescent="0.25">
      <c r="A721">
        <f t="shared" si="11"/>
        <v>22</v>
      </c>
      <c r="B721">
        <v>7</v>
      </c>
      <c r="C721" s="1">
        <v>29896</v>
      </c>
    </row>
    <row r="722" spans="1:3" x14ac:dyDescent="0.25">
      <c r="A722">
        <f t="shared" si="11"/>
        <v>22</v>
      </c>
      <c r="B722">
        <v>8</v>
      </c>
      <c r="C722" s="1">
        <v>124921</v>
      </c>
    </row>
    <row r="723" spans="1:3" x14ac:dyDescent="0.25">
      <c r="A723">
        <f t="shared" si="11"/>
        <v>22</v>
      </c>
      <c r="B723">
        <v>9</v>
      </c>
      <c r="C723" s="1">
        <v>50288</v>
      </c>
    </row>
    <row r="724" spans="1:3" x14ac:dyDescent="0.25">
      <c r="A724">
        <f t="shared" si="11"/>
        <v>22</v>
      </c>
      <c r="B724">
        <v>10</v>
      </c>
      <c r="C724" s="1">
        <v>37395</v>
      </c>
    </row>
    <row r="725" spans="1:3" x14ac:dyDescent="0.25">
      <c r="A725">
        <f t="shared" si="11"/>
        <v>22</v>
      </c>
      <c r="B725">
        <v>11</v>
      </c>
      <c r="C725" s="1">
        <v>169667</v>
      </c>
    </row>
    <row r="726" spans="1:3" x14ac:dyDescent="0.25">
      <c r="A726">
        <f t="shared" si="11"/>
        <v>22</v>
      </c>
      <c r="B726">
        <v>12</v>
      </c>
      <c r="C726" s="1">
        <v>915975</v>
      </c>
    </row>
    <row r="727" spans="1:3" x14ac:dyDescent="0.25">
      <c r="A727">
        <f t="shared" si="11"/>
        <v>22</v>
      </c>
      <c r="B727">
        <v>13</v>
      </c>
      <c r="C727" s="1">
        <v>901957</v>
      </c>
    </row>
    <row r="728" spans="1:3" x14ac:dyDescent="0.25">
      <c r="A728">
        <f t="shared" si="11"/>
        <v>22</v>
      </c>
      <c r="B728">
        <v>14</v>
      </c>
      <c r="C728" s="1">
        <v>95348</v>
      </c>
    </row>
    <row r="729" spans="1:3" x14ac:dyDescent="0.25">
      <c r="A729">
        <f t="shared" si="11"/>
        <v>22</v>
      </c>
      <c r="B729">
        <v>15</v>
      </c>
      <c r="C729" s="1">
        <v>1252303</v>
      </c>
    </row>
    <row r="730" spans="1:3" x14ac:dyDescent="0.25">
      <c r="A730">
        <f t="shared" si="11"/>
        <v>22</v>
      </c>
      <c r="B730">
        <v>16</v>
      </c>
      <c r="C730" s="1">
        <v>208077</v>
      </c>
    </row>
    <row r="731" spans="1:3" x14ac:dyDescent="0.25">
      <c r="A731">
        <f t="shared" si="11"/>
        <v>22</v>
      </c>
      <c r="B731">
        <v>17</v>
      </c>
      <c r="C731" s="1">
        <v>150931</v>
      </c>
    </row>
    <row r="732" spans="1:3" x14ac:dyDescent="0.25">
      <c r="A732">
        <f t="shared" si="11"/>
        <v>22</v>
      </c>
      <c r="B732">
        <v>18</v>
      </c>
      <c r="C732" s="1">
        <v>183601</v>
      </c>
    </row>
    <row r="733" spans="1:3" x14ac:dyDescent="0.25">
      <c r="A733">
        <f t="shared" si="11"/>
        <v>22</v>
      </c>
      <c r="B733">
        <v>19</v>
      </c>
      <c r="C733" s="1">
        <v>170836</v>
      </c>
    </row>
    <row r="734" spans="1:3" x14ac:dyDescent="0.25">
      <c r="A734">
        <f t="shared" si="11"/>
        <v>22</v>
      </c>
      <c r="B734">
        <v>20</v>
      </c>
      <c r="C734" s="1">
        <v>203689</v>
      </c>
    </row>
    <row r="735" spans="1:3" x14ac:dyDescent="0.25">
      <c r="A735">
        <f t="shared" si="11"/>
        <v>22</v>
      </c>
      <c r="B735">
        <v>21</v>
      </c>
      <c r="C735" s="1">
        <v>323164</v>
      </c>
    </row>
    <row r="736" spans="1:3" x14ac:dyDescent="0.25">
      <c r="A736">
        <f t="shared" si="11"/>
        <v>22</v>
      </c>
      <c r="B736">
        <v>22</v>
      </c>
      <c r="C736" s="1">
        <v>2348639</v>
      </c>
    </row>
    <row r="737" spans="1:3" x14ac:dyDescent="0.25">
      <c r="A737">
        <f t="shared" si="11"/>
        <v>22</v>
      </c>
      <c r="B737">
        <v>23</v>
      </c>
      <c r="C737" s="1">
        <v>250336</v>
      </c>
    </row>
    <row r="738" spans="1:3" x14ac:dyDescent="0.25">
      <c r="A738">
        <f t="shared" si="11"/>
        <v>22</v>
      </c>
      <c r="B738">
        <v>24</v>
      </c>
      <c r="C738" s="1">
        <v>20306</v>
      </c>
    </row>
    <row r="739" spans="1:3" x14ac:dyDescent="0.25">
      <c r="A739">
        <f t="shared" si="11"/>
        <v>22</v>
      </c>
      <c r="B739">
        <v>25</v>
      </c>
      <c r="C739" s="1">
        <v>58700</v>
      </c>
    </row>
    <row r="740" spans="1:3" x14ac:dyDescent="0.25">
      <c r="A740">
        <f t="shared" si="11"/>
        <v>22</v>
      </c>
      <c r="B740">
        <v>26</v>
      </c>
      <c r="C740" s="1">
        <v>117922</v>
      </c>
    </row>
    <row r="741" spans="1:3" x14ac:dyDescent="0.25">
      <c r="A741">
        <f t="shared" si="11"/>
        <v>22</v>
      </c>
      <c r="B741">
        <v>27</v>
      </c>
      <c r="C741" s="1">
        <v>373173</v>
      </c>
    </row>
    <row r="742" spans="1:3" x14ac:dyDescent="0.25">
      <c r="A742">
        <f t="shared" si="11"/>
        <v>22</v>
      </c>
      <c r="B742">
        <v>28</v>
      </c>
      <c r="C742" s="1">
        <v>91241</v>
      </c>
    </row>
    <row r="743" spans="1:3" x14ac:dyDescent="0.25">
      <c r="A743">
        <f t="shared" si="11"/>
        <v>22</v>
      </c>
      <c r="B743">
        <v>29</v>
      </c>
      <c r="C743" s="1">
        <v>29414</v>
      </c>
    </row>
    <row r="744" spans="1:3" x14ac:dyDescent="0.25">
      <c r="A744">
        <f t="shared" si="11"/>
        <v>22</v>
      </c>
      <c r="B744">
        <v>30</v>
      </c>
      <c r="C744" s="1">
        <v>72752</v>
      </c>
    </row>
    <row r="745" spans="1:3" x14ac:dyDescent="0.25">
      <c r="A745">
        <f t="shared" si="11"/>
        <v>22</v>
      </c>
      <c r="B745">
        <v>31</v>
      </c>
      <c r="C745" s="1">
        <v>46529</v>
      </c>
    </row>
    <row r="746" spans="1:3" x14ac:dyDescent="0.25">
      <c r="A746">
        <f t="shared" si="11"/>
        <v>22</v>
      </c>
      <c r="B746">
        <v>32</v>
      </c>
      <c r="C746" s="1">
        <v>27684</v>
      </c>
    </row>
    <row r="747" spans="1:3" x14ac:dyDescent="0.25">
      <c r="A747">
        <f t="shared" si="11"/>
        <v>22</v>
      </c>
      <c r="B747">
        <v>33</v>
      </c>
      <c r="C747" s="1">
        <v>6135.7549540261098</v>
      </c>
    </row>
    <row r="748" spans="1:3" x14ac:dyDescent="0.25">
      <c r="A748">
        <f t="shared" si="11"/>
        <v>22</v>
      </c>
      <c r="B748">
        <v>34</v>
      </c>
      <c r="C748" s="1">
        <v>22029.245045973898</v>
      </c>
    </row>
    <row r="749" spans="1:3" x14ac:dyDescent="0.25">
      <c r="A749">
        <f t="shared" si="11"/>
        <v>23</v>
      </c>
      <c r="B749">
        <v>1</v>
      </c>
      <c r="C749" s="1">
        <v>56342</v>
      </c>
    </row>
    <row r="750" spans="1:3" x14ac:dyDescent="0.25">
      <c r="A750">
        <f t="shared" si="11"/>
        <v>23</v>
      </c>
      <c r="B750">
        <v>2</v>
      </c>
      <c r="C750" s="1">
        <v>105675</v>
      </c>
    </row>
    <row r="751" spans="1:3" x14ac:dyDescent="0.25">
      <c r="A751">
        <f t="shared" si="11"/>
        <v>23</v>
      </c>
      <c r="B751">
        <v>3</v>
      </c>
      <c r="C751" s="1">
        <v>65309</v>
      </c>
    </row>
    <row r="752" spans="1:3" x14ac:dyDescent="0.25">
      <c r="A752">
        <f t="shared" si="11"/>
        <v>23</v>
      </c>
      <c r="B752">
        <v>4</v>
      </c>
      <c r="C752" s="1">
        <v>82432</v>
      </c>
    </row>
    <row r="753" spans="1:3" x14ac:dyDescent="0.25">
      <c r="A753">
        <f t="shared" si="11"/>
        <v>23</v>
      </c>
      <c r="B753">
        <v>5</v>
      </c>
      <c r="C753" s="1">
        <v>35177</v>
      </c>
    </row>
    <row r="754" spans="1:3" x14ac:dyDescent="0.25">
      <c r="A754">
        <f t="shared" si="11"/>
        <v>23</v>
      </c>
      <c r="B754">
        <v>6</v>
      </c>
      <c r="C754" s="1">
        <v>127464</v>
      </c>
    </row>
    <row r="755" spans="1:3" x14ac:dyDescent="0.25">
      <c r="A755">
        <f t="shared" si="11"/>
        <v>23</v>
      </c>
      <c r="B755">
        <v>7</v>
      </c>
      <c r="C755" s="1">
        <v>22673</v>
      </c>
    </row>
    <row r="756" spans="1:3" x14ac:dyDescent="0.25">
      <c r="A756">
        <f t="shared" si="11"/>
        <v>23</v>
      </c>
      <c r="B756">
        <v>8</v>
      </c>
      <c r="C756" s="1">
        <v>116287</v>
      </c>
    </row>
    <row r="757" spans="1:3" x14ac:dyDescent="0.25">
      <c r="A757">
        <f t="shared" si="11"/>
        <v>23</v>
      </c>
      <c r="B757">
        <v>9</v>
      </c>
      <c r="C757" s="1">
        <v>16840</v>
      </c>
    </row>
    <row r="758" spans="1:3" x14ac:dyDescent="0.25">
      <c r="A758">
        <f t="shared" si="11"/>
        <v>23</v>
      </c>
      <c r="B758">
        <v>10</v>
      </c>
      <c r="C758" s="1">
        <v>9817</v>
      </c>
    </row>
    <row r="759" spans="1:3" x14ac:dyDescent="0.25">
      <c r="A759">
        <f t="shared" si="11"/>
        <v>23</v>
      </c>
      <c r="B759">
        <v>11</v>
      </c>
      <c r="C759" s="1">
        <v>36506</v>
      </c>
    </row>
    <row r="760" spans="1:3" x14ac:dyDescent="0.25">
      <c r="A760">
        <f t="shared" si="11"/>
        <v>23</v>
      </c>
      <c r="B760">
        <v>12</v>
      </c>
      <c r="C760" s="1">
        <v>369296</v>
      </c>
    </row>
    <row r="761" spans="1:3" x14ac:dyDescent="0.25">
      <c r="A761">
        <f t="shared" si="11"/>
        <v>23</v>
      </c>
      <c r="B761">
        <v>13</v>
      </c>
      <c r="C761" s="1">
        <v>405597</v>
      </c>
    </row>
    <row r="762" spans="1:3" x14ac:dyDescent="0.25">
      <c r="A762">
        <f t="shared" si="11"/>
        <v>23</v>
      </c>
      <c r="B762">
        <v>14</v>
      </c>
      <c r="C762" s="1">
        <v>24987</v>
      </c>
    </row>
    <row r="763" spans="1:3" x14ac:dyDescent="0.25">
      <c r="A763">
        <f t="shared" si="11"/>
        <v>23</v>
      </c>
      <c r="B763">
        <v>15</v>
      </c>
      <c r="C763" s="1">
        <v>548103</v>
      </c>
    </row>
    <row r="764" spans="1:3" x14ac:dyDescent="0.25">
      <c r="A764">
        <f t="shared" si="11"/>
        <v>23</v>
      </c>
      <c r="B764">
        <v>16</v>
      </c>
      <c r="C764" s="1">
        <v>87707</v>
      </c>
    </row>
    <row r="765" spans="1:3" x14ac:dyDescent="0.25">
      <c r="A765">
        <f t="shared" si="11"/>
        <v>23</v>
      </c>
      <c r="B765">
        <v>17</v>
      </c>
      <c r="C765" s="1">
        <v>48324</v>
      </c>
    </row>
    <row r="766" spans="1:3" x14ac:dyDescent="0.25">
      <c r="A766">
        <f t="shared" si="11"/>
        <v>23</v>
      </c>
      <c r="B766">
        <v>18</v>
      </c>
      <c r="C766" s="1">
        <v>100252</v>
      </c>
    </row>
    <row r="767" spans="1:3" x14ac:dyDescent="0.25">
      <c r="A767">
        <f t="shared" si="11"/>
        <v>23</v>
      </c>
      <c r="B767">
        <v>19</v>
      </c>
      <c r="C767" s="1">
        <v>81934</v>
      </c>
    </row>
    <row r="768" spans="1:3" x14ac:dyDescent="0.25">
      <c r="A768">
        <f t="shared" si="11"/>
        <v>23</v>
      </c>
      <c r="B768">
        <v>20</v>
      </c>
      <c r="C768" s="1">
        <v>128309</v>
      </c>
    </row>
    <row r="769" spans="1:3" x14ac:dyDescent="0.25">
      <c r="A769">
        <f t="shared" si="11"/>
        <v>23</v>
      </c>
      <c r="B769">
        <v>21</v>
      </c>
      <c r="C769" s="1">
        <v>167446</v>
      </c>
    </row>
    <row r="770" spans="1:3" x14ac:dyDescent="0.25">
      <c r="A770">
        <f t="shared" ref="A770:A833" si="12">INT((ROW()-ROW($A$1))/34)+1</f>
        <v>23</v>
      </c>
      <c r="B770">
        <v>22</v>
      </c>
      <c r="C770" s="1">
        <v>264406</v>
      </c>
    </row>
    <row r="771" spans="1:3" x14ac:dyDescent="0.25">
      <c r="A771">
        <f t="shared" si="12"/>
        <v>23</v>
      </c>
      <c r="B771">
        <v>23</v>
      </c>
      <c r="C771" s="1">
        <v>1041097</v>
      </c>
    </row>
    <row r="772" spans="1:3" x14ac:dyDescent="0.25">
      <c r="A772">
        <f t="shared" si="12"/>
        <v>23</v>
      </c>
      <c r="B772">
        <v>24</v>
      </c>
      <c r="C772" s="1">
        <v>17065</v>
      </c>
    </row>
    <row r="773" spans="1:3" x14ac:dyDescent="0.25">
      <c r="A773">
        <f t="shared" si="12"/>
        <v>23</v>
      </c>
      <c r="B773">
        <v>25</v>
      </c>
      <c r="C773" s="1">
        <v>57215</v>
      </c>
    </row>
    <row r="774" spans="1:3" x14ac:dyDescent="0.25">
      <c r="A774">
        <f t="shared" si="12"/>
        <v>23</v>
      </c>
      <c r="B774">
        <v>26</v>
      </c>
      <c r="C774" s="1">
        <v>169883</v>
      </c>
    </row>
    <row r="775" spans="1:3" x14ac:dyDescent="0.25">
      <c r="A775">
        <f t="shared" si="12"/>
        <v>23</v>
      </c>
      <c r="B775">
        <v>27</v>
      </c>
      <c r="C775" s="1">
        <v>394945</v>
      </c>
    </row>
    <row r="776" spans="1:3" x14ac:dyDescent="0.25">
      <c r="A776">
        <f t="shared" si="12"/>
        <v>23</v>
      </c>
      <c r="B776">
        <v>28</v>
      </c>
      <c r="C776" s="1">
        <v>68337</v>
      </c>
    </row>
    <row r="777" spans="1:3" x14ac:dyDescent="0.25">
      <c r="A777">
        <f t="shared" si="12"/>
        <v>23</v>
      </c>
      <c r="B777">
        <v>29</v>
      </c>
      <c r="C777" s="1">
        <v>34249</v>
      </c>
    </row>
    <row r="778" spans="1:3" x14ac:dyDescent="0.25">
      <c r="A778">
        <f t="shared" si="12"/>
        <v>23</v>
      </c>
      <c r="B778">
        <v>30</v>
      </c>
      <c r="C778" s="1">
        <v>67967</v>
      </c>
    </row>
    <row r="779" spans="1:3" x14ac:dyDescent="0.25">
      <c r="A779">
        <f t="shared" si="12"/>
        <v>23</v>
      </c>
      <c r="B779">
        <v>31</v>
      </c>
      <c r="C779" s="1">
        <v>38452</v>
      </c>
    </row>
    <row r="780" spans="1:3" x14ac:dyDescent="0.25">
      <c r="A780">
        <f t="shared" si="12"/>
        <v>23</v>
      </c>
      <c r="B780">
        <v>32</v>
      </c>
      <c r="C780" s="1">
        <v>24113</v>
      </c>
    </row>
    <row r="781" spans="1:3" x14ac:dyDescent="0.25">
      <c r="A781">
        <f t="shared" si="12"/>
        <v>23</v>
      </c>
      <c r="B781">
        <v>33</v>
      </c>
      <c r="C781" s="1">
        <v>2749.053497775803</v>
      </c>
    </row>
    <row r="782" spans="1:3" x14ac:dyDescent="0.25">
      <c r="A782">
        <f t="shared" si="12"/>
        <v>23</v>
      </c>
      <c r="B782">
        <v>34</v>
      </c>
      <c r="C782" s="1">
        <v>9869.9465022242002</v>
      </c>
    </row>
    <row r="783" spans="1:3" x14ac:dyDescent="0.25">
      <c r="A783">
        <f t="shared" si="12"/>
        <v>24</v>
      </c>
      <c r="B783">
        <v>1</v>
      </c>
      <c r="C783" s="1">
        <v>13872</v>
      </c>
    </row>
    <row r="784" spans="1:3" x14ac:dyDescent="0.25">
      <c r="A784">
        <f t="shared" si="12"/>
        <v>24</v>
      </c>
      <c r="B784">
        <v>2</v>
      </c>
      <c r="C784" s="1">
        <v>35875</v>
      </c>
    </row>
    <row r="785" spans="1:3" x14ac:dyDescent="0.25">
      <c r="A785">
        <f t="shared" si="12"/>
        <v>24</v>
      </c>
      <c r="B785">
        <v>3</v>
      </c>
      <c r="C785" s="1">
        <v>14482</v>
      </c>
    </row>
    <row r="786" spans="1:3" x14ac:dyDescent="0.25">
      <c r="A786">
        <f t="shared" si="12"/>
        <v>24</v>
      </c>
      <c r="B786">
        <v>4</v>
      </c>
      <c r="C786" s="1">
        <v>18490</v>
      </c>
    </row>
    <row r="787" spans="1:3" x14ac:dyDescent="0.25">
      <c r="A787">
        <f t="shared" si="12"/>
        <v>24</v>
      </c>
      <c r="B787">
        <v>5</v>
      </c>
      <c r="C787" s="1">
        <v>10219</v>
      </c>
    </row>
    <row r="788" spans="1:3" x14ac:dyDescent="0.25">
      <c r="A788">
        <f t="shared" si="12"/>
        <v>24</v>
      </c>
      <c r="B788">
        <v>6</v>
      </c>
      <c r="C788" s="1">
        <v>24741</v>
      </c>
    </row>
    <row r="789" spans="1:3" x14ac:dyDescent="0.25">
      <c r="A789">
        <f t="shared" si="12"/>
        <v>24</v>
      </c>
      <c r="B789">
        <v>7</v>
      </c>
      <c r="C789" s="1">
        <v>5376</v>
      </c>
    </row>
    <row r="790" spans="1:3" x14ac:dyDescent="0.25">
      <c r="A790">
        <f t="shared" si="12"/>
        <v>24</v>
      </c>
      <c r="B790">
        <v>8</v>
      </c>
      <c r="C790" s="1">
        <v>23527</v>
      </c>
    </row>
    <row r="791" spans="1:3" x14ac:dyDescent="0.25">
      <c r="A791">
        <f t="shared" si="12"/>
        <v>24</v>
      </c>
      <c r="B791">
        <v>9</v>
      </c>
      <c r="C791" s="1">
        <v>6624</v>
      </c>
    </row>
    <row r="792" spans="1:3" x14ac:dyDescent="0.25">
      <c r="A792">
        <f t="shared" si="12"/>
        <v>24</v>
      </c>
      <c r="B792">
        <v>10</v>
      </c>
      <c r="C792" s="1">
        <v>7488</v>
      </c>
    </row>
    <row r="793" spans="1:3" x14ac:dyDescent="0.25">
      <c r="A793">
        <f t="shared" si="12"/>
        <v>24</v>
      </c>
      <c r="B793">
        <v>11</v>
      </c>
      <c r="C793" s="1">
        <v>30375</v>
      </c>
    </row>
    <row r="794" spans="1:3" x14ac:dyDescent="0.25">
      <c r="A794">
        <f t="shared" si="12"/>
        <v>24</v>
      </c>
      <c r="B794">
        <v>12</v>
      </c>
      <c r="C794" s="1">
        <v>143354</v>
      </c>
    </row>
    <row r="795" spans="1:3" x14ac:dyDescent="0.25">
      <c r="A795">
        <f t="shared" si="12"/>
        <v>24</v>
      </c>
      <c r="B795">
        <v>13</v>
      </c>
      <c r="C795" s="1">
        <v>115546</v>
      </c>
    </row>
    <row r="796" spans="1:3" x14ac:dyDescent="0.25">
      <c r="A796">
        <f t="shared" si="12"/>
        <v>24</v>
      </c>
      <c r="B796">
        <v>14</v>
      </c>
      <c r="C796" s="1">
        <v>12247</v>
      </c>
    </row>
    <row r="797" spans="1:3" x14ac:dyDescent="0.25">
      <c r="A797">
        <f t="shared" si="12"/>
        <v>24</v>
      </c>
      <c r="B797">
        <v>15</v>
      </c>
      <c r="C797" s="1">
        <v>140672</v>
      </c>
    </row>
    <row r="798" spans="1:3" x14ac:dyDescent="0.25">
      <c r="A798">
        <f t="shared" si="12"/>
        <v>24</v>
      </c>
      <c r="B798">
        <v>16</v>
      </c>
      <c r="C798" s="1">
        <v>35224</v>
      </c>
    </row>
    <row r="799" spans="1:3" x14ac:dyDescent="0.25">
      <c r="A799">
        <f t="shared" si="12"/>
        <v>24</v>
      </c>
      <c r="B799">
        <v>17</v>
      </c>
      <c r="C799" s="1">
        <v>15598</v>
      </c>
    </row>
    <row r="800" spans="1:3" x14ac:dyDescent="0.25">
      <c r="A800">
        <f t="shared" si="12"/>
        <v>24</v>
      </c>
      <c r="B800">
        <v>18</v>
      </c>
      <c r="C800" s="1">
        <v>19088</v>
      </c>
    </row>
    <row r="801" spans="1:3" x14ac:dyDescent="0.25">
      <c r="A801">
        <f t="shared" si="12"/>
        <v>24</v>
      </c>
      <c r="B801">
        <v>19</v>
      </c>
      <c r="C801" s="1">
        <v>20764</v>
      </c>
    </row>
    <row r="802" spans="1:3" x14ac:dyDescent="0.25">
      <c r="A802">
        <f t="shared" si="12"/>
        <v>24</v>
      </c>
      <c r="B802">
        <v>20</v>
      </c>
      <c r="C802" s="1">
        <v>33167</v>
      </c>
    </row>
    <row r="803" spans="1:3" x14ac:dyDescent="0.25">
      <c r="A803">
        <f t="shared" si="12"/>
        <v>24</v>
      </c>
      <c r="B803">
        <v>21</v>
      </c>
      <c r="C803" s="1">
        <v>20173</v>
      </c>
    </row>
    <row r="804" spans="1:3" x14ac:dyDescent="0.25">
      <c r="A804">
        <f t="shared" si="12"/>
        <v>24</v>
      </c>
      <c r="B804">
        <v>22</v>
      </c>
      <c r="C804" s="1">
        <v>28339</v>
      </c>
    </row>
    <row r="805" spans="1:3" x14ac:dyDescent="0.25">
      <c r="A805">
        <f t="shared" si="12"/>
        <v>24</v>
      </c>
      <c r="B805">
        <v>23</v>
      </c>
      <c r="C805" s="1">
        <v>48784</v>
      </c>
    </row>
    <row r="806" spans="1:3" x14ac:dyDescent="0.25">
      <c r="A806">
        <f t="shared" si="12"/>
        <v>24</v>
      </c>
      <c r="B806">
        <v>24</v>
      </c>
      <c r="C806" s="1">
        <v>23311</v>
      </c>
    </row>
    <row r="807" spans="1:3" x14ac:dyDescent="0.25">
      <c r="A807">
        <f t="shared" si="12"/>
        <v>24</v>
      </c>
      <c r="B807">
        <v>25</v>
      </c>
      <c r="C807" s="1">
        <v>15232</v>
      </c>
    </row>
    <row r="808" spans="1:3" x14ac:dyDescent="0.25">
      <c r="A808">
        <f t="shared" si="12"/>
        <v>24</v>
      </c>
      <c r="B808">
        <v>26</v>
      </c>
      <c r="C808" s="1">
        <v>25597</v>
      </c>
    </row>
    <row r="809" spans="1:3" x14ac:dyDescent="0.25">
      <c r="A809">
        <f t="shared" si="12"/>
        <v>24</v>
      </c>
      <c r="B809">
        <v>27</v>
      </c>
      <c r="C809" s="1">
        <v>46439</v>
      </c>
    </row>
    <row r="810" spans="1:3" x14ac:dyDescent="0.25">
      <c r="A810">
        <f t="shared" si="12"/>
        <v>24</v>
      </c>
      <c r="B810">
        <v>28</v>
      </c>
      <c r="C810" s="1">
        <v>13561</v>
      </c>
    </row>
    <row r="811" spans="1:3" x14ac:dyDescent="0.25">
      <c r="A811">
        <f t="shared" si="12"/>
        <v>24</v>
      </c>
      <c r="B811">
        <v>29</v>
      </c>
      <c r="C811" s="1">
        <v>7664</v>
      </c>
    </row>
    <row r="812" spans="1:3" x14ac:dyDescent="0.25">
      <c r="A812">
        <f t="shared" si="12"/>
        <v>24</v>
      </c>
      <c r="B812">
        <v>30</v>
      </c>
      <c r="C812" s="1">
        <v>9287</v>
      </c>
    </row>
    <row r="813" spans="1:3" x14ac:dyDescent="0.25">
      <c r="A813">
        <f t="shared" si="12"/>
        <v>24</v>
      </c>
      <c r="B813">
        <v>31</v>
      </c>
      <c r="C813" s="1">
        <v>7632</v>
      </c>
    </row>
    <row r="814" spans="1:3" x14ac:dyDescent="0.25">
      <c r="A814">
        <f t="shared" si="12"/>
        <v>24</v>
      </c>
      <c r="B814">
        <v>32</v>
      </c>
      <c r="C814" s="1">
        <v>5999</v>
      </c>
    </row>
    <row r="815" spans="1:3" x14ac:dyDescent="0.25">
      <c r="A815">
        <f t="shared" si="12"/>
        <v>24</v>
      </c>
      <c r="B815">
        <v>33</v>
      </c>
      <c r="C815" s="1">
        <v>1331.0656051517676</v>
      </c>
    </row>
    <row r="816" spans="1:3" x14ac:dyDescent="0.25">
      <c r="A816">
        <f t="shared" si="12"/>
        <v>24</v>
      </c>
      <c r="B816">
        <v>34</v>
      </c>
      <c r="C816" s="1">
        <v>4778.9343948482338</v>
      </c>
    </row>
    <row r="817" spans="1:3" x14ac:dyDescent="0.25">
      <c r="A817">
        <f t="shared" si="12"/>
        <v>25</v>
      </c>
      <c r="B817">
        <v>1</v>
      </c>
      <c r="C817" s="1">
        <v>32376</v>
      </c>
    </row>
    <row r="818" spans="1:3" x14ac:dyDescent="0.25">
      <c r="A818">
        <f t="shared" si="12"/>
        <v>25</v>
      </c>
      <c r="B818">
        <v>2</v>
      </c>
      <c r="C818" s="1">
        <v>74095</v>
      </c>
    </row>
    <row r="819" spans="1:3" x14ac:dyDescent="0.25">
      <c r="A819">
        <f t="shared" si="12"/>
        <v>25</v>
      </c>
      <c r="B819">
        <v>3</v>
      </c>
      <c r="C819" s="1">
        <v>30617</v>
      </c>
    </row>
    <row r="820" spans="1:3" x14ac:dyDescent="0.25">
      <c r="A820">
        <f t="shared" si="12"/>
        <v>25</v>
      </c>
      <c r="B820">
        <v>4</v>
      </c>
      <c r="C820" s="1">
        <v>37983</v>
      </c>
    </row>
    <row r="821" spans="1:3" x14ac:dyDescent="0.25">
      <c r="A821">
        <f t="shared" si="12"/>
        <v>25</v>
      </c>
      <c r="B821">
        <v>5</v>
      </c>
      <c r="C821" s="1">
        <v>22335</v>
      </c>
    </row>
    <row r="822" spans="1:3" x14ac:dyDescent="0.25">
      <c r="A822">
        <f t="shared" si="12"/>
        <v>25</v>
      </c>
      <c r="B822">
        <v>6</v>
      </c>
      <c r="C822" s="1">
        <v>50769</v>
      </c>
    </row>
    <row r="823" spans="1:3" x14ac:dyDescent="0.25">
      <c r="A823">
        <f t="shared" si="12"/>
        <v>25</v>
      </c>
      <c r="B823">
        <v>7</v>
      </c>
      <c r="C823" s="1">
        <v>11744</v>
      </c>
    </row>
    <row r="824" spans="1:3" x14ac:dyDescent="0.25">
      <c r="A824">
        <f t="shared" si="12"/>
        <v>25</v>
      </c>
      <c r="B824">
        <v>8</v>
      </c>
      <c r="C824" s="1">
        <v>48261</v>
      </c>
    </row>
    <row r="825" spans="1:3" x14ac:dyDescent="0.25">
      <c r="A825">
        <f t="shared" si="12"/>
        <v>25</v>
      </c>
      <c r="B825">
        <v>9</v>
      </c>
      <c r="C825" s="1">
        <v>15551</v>
      </c>
    </row>
    <row r="826" spans="1:3" x14ac:dyDescent="0.25">
      <c r="A826">
        <f t="shared" si="12"/>
        <v>25</v>
      </c>
      <c r="B826">
        <v>10</v>
      </c>
      <c r="C826" s="1">
        <v>14506</v>
      </c>
    </row>
    <row r="827" spans="1:3" x14ac:dyDescent="0.25">
      <c r="A827">
        <f t="shared" si="12"/>
        <v>25</v>
      </c>
      <c r="B827">
        <v>11</v>
      </c>
      <c r="C827" s="1">
        <v>66444</v>
      </c>
    </row>
    <row r="828" spans="1:3" x14ac:dyDescent="0.25">
      <c r="A828">
        <f t="shared" si="12"/>
        <v>25</v>
      </c>
      <c r="B828">
        <v>12</v>
      </c>
      <c r="C828" s="1">
        <v>316368</v>
      </c>
    </row>
    <row r="829" spans="1:3" x14ac:dyDescent="0.25">
      <c r="A829">
        <f t="shared" si="12"/>
        <v>25</v>
      </c>
      <c r="B829">
        <v>13</v>
      </c>
      <c r="C829" s="1">
        <v>259158</v>
      </c>
    </row>
    <row r="830" spans="1:3" x14ac:dyDescent="0.25">
      <c r="A830">
        <f t="shared" si="12"/>
        <v>25</v>
      </c>
      <c r="B830">
        <v>14</v>
      </c>
      <c r="C830" s="1">
        <v>28151</v>
      </c>
    </row>
    <row r="831" spans="1:3" x14ac:dyDescent="0.25">
      <c r="A831">
        <f t="shared" si="12"/>
        <v>25</v>
      </c>
      <c r="B831">
        <v>15</v>
      </c>
      <c r="C831" s="1">
        <v>339564</v>
      </c>
    </row>
    <row r="832" spans="1:3" x14ac:dyDescent="0.25">
      <c r="A832">
        <f t="shared" si="12"/>
        <v>25</v>
      </c>
      <c r="B832">
        <v>16</v>
      </c>
      <c r="C832" s="1">
        <v>78604</v>
      </c>
    </row>
    <row r="833" spans="1:3" x14ac:dyDescent="0.25">
      <c r="A833">
        <f t="shared" si="12"/>
        <v>25</v>
      </c>
      <c r="B833">
        <v>17</v>
      </c>
      <c r="C833" s="1">
        <v>42443</v>
      </c>
    </row>
    <row r="834" spans="1:3" x14ac:dyDescent="0.25">
      <c r="A834">
        <f t="shared" ref="A834:A897" si="13">INT((ROW()-ROW($A$1))/34)+1</f>
        <v>25</v>
      </c>
      <c r="B834">
        <v>18</v>
      </c>
      <c r="C834" s="1">
        <v>57884</v>
      </c>
    </row>
    <row r="835" spans="1:3" x14ac:dyDescent="0.25">
      <c r="A835">
        <f t="shared" si="13"/>
        <v>25</v>
      </c>
      <c r="B835">
        <v>19</v>
      </c>
      <c r="C835" s="1">
        <v>88665</v>
      </c>
    </row>
    <row r="836" spans="1:3" x14ac:dyDescent="0.25">
      <c r="A836">
        <f t="shared" si="13"/>
        <v>25</v>
      </c>
      <c r="B836">
        <v>20</v>
      </c>
      <c r="C836" s="1">
        <v>53051</v>
      </c>
    </row>
    <row r="837" spans="1:3" x14ac:dyDescent="0.25">
      <c r="A837">
        <f t="shared" si="13"/>
        <v>25</v>
      </c>
      <c r="B837">
        <v>21</v>
      </c>
      <c r="C837" s="1">
        <v>35343</v>
      </c>
    </row>
    <row r="838" spans="1:3" x14ac:dyDescent="0.25">
      <c r="A838">
        <f t="shared" si="13"/>
        <v>25</v>
      </c>
      <c r="B838">
        <v>22</v>
      </c>
      <c r="C838" s="1">
        <v>57566</v>
      </c>
    </row>
    <row r="839" spans="1:3" x14ac:dyDescent="0.25">
      <c r="A839">
        <f t="shared" si="13"/>
        <v>25</v>
      </c>
      <c r="B839">
        <v>23</v>
      </c>
      <c r="C839" s="1">
        <v>62474</v>
      </c>
    </row>
    <row r="840" spans="1:3" x14ac:dyDescent="0.25">
      <c r="A840">
        <f t="shared" si="13"/>
        <v>25</v>
      </c>
      <c r="B840">
        <v>24</v>
      </c>
      <c r="C840" s="1">
        <v>9541</v>
      </c>
    </row>
    <row r="841" spans="1:3" x14ac:dyDescent="0.25">
      <c r="A841">
        <f t="shared" si="13"/>
        <v>25</v>
      </c>
      <c r="B841">
        <v>25</v>
      </c>
      <c r="C841" s="1">
        <v>753384</v>
      </c>
    </row>
    <row r="842" spans="1:3" x14ac:dyDescent="0.25">
      <c r="A842">
        <f t="shared" si="13"/>
        <v>25</v>
      </c>
      <c r="B842">
        <v>26</v>
      </c>
      <c r="C842" s="1">
        <v>119721</v>
      </c>
    </row>
    <row r="843" spans="1:3" x14ac:dyDescent="0.25">
      <c r="A843">
        <f t="shared" si="13"/>
        <v>25</v>
      </c>
      <c r="B843">
        <v>27</v>
      </c>
      <c r="C843" s="1">
        <v>166852</v>
      </c>
    </row>
    <row r="844" spans="1:3" x14ac:dyDescent="0.25">
      <c r="A844">
        <f t="shared" si="13"/>
        <v>25</v>
      </c>
      <c r="B844">
        <v>28</v>
      </c>
      <c r="C844" s="1">
        <v>69981</v>
      </c>
    </row>
    <row r="845" spans="1:3" x14ac:dyDescent="0.25">
      <c r="A845">
        <f t="shared" si="13"/>
        <v>25</v>
      </c>
      <c r="B845">
        <v>29</v>
      </c>
      <c r="C845" s="1">
        <v>106665</v>
      </c>
    </row>
    <row r="846" spans="1:3" x14ac:dyDescent="0.25">
      <c r="A846">
        <f t="shared" si="13"/>
        <v>25</v>
      </c>
      <c r="B846">
        <v>30</v>
      </c>
      <c r="C846" s="1">
        <v>36755</v>
      </c>
    </row>
    <row r="847" spans="1:3" x14ac:dyDescent="0.25">
      <c r="A847">
        <f t="shared" si="13"/>
        <v>25</v>
      </c>
      <c r="B847">
        <v>31</v>
      </c>
      <c r="C847" s="1">
        <v>53342</v>
      </c>
    </row>
    <row r="848" spans="1:3" x14ac:dyDescent="0.25">
      <c r="A848">
        <f t="shared" si="13"/>
        <v>25</v>
      </c>
      <c r="B848">
        <v>32</v>
      </c>
      <c r="C848" s="1">
        <v>61392</v>
      </c>
    </row>
    <row r="849" spans="1:3" x14ac:dyDescent="0.25">
      <c r="A849">
        <f t="shared" si="13"/>
        <v>25</v>
      </c>
      <c r="B849">
        <v>33</v>
      </c>
      <c r="C849" s="1">
        <v>7074.4720886576924</v>
      </c>
    </row>
    <row r="850" spans="1:3" x14ac:dyDescent="0.25">
      <c r="A850">
        <f t="shared" si="13"/>
        <v>25</v>
      </c>
      <c r="B850">
        <v>34</v>
      </c>
      <c r="C850" s="1">
        <v>25399.527911342317</v>
      </c>
    </row>
    <row r="851" spans="1:3" x14ac:dyDescent="0.25">
      <c r="A851">
        <f t="shared" si="13"/>
        <v>26</v>
      </c>
      <c r="B851">
        <v>1</v>
      </c>
      <c r="C851" s="1">
        <v>65454</v>
      </c>
    </row>
    <row r="852" spans="1:3" x14ac:dyDescent="0.25">
      <c r="A852">
        <f t="shared" si="13"/>
        <v>26</v>
      </c>
      <c r="B852">
        <v>2</v>
      </c>
      <c r="C852" s="1">
        <v>157632</v>
      </c>
    </row>
    <row r="853" spans="1:3" x14ac:dyDescent="0.25">
      <c r="A853">
        <f t="shared" si="13"/>
        <v>26</v>
      </c>
      <c r="B853">
        <v>3</v>
      </c>
      <c r="C853" s="1">
        <v>65195</v>
      </c>
    </row>
    <row r="854" spans="1:3" x14ac:dyDescent="0.25">
      <c r="A854">
        <f t="shared" si="13"/>
        <v>26</v>
      </c>
      <c r="B854">
        <v>4</v>
      </c>
      <c r="C854" s="1">
        <v>83000</v>
      </c>
    </row>
    <row r="855" spans="1:3" x14ac:dyDescent="0.25">
      <c r="A855">
        <f t="shared" si="13"/>
        <v>26</v>
      </c>
      <c r="B855">
        <v>5</v>
      </c>
      <c r="C855" s="1">
        <v>49298</v>
      </c>
    </row>
    <row r="856" spans="1:3" x14ac:dyDescent="0.25">
      <c r="A856">
        <f t="shared" si="13"/>
        <v>26</v>
      </c>
      <c r="B856">
        <v>6</v>
      </c>
      <c r="C856" s="1">
        <v>111958</v>
      </c>
    </row>
    <row r="857" spans="1:3" x14ac:dyDescent="0.25">
      <c r="A857">
        <f t="shared" si="13"/>
        <v>26</v>
      </c>
      <c r="B857">
        <v>7</v>
      </c>
      <c r="C857" s="1">
        <v>25037</v>
      </c>
    </row>
    <row r="858" spans="1:3" x14ac:dyDescent="0.25">
      <c r="A858">
        <f t="shared" si="13"/>
        <v>26</v>
      </c>
      <c r="B858">
        <v>8</v>
      </c>
      <c r="C858" s="1">
        <v>108776</v>
      </c>
    </row>
    <row r="859" spans="1:3" x14ac:dyDescent="0.25">
      <c r="A859">
        <f t="shared" si="13"/>
        <v>26</v>
      </c>
      <c r="B859">
        <v>9</v>
      </c>
      <c r="C859" s="1">
        <v>32781</v>
      </c>
    </row>
    <row r="860" spans="1:3" x14ac:dyDescent="0.25">
      <c r="A860">
        <f t="shared" si="13"/>
        <v>26</v>
      </c>
      <c r="B860">
        <v>10</v>
      </c>
      <c r="C860" s="1">
        <v>31425</v>
      </c>
    </row>
    <row r="861" spans="1:3" x14ac:dyDescent="0.25">
      <c r="A861">
        <f t="shared" si="13"/>
        <v>26</v>
      </c>
      <c r="B861">
        <v>11</v>
      </c>
      <c r="C861" s="1">
        <v>156412</v>
      </c>
    </row>
    <row r="862" spans="1:3" x14ac:dyDescent="0.25">
      <c r="A862">
        <f t="shared" si="13"/>
        <v>26</v>
      </c>
      <c r="B862">
        <v>12</v>
      </c>
      <c r="C862" s="1">
        <v>720994</v>
      </c>
    </row>
    <row r="863" spans="1:3" x14ac:dyDescent="0.25">
      <c r="A863">
        <f t="shared" si="13"/>
        <v>26</v>
      </c>
      <c r="B863">
        <v>13</v>
      </c>
      <c r="C863" s="1">
        <v>603574</v>
      </c>
    </row>
    <row r="864" spans="1:3" x14ac:dyDescent="0.25">
      <c r="A864">
        <f t="shared" si="13"/>
        <v>26</v>
      </c>
      <c r="B864">
        <v>14</v>
      </c>
      <c r="C864" s="1">
        <v>65505</v>
      </c>
    </row>
    <row r="865" spans="1:3" x14ac:dyDescent="0.25">
      <c r="A865">
        <f t="shared" si="13"/>
        <v>26</v>
      </c>
      <c r="B865">
        <v>15</v>
      </c>
      <c r="C865" s="1">
        <v>832770</v>
      </c>
    </row>
    <row r="866" spans="1:3" x14ac:dyDescent="0.25">
      <c r="A866">
        <f t="shared" si="13"/>
        <v>26</v>
      </c>
      <c r="B866">
        <v>16</v>
      </c>
      <c r="C866" s="1">
        <v>179989</v>
      </c>
    </row>
    <row r="867" spans="1:3" x14ac:dyDescent="0.25">
      <c r="A867">
        <f t="shared" si="13"/>
        <v>26</v>
      </c>
      <c r="B867">
        <v>17</v>
      </c>
      <c r="C867" s="1">
        <v>103926</v>
      </c>
    </row>
    <row r="868" spans="1:3" x14ac:dyDescent="0.25">
      <c r="A868">
        <f t="shared" si="13"/>
        <v>26</v>
      </c>
      <c r="B868">
        <v>18</v>
      </c>
      <c r="C868" s="1">
        <v>142304</v>
      </c>
    </row>
    <row r="869" spans="1:3" x14ac:dyDescent="0.25">
      <c r="A869">
        <f t="shared" si="13"/>
        <v>26</v>
      </c>
      <c r="B869">
        <v>19</v>
      </c>
      <c r="C869" s="1">
        <v>195282</v>
      </c>
    </row>
    <row r="870" spans="1:3" x14ac:dyDescent="0.25">
      <c r="A870">
        <f t="shared" si="13"/>
        <v>26</v>
      </c>
      <c r="B870">
        <v>20</v>
      </c>
      <c r="C870" s="1">
        <v>124684</v>
      </c>
    </row>
    <row r="871" spans="1:3" x14ac:dyDescent="0.25">
      <c r="A871">
        <f t="shared" si="13"/>
        <v>26</v>
      </c>
      <c r="B871">
        <v>21</v>
      </c>
      <c r="C871" s="1">
        <v>92224</v>
      </c>
    </row>
    <row r="872" spans="1:3" x14ac:dyDescent="0.25">
      <c r="A872">
        <f t="shared" si="13"/>
        <v>26</v>
      </c>
      <c r="B872">
        <v>22</v>
      </c>
      <c r="C872" s="1">
        <v>159974</v>
      </c>
    </row>
    <row r="873" spans="1:3" x14ac:dyDescent="0.25">
      <c r="A873">
        <f t="shared" si="13"/>
        <v>26</v>
      </c>
      <c r="B873">
        <v>23</v>
      </c>
      <c r="C873" s="1">
        <v>186823</v>
      </c>
    </row>
    <row r="874" spans="1:3" x14ac:dyDescent="0.25">
      <c r="A874">
        <f t="shared" si="13"/>
        <v>26</v>
      </c>
      <c r="B874">
        <v>24</v>
      </c>
      <c r="C874" s="1">
        <v>22380</v>
      </c>
    </row>
    <row r="875" spans="1:3" x14ac:dyDescent="0.25">
      <c r="A875">
        <f t="shared" si="13"/>
        <v>26</v>
      </c>
      <c r="B875">
        <v>25</v>
      </c>
      <c r="C875" s="1">
        <v>187085</v>
      </c>
    </row>
    <row r="876" spans="1:3" x14ac:dyDescent="0.25">
      <c r="A876">
        <f t="shared" si="13"/>
        <v>26</v>
      </c>
      <c r="B876">
        <v>26</v>
      </c>
      <c r="C876" s="1">
        <v>747597</v>
      </c>
    </row>
    <row r="877" spans="1:3" x14ac:dyDescent="0.25">
      <c r="A877">
        <f t="shared" si="13"/>
        <v>26</v>
      </c>
      <c r="B877">
        <v>27</v>
      </c>
      <c r="C877" s="1">
        <v>571692</v>
      </c>
    </row>
    <row r="878" spans="1:3" x14ac:dyDescent="0.25">
      <c r="A878">
        <f t="shared" si="13"/>
        <v>26</v>
      </c>
      <c r="B878">
        <v>28</v>
      </c>
      <c r="C878" s="1">
        <v>228291</v>
      </c>
    </row>
    <row r="879" spans="1:3" x14ac:dyDescent="0.25">
      <c r="A879">
        <f t="shared" si="13"/>
        <v>26</v>
      </c>
      <c r="B879">
        <v>29</v>
      </c>
      <c r="C879" s="1">
        <v>136927</v>
      </c>
    </row>
    <row r="880" spans="1:3" x14ac:dyDescent="0.25">
      <c r="A880">
        <f t="shared" si="13"/>
        <v>26</v>
      </c>
      <c r="B880">
        <v>30</v>
      </c>
      <c r="C880" s="1">
        <v>121226</v>
      </c>
    </row>
    <row r="881" spans="1:3" x14ac:dyDescent="0.25">
      <c r="A881">
        <f t="shared" si="13"/>
        <v>26</v>
      </c>
      <c r="B881">
        <v>31</v>
      </c>
      <c r="C881" s="1">
        <v>80532</v>
      </c>
    </row>
    <row r="882" spans="1:3" x14ac:dyDescent="0.25">
      <c r="A882">
        <f t="shared" si="13"/>
        <v>26</v>
      </c>
      <c r="B882">
        <v>32</v>
      </c>
      <c r="C882" s="1">
        <v>65418</v>
      </c>
    </row>
    <row r="883" spans="1:3" x14ac:dyDescent="0.25">
      <c r="A883">
        <f t="shared" si="13"/>
        <v>26</v>
      </c>
      <c r="B883">
        <v>33</v>
      </c>
      <c r="C883" s="1">
        <v>10475.769517992316</v>
      </c>
    </row>
    <row r="884" spans="1:3" x14ac:dyDescent="0.25">
      <c r="A884">
        <f t="shared" si="13"/>
        <v>26</v>
      </c>
      <c r="B884">
        <v>34</v>
      </c>
      <c r="C884" s="1">
        <v>37611.230482007697</v>
      </c>
    </row>
    <row r="885" spans="1:3" x14ac:dyDescent="0.25">
      <c r="A885">
        <f t="shared" si="13"/>
        <v>27</v>
      </c>
      <c r="B885">
        <v>1</v>
      </c>
      <c r="C885" s="1">
        <v>173494</v>
      </c>
    </row>
    <row r="886" spans="1:3" x14ac:dyDescent="0.25">
      <c r="A886">
        <f t="shared" si="13"/>
        <v>27</v>
      </c>
      <c r="B886">
        <v>2</v>
      </c>
      <c r="C886" s="1">
        <v>396873</v>
      </c>
    </row>
    <row r="887" spans="1:3" x14ac:dyDescent="0.25">
      <c r="A887">
        <f t="shared" si="13"/>
        <v>27</v>
      </c>
      <c r="B887">
        <v>3</v>
      </c>
      <c r="C887" s="1">
        <v>173935</v>
      </c>
    </row>
    <row r="888" spans="1:3" x14ac:dyDescent="0.25">
      <c r="A888">
        <f t="shared" si="13"/>
        <v>27</v>
      </c>
      <c r="B888">
        <v>4</v>
      </c>
      <c r="C888" s="1">
        <v>219087</v>
      </c>
    </row>
    <row r="889" spans="1:3" x14ac:dyDescent="0.25">
      <c r="A889">
        <f t="shared" si="13"/>
        <v>27</v>
      </c>
      <c r="B889">
        <v>5</v>
      </c>
      <c r="C889" s="1">
        <v>132036</v>
      </c>
    </row>
    <row r="890" spans="1:3" x14ac:dyDescent="0.25">
      <c r="A890">
        <f t="shared" si="13"/>
        <v>27</v>
      </c>
      <c r="B890">
        <v>6</v>
      </c>
      <c r="C890" s="1">
        <v>307034</v>
      </c>
    </row>
    <row r="891" spans="1:3" x14ac:dyDescent="0.25">
      <c r="A891">
        <f t="shared" si="13"/>
        <v>27</v>
      </c>
      <c r="B891">
        <v>7</v>
      </c>
      <c r="C891" s="1">
        <v>70327</v>
      </c>
    </row>
    <row r="892" spans="1:3" x14ac:dyDescent="0.25">
      <c r="A892">
        <f t="shared" si="13"/>
        <v>27</v>
      </c>
      <c r="B892">
        <v>8</v>
      </c>
      <c r="C892" s="1">
        <v>295372</v>
      </c>
    </row>
    <row r="893" spans="1:3" x14ac:dyDescent="0.25">
      <c r="A893">
        <f t="shared" si="13"/>
        <v>27</v>
      </c>
      <c r="B893">
        <v>9</v>
      </c>
      <c r="C893" s="1">
        <v>105106</v>
      </c>
    </row>
    <row r="894" spans="1:3" x14ac:dyDescent="0.25">
      <c r="A894">
        <f t="shared" si="13"/>
        <v>27</v>
      </c>
      <c r="B894">
        <v>10</v>
      </c>
      <c r="C894" s="1">
        <v>85875</v>
      </c>
    </row>
    <row r="895" spans="1:3" x14ac:dyDescent="0.25">
      <c r="A895">
        <f t="shared" si="13"/>
        <v>27</v>
      </c>
      <c r="B895">
        <v>11</v>
      </c>
      <c r="C895" s="1">
        <v>430076</v>
      </c>
    </row>
    <row r="896" spans="1:3" x14ac:dyDescent="0.25">
      <c r="A896">
        <f t="shared" si="13"/>
        <v>27</v>
      </c>
      <c r="B896">
        <v>12</v>
      </c>
      <c r="C896" s="1">
        <v>2015410</v>
      </c>
    </row>
    <row r="897" spans="1:3" x14ac:dyDescent="0.25">
      <c r="A897">
        <f t="shared" si="13"/>
        <v>27</v>
      </c>
      <c r="B897">
        <v>13</v>
      </c>
      <c r="C897" s="1">
        <v>1771360</v>
      </c>
    </row>
    <row r="898" spans="1:3" x14ac:dyDescent="0.25">
      <c r="A898">
        <f t="shared" ref="A898:A961" si="14">INT((ROW()-ROW($A$1))/34)+1</f>
        <v>27</v>
      </c>
      <c r="B898">
        <v>14</v>
      </c>
      <c r="C898" s="1">
        <v>195105</v>
      </c>
    </row>
    <row r="899" spans="1:3" x14ac:dyDescent="0.25">
      <c r="A899">
        <f t="shared" si="14"/>
        <v>27</v>
      </c>
      <c r="B899">
        <v>15</v>
      </c>
      <c r="C899" s="1">
        <v>2675357</v>
      </c>
    </row>
    <row r="900" spans="1:3" x14ac:dyDescent="0.25">
      <c r="A900">
        <f t="shared" si="14"/>
        <v>27</v>
      </c>
      <c r="B900">
        <v>16</v>
      </c>
      <c r="C900" s="1">
        <v>498779</v>
      </c>
    </row>
    <row r="901" spans="1:3" x14ac:dyDescent="0.25">
      <c r="A901">
        <f t="shared" si="14"/>
        <v>27</v>
      </c>
      <c r="B901">
        <v>17</v>
      </c>
      <c r="C901" s="1">
        <v>390570</v>
      </c>
    </row>
    <row r="902" spans="1:3" x14ac:dyDescent="0.25">
      <c r="A902">
        <f t="shared" si="14"/>
        <v>27</v>
      </c>
      <c r="B902">
        <v>18</v>
      </c>
      <c r="C902" s="1">
        <v>605314</v>
      </c>
    </row>
    <row r="903" spans="1:3" x14ac:dyDescent="0.25">
      <c r="A903">
        <f t="shared" si="14"/>
        <v>27</v>
      </c>
      <c r="B903">
        <v>19</v>
      </c>
      <c r="C903" s="1">
        <v>799083</v>
      </c>
    </row>
    <row r="904" spans="1:3" x14ac:dyDescent="0.25">
      <c r="A904">
        <f t="shared" si="14"/>
        <v>27</v>
      </c>
      <c r="B904">
        <v>20</v>
      </c>
      <c r="C904" s="1">
        <v>340711</v>
      </c>
    </row>
    <row r="905" spans="1:3" x14ac:dyDescent="0.25">
      <c r="A905">
        <f t="shared" si="14"/>
        <v>27</v>
      </c>
      <c r="B905">
        <v>21</v>
      </c>
      <c r="C905" s="1">
        <v>273076</v>
      </c>
    </row>
    <row r="906" spans="1:3" x14ac:dyDescent="0.25">
      <c r="A906">
        <f t="shared" si="14"/>
        <v>27</v>
      </c>
      <c r="B906">
        <v>22</v>
      </c>
      <c r="C906" s="1">
        <v>529675</v>
      </c>
    </row>
    <row r="907" spans="1:3" x14ac:dyDescent="0.25">
      <c r="A907">
        <f t="shared" si="14"/>
        <v>27</v>
      </c>
      <c r="B907">
        <v>23</v>
      </c>
      <c r="C907" s="1">
        <v>415739</v>
      </c>
    </row>
    <row r="908" spans="1:3" x14ac:dyDescent="0.25">
      <c r="A908">
        <f t="shared" si="14"/>
        <v>27</v>
      </c>
      <c r="B908">
        <v>24</v>
      </c>
      <c r="C908" s="1">
        <v>43894</v>
      </c>
    </row>
    <row r="909" spans="1:3" x14ac:dyDescent="0.25">
      <c r="A909">
        <f t="shared" si="14"/>
        <v>27</v>
      </c>
      <c r="B909">
        <v>25</v>
      </c>
      <c r="C909" s="1">
        <v>253467</v>
      </c>
    </row>
    <row r="910" spans="1:3" x14ac:dyDescent="0.25">
      <c r="A910">
        <f t="shared" si="14"/>
        <v>27</v>
      </c>
      <c r="B910">
        <v>26</v>
      </c>
      <c r="C910" s="1">
        <v>585594</v>
      </c>
    </row>
    <row r="911" spans="1:3" x14ac:dyDescent="0.25">
      <c r="A911">
        <f t="shared" si="14"/>
        <v>27</v>
      </c>
      <c r="B911">
        <v>27</v>
      </c>
      <c r="C911" s="1">
        <v>8393623</v>
      </c>
    </row>
    <row r="912" spans="1:3" x14ac:dyDescent="0.25">
      <c r="A912">
        <f t="shared" si="14"/>
        <v>27</v>
      </c>
      <c r="B912">
        <v>28</v>
      </c>
      <c r="C912" s="1">
        <v>730843</v>
      </c>
    </row>
    <row r="913" spans="1:3" x14ac:dyDescent="0.25">
      <c r="A913">
        <f t="shared" si="14"/>
        <v>27</v>
      </c>
      <c r="B913">
        <v>29</v>
      </c>
      <c r="C913" s="1">
        <v>129947</v>
      </c>
    </row>
    <row r="914" spans="1:3" x14ac:dyDescent="0.25">
      <c r="A914">
        <f t="shared" si="14"/>
        <v>27</v>
      </c>
      <c r="B914">
        <v>30</v>
      </c>
      <c r="C914" s="1">
        <v>556027</v>
      </c>
    </row>
    <row r="915" spans="1:3" x14ac:dyDescent="0.25">
      <c r="A915">
        <f t="shared" si="14"/>
        <v>27</v>
      </c>
      <c r="B915">
        <v>31</v>
      </c>
      <c r="C915" s="1">
        <v>196021</v>
      </c>
    </row>
    <row r="916" spans="1:3" x14ac:dyDescent="0.25">
      <c r="A916">
        <f t="shared" si="14"/>
        <v>27</v>
      </c>
      <c r="B916">
        <v>32</v>
      </c>
      <c r="C916" s="1">
        <v>119181</v>
      </c>
    </row>
    <row r="917" spans="1:3" x14ac:dyDescent="0.25">
      <c r="A917">
        <f t="shared" si="14"/>
        <v>27</v>
      </c>
      <c r="B917">
        <v>33</v>
      </c>
      <c r="C917" s="1">
        <v>28185.259726502543</v>
      </c>
    </row>
    <row r="918" spans="1:3" x14ac:dyDescent="0.25">
      <c r="A918">
        <f t="shared" si="14"/>
        <v>27</v>
      </c>
      <c r="B918">
        <v>34</v>
      </c>
      <c r="C918" s="1">
        <v>101193.74027349749</v>
      </c>
    </row>
    <row r="919" spans="1:3" x14ac:dyDescent="0.25">
      <c r="A919">
        <f t="shared" si="14"/>
        <v>28</v>
      </c>
      <c r="B919">
        <v>1</v>
      </c>
      <c r="C919" s="1">
        <v>34909</v>
      </c>
    </row>
    <row r="920" spans="1:3" x14ac:dyDescent="0.25">
      <c r="A920">
        <f t="shared" si="14"/>
        <v>28</v>
      </c>
      <c r="B920">
        <v>2</v>
      </c>
      <c r="C920" s="1">
        <v>86095</v>
      </c>
    </row>
    <row r="921" spans="1:3" x14ac:dyDescent="0.25">
      <c r="A921">
        <f t="shared" si="14"/>
        <v>28</v>
      </c>
      <c r="B921">
        <v>3</v>
      </c>
      <c r="C921" s="1">
        <v>36228</v>
      </c>
    </row>
    <row r="922" spans="1:3" x14ac:dyDescent="0.25">
      <c r="A922">
        <f t="shared" si="14"/>
        <v>28</v>
      </c>
      <c r="B922">
        <v>4</v>
      </c>
      <c r="C922" s="1">
        <v>44586</v>
      </c>
    </row>
    <row r="923" spans="1:3" x14ac:dyDescent="0.25">
      <c r="A923">
        <f t="shared" si="14"/>
        <v>28</v>
      </c>
      <c r="B923">
        <v>5</v>
      </c>
      <c r="C923" s="1">
        <v>25583</v>
      </c>
    </row>
    <row r="924" spans="1:3" x14ac:dyDescent="0.25">
      <c r="A924">
        <f t="shared" si="14"/>
        <v>28</v>
      </c>
      <c r="B924">
        <v>6</v>
      </c>
      <c r="C924" s="1">
        <v>63218</v>
      </c>
    </row>
    <row r="925" spans="1:3" x14ac:dyDescent="0.25">
      <c r="A925">
        <f t="shared" si="14"/>
        <v>28</v>
      </c>
      <c r="B925">
        <v>7</v>
      </c>
      <c r="C925" s="1">
        <v>14214</v>
      </c>
    </row>
    <row r="926" spans="1:3" x14ac:dyDescent="0.25">
      <c r="A926">
        <f t="shared" si="14"/>
        <v>28</v>
      </c>
      <c r="B926">
        <v>8</v>
      </c>
      <c r="C926" s="1">
        <v>62841</v>
      </c>
    </row>
    <row r="927" spans="1:3" x14ac:dyDescent="0.25">
      <c r="A927">
        <f t="shared" si="14"/>
        <v>28</v>
      </c>
      <c r="B927">
        <v>9</v>
      </c>
      <c r="C927" s="1">
        <v>18018</v>
      </c>
    </row>
    <row r="928" spans="1:3" x14ac:dyDescent="0.25">
      <c r="A928">
        <f t="shared" si="14"/>
        <v>28</v>
      </c>
      <c r="B928">
        <v>10</v>
      </c>
      <c r="C928" s="1">
        <v>16832</v>
      </c>
    </row>
    <row r="929" spans="1:3" x14ac:dyDescent="0.25">
      <c r="A929">
        <f t="shared" si="14"/>
        <v>28</v>
      </c>
      <c r="B929">
        <v>11</v>
      </c>
      <c r="C929" s="1">
        <v>86921</v>
      </c>
    </row>
    <row r="930" spans="1:3" x14ac:dyDescent="0.25">
      <c r="A930">
        <f t="shared" si="14"/>
        <v>28</v>
      </c>
      <c r="B930">
        <v>12</v>
      </c>
      <c r="C930" s="1">
        <v>414873</v>
      </c>
    </row>
    <row r="931" spans="1:3" x14ac:dyDescent="0.25">
      <c r="A931">
        <f t="shared" si="14"/>
        <v>28</v>
      </c>
      <c r="B931">
        <v>13</v>
      </c>
      <c r="C931" s="1">
        <v>358457</v>
      </c>
    </row>
    <row r="932" spans="1:3" x14ac:dyDescent="0.25">
      <c r="A932">
        <f t="shared" si="14"/>
        <v>28</v>
      </c>
      <c r="B932">
        <v>14</v>
      </c>
      <c r="C932" s="1">
        <v>39425</v>
      </c>
    </row>
    <row r="933" spans="1:3" x14ac:dyDescent="0.25">
      <c r="A933">
        <f t="shared" si="14"/>
        <v>28</v>
      </c>
      <c r="B933">
        <v>15</v>
      </c>
      <c r="C933" s="1">
        <v>505502</v>
      </c>
    </row>
    <row r="934" spans="1:3" x14ac:dyDescent="0.25">
      <c r="A934">
        <f t="shared" si="14"/>
        <v>28</v>
      </c>
      <c r="B934">
        <v>16</v>
      </c>
      <c r="C934" s="1">
        <v>100186</v>
      </c>
    </row>
    <row r="935" spans="1:3" x14ac:dyDescent="0.25">
      <c r="A935">
        <f t="shared" si="14"/>
        <v>28</v>
      </c>
      <c r="B935">
        <v>17</v>
      </c>
      <c r="C935" s="1">
        <v>69633</v>
      </c>
    </row>
    <row r="936" spans="1:3" x14ac:dyDescent="0.25">
      <c r="A936">
        <f t="shared" si="14"/>
        <v>28</v>
      </c>
      <c r="B936">
        <v>18</v>
      </c>
      <c r="C936" s="1">
        <v>103050</v>
      </c>
    </row>
    <row r="937" spans="1:3" x14ac:dyDescent="0.25">
      <c r="A937">
        <f t="shared" si="14"/>
        <v>28</v>
      </c>
      <c r="B937">
        <v>19</v>
      </c>
      <c r="C937" s="1">
        <v>176815</v>
      </c>
    </row>
    <row r="938" spans="1:3" x14ac:dyDescent="0.25">
      <c r="A938">
        <f t="shared" si="14"/>
        <v>28</v>
      </c>
      <c r="B938">
        <v>20</v>
      </c>
      <c r="C938" s="1">
        <v>62096</v>
      </c>
    </row>
    <row r="939" spans="1:3" x14ac:dyDescent="0.25">
      <c r="A939">
        <f t="shared" si="14"/>
        <v>28</v>
      </c>
      <c r="B939">
        <v>21</v>
      </c>
      <c r="C939" s="1">
        <v>45289</v>
      </c>
    </row>
    <row r="940" spans="1:3" x14ac:dyDescent="0.25">
      <c r="A940">
        <f t="shared" si="14"/>
        <v>28</v>
      </c>
      <c r="B940">
        <v>22</v>
      </c>
      <c r="C940" s="1">
        <v>82760</v>
      </c>
    </row>
    <row r="941" spans="1:3" x14ac:dyDescent="0.25">
      <c r="A941">
        <f t="shared" si="14"/>
        <v>28</v>
      </c>
      <c r="B941">
        <v>23</v>
      </c>
      <c r="C941" s="1">
        <v>68855</v>
      </c>
    </row>
    <row r="942" spans="1:3" x14ac:dyDescent="0.25">
      <c r="A942">
        <f t="shared" si="14"/>
        <v>28</v>
      </c>
      <c r="B942">
        <v>24</v>
      </c>
      <c r="C942" s="1">
        <v>8079</v>
      </c>
    </row>
    <row r="943" spans="1:3" x14ac:dyDescent="0.25">
      <c r="A943">
        <f t="shared" si="14"/>
        <v>28</v>
      </c>
      <c r="B943">
        <v>25</v>
      </c>
      <c r="C943" s="1">
        <v>65740</v>
      </c>
    </row>
    <row r="944" spans="1:3" x14ac:dyDescent="0.25">
      <c r="A944">
        <f t="shared" si="14"/>
        <v>28</v>
      </c>
      <c r="B944">
        <v>26</v>
      </c>
      <c r="C944" s="1">
        <v>125790</v>
      </c>
    </row>
    <row r="945" spans="1:3" x14ac:dyDescent="0.25">
      <c r="A945">
        <f t="shared" si="14"/>
        <v>28</v>
      </c>
      <c r="B945">
        <v>27</v>
      </c>
      <c r="C945" s="1">
        <v>445886</v>
      </c>
    </row>
    <row r="946" spans="1:3" x14ac:dyDescent="0.25">
      <c r="A946">
        <f t="shared" si="14"/>
        <v>28</v>
      </c>
      <c r="B946">
        <v>28</v>
      </c>
      <c r="C946" s="1">
        <v>754306</v>
      </c>
    </row>
    <row r="947" spans="1:3" x14ac:dyDescent="0.25">
      <c r="A947">
        <f t="shared" si="14"/>
        <v>28</v>
      </c>
      <c r="B947">
        <v>29</v>
      </c>
      <c r="C947" s="1">
        <v>32451</v>
      </c>
    </row>
    <row r="948" spans="1:3" x14ac:dyDescent="0.25">
      <c r="A948">
        <f t="shared" si="14"/>
        <v>28</v>
      </c>
      <c r="B948">
        <v>30</v>
      </c>
      <c r="C948" s="1">
        <v>57095</v>
      </c>
    </row>
    <row r="949" spans="1:3" x14ac:dyDescent="0.25">
      <c r="A949">
        <f t="shared" si="14"/>
        <v>28</v>
      </c>
      <c r="B949">
        <v>31</v>
      </c>
      <c r="C949" s="1">
        <v>54691</v>
      </c>
    </row>
    <row r="950" spans="1:3" x14ac:dyDescent="0.25">
      <c r="A950">
        <f t="shared" si="14"/>
        <v>28</v>
      </c>
      <c r="B950">
        <v>32</v>
      </c>
      <c r="C950" s="1">
        <v>33120</v>
      </c>
    </row>
    <row r="951" spans="1:3" x14ac:dyDescent="0.25">
      <c r="A951">
        <f t="shared" si="14"/>
        <v>28</v>
      </c>
      <c r="B951">
        <v>33</v>
      </c>
      <c r="C951" s="1">
        <v>7211.2821050300836</v>
      </c>
    </row>
    <row r="952" spans="1:3" x14ac:dyDescent="0.25">
      <c r="A952">
        <f t="shared" si="14"/>
        <v>28</v>
      </c>
      <c r="B952">
        <v>34</v>
      </c>
      <c r="C952" s="1">
        <v>25890.717894969926</v>
      </c>
    </row>
    <row r="953" spans="1:3" x14ac:dyDescent="0.25">
      <c r="A953">
        <f t="shared" si="14"/>
        <v>29</v>
      </c>
      <c r="B953">
        <v>1</v>
      </c>
      <c r="C953" s="1">
        <v>13314</v>
      </c>
    </row>
    <row r="954" spans="1:3" x14ac:dyDescent="0.25">
      <c r="A954">
        <f t="shared" si="14"/>
        <v>29</v>
      </c>
      <c r="B954">
        <v>2</v>
      </c>
      <c r="C954" s="1">
        <v>29090</v>
      </c>
    </row>
    <row r="955" spans="1:3" x14ac:dyDescent="0.25">
      <c r="A955">
        <f t="shared" si="14"/>
        <v>29</v>
      </c>
      <c r="B955">
        <v>3</v>
      </c>
      <c r="C955" s="1">
        <v>12058</v>
      </c>
    </row>
    <row r="956" spans="1:3" x14ac:dyDescent="0.25">
      <c r="A956">
        <f t="shared" si="14"/>
        <v>29</v>
      </c>
      <c r="B956">
        <v>4</v>
      </c>
      <c r="C956" s="1">
        <v>15703</v>
      </c>
    </row>
    <row r="957" spans="1:3" x14ac:dyDescent="0.25">
      <c r="A957">
        <f t="shared" si="14"/>
        <v>29</v>
      </c>
      <c r="B957">
        <v>5</v>
      </c>
      <c r="C957" s="1">
        <v>9782</v>
      </c>
    </row>
    <row r="958" spans="1:3" x14ac:dyDescent="0.25">
      <c r="A958">
        <f t="shared" si="14"/>
        <v>29</v>
      </c>
      <c r="B958">
        <v>6</v>
      </c>
      <c r="C958" s="1">
        <v>19889</v>
      </c>
    </row>
    <row r="959" spans="1:3" x14ac:dyDescent="0.25">
      <c r="A959">
        <f t="shared" si="14"/>
        <v>29</v>
      </c>
      <c r="B959">
        <v>7</v>
      </c>
      <c r="C959" s="1">
        <v>4632</v>
      </c>
    </row>
    <row r="960" spans="1:3" x14ac:dyDescent="0.25">
      <c r="A960">
        <f t="shared" si="14"/>
        <v>29</v>
      </c>
      <c r="B960">
        <v>8</v>
      </c>
      <c r="C960" s="1">
        <v>18477</v>
      </c>
    </row>
    <row r="961" spans="1:3" x14ac:dyDescent="0.25">
      <c r="A961">
        <f t="shared" si="14"/>
        <v>29</v>
      </c>
      <c r="B961">
        <v>9</v>
      </c>
      <c r="C961" s="1">
        <v>35061</v>
      </c>
    </row>
    <row r="962" spans="1:3" x14ac:dyDescent="0.25">
      <c r="A962">
        <f t="shared" ref="A962:A1025" si="15">INT((ROW()-ROW($A$1))/34)+1</f>
        <v>29</v>
      </c>
      <c r="B962">
        <v>10</v>
      </c>
      <c r="C962" s="1">
        <v>5950</v>
      </c>
    </row>
    <row r="963" spans="1:3" x14ac:dyDescent="0.25">
      <c r="A963">
        <f t="shared" si="15"/>
        <v>29</v>
      </c>
      <c r="B963">
        <v>11</v>
      </c>
      <c r="C963" s="1">
        <v>27790</v>
      </c>
    </row>
    <row r="964" spans="1:3" x14ac:dyDescent="0.25">
      <c r="A964">
        <f t="shared" si="15"/>
        <v>29</v>
      </c>
      <c r="B964">
        <v>12</v>
      </c>
      <c r="C964" s="1">
        <v>124915</v>
      </c>
    </row>
    <row r="965" spans="1:3" x14ac:dyDescent="0.25">
      <c r="A965">
        <f t="shared" si="15"/>
        <v>29</v>
      </c>
      <c r="B965">
        <v>13</v>
      </c>
      <c r="C965" s="1">
        <v>100021</v>
      </c>
    </row>
    <row r="966" spans="1:3" x14ac:dyDescent="0.25">
      <c r="A966">
        <f t="shared" si="15"/>
        <v>29</v>
      </c>
      <c r="B966">
        <v>14</v>
      </c>
      <c r="C966" s="1">
        <v>10850</v>
      </c>
    </row>
    <row r="967" spans="1:3" x14ac:dyDescent="0.25">
      <c r="A967">
        <f t="shared" si="15"/>
        <v>29</v>
      </c>
      <c r="B967">
        <v>15</v>
      </c>
      <c r="C967" s="1">
        <v>137101</v>
      </c>
    </row>
    <row r="968" spans="1:3" x14ac:dyDescent="0.25">
      <c r="A968">
        <f t="shared" si="15"/>
        <v>29</v>
      </c>
      <c r="B968">
        <v>16</v>
      </c>
      <c r="C968" s="1">
        <v>32589</v>
      </c>
    </row>
    <row r="969" spans="1:3" x14ac:dyDescent="0.25">
      <c r="A969">
        <f t="shared" si="15"/>
        <v>29</v>
      </c>
      <c r="B969">
        <v>17</v>
      </c>
      <c r="C969" s="1">
        <v>16864</v>
      </c>
    </row>
    <row r="970" spans="1:3" x14ac:dyDescent="0.25">
      <c r="A970">
        <f t="shared" si="15"/>
        <v>29</v>
      </c>
      <c r="B970">
        <v>18</v>
      </c>
      <c r="C970" s="1">
        <v>23379</v>
      </c>
    </row>
    <row r="971" spans="1:3" x14ac:dyDescent="0.25">
      <c r="A971">
        <f t="shared" si="15"/>
        <v>29</v>
      </c>
      <c r="B971">
        <v>19</v>
      </c>
      <c r="C971" s="1">
        <v>35595</v>
      </c>
    </row>
    <row r="972" spans="1:3" x14ac:dyDescent="0.25">
      <c r="A972">
        <f t="shared" si="15"/>
        <v>29</v>
      </c>
      <c r="B972">
        <v>20</v>
      </c>
      <c r="C972" s="1">
        <v>22818</v>
      </c>
    </row>
    <row r="973" spans="1:3" x14ac:dyDescent="0.25">
      <c r="A973">
        <f t="shared" si="15"/>
        <v>29</v>
      </c>
      <c r="B973">
        <v>21</v>
      </c>
      <c r="C973" s="1">
        <v>15811</v>
      </c>
    </row>
    <row r="974" spans="1:3" x14ac:dyDescent="0.25">
      <c r="A974">
        <f t="shared" si="15"/>
        <v>29</v>
      </c>
      <c r="B974">
        <v>22</v>
      </c>
      <c r="C974" s="1">
        <v>25499</v>
      </c>
    </row>
    <row r="975" spans="1:3" x14ac:dyDescent="0.25">
      <c r="A975">
        <f t="shared" si="15"/>
        <v>29</v>
      </c>
      <c r="B975">
        <v>23</v>
      </c>
      <c r="C975" s="1">
        <v>30600</v>
      </c>
    </row>
    <row r="976" spans="1:3" x14ac:dyDescent="0.25">
      <c r="A976">
        <f t="shared" si="15"/>
        <v>29</v>
      </c>
      <c r="B976">
        <v>24</v>
      </c>
      <c r="C976" s="1">
        <v>4494</v>
      </c>
    </row>
    <row r="977" spans="1:3" x14ac:dyDescent="0.25">
      <c r="A977">
        <f t="shared" si="15"/>
        <v>29</v>
      </c>
      <c r="B977">
        <v>25</v>
      </c>
      <c r="C977" s="1">
        <v>75899</v>
      </c>
    </row>
    <row r="978" spans="1:3" x14ac:dyDescent="0.25">
      <c r="A978">
        <f t="shared" si="15"/>
        <v>29</v>
      </c>
      <c r="B978">
        <v>26</v>
      </c>
      <c r="C978" s="1">
        <v>76424</v>
      </c>
    </row>
    <row r="979" spans="1:3" x14ac:dyDescent="0.25">
      <c r="A979">
        <f t="shared" si="15"/>
        <v>29</v>
      </c>
      <c r="B979">
        <v>27</v>
      </c>
      <c r="C979" s="1">
        <v>74138</v>
      </c>
    </row>
    <row r="980" spans="1:3" x14ac:dyDescent="0.25">
      <c r="A980">
        <f t="shared" si="15"/>
        <v>29</v>
      </c>
      <c r="B980">
        <v>28</v>
      </c>
      <c r="C980" s="1">
        <v>30164</v>
      </c>
    </row>
    <row r="981" spans="1:3" x14ac:dyDescent="0.25">
      <c r="A981">
        <f t="shared" si="15"/>
        <v>29</v>
      </c>
      <c r="B981">
        <v>29</v>
      </c>
      <c r="C981" s="1">
        <v>260587</v>
      </c>
    </row>
    <row r="982" spans="1:3" x14ac:dyDescent="0.25">
      <c r="A982">
        <f t="shared" si="15"/>
        <v>29</v>
      </c>
      <c r="B982">
        <v>30</v>
      </c>
      <c r="C982" s="1">
        <v>15305</v>
      </c>
    </row>
    <row r="983" spans="1:3" x14ac:dyDescent="0.25">
      <c r="A983">
        <f t="shared" si="15"/>
        <v>29</v>
      </c>
      <c r="B983">
        <v>31</v>
      </c>
      <c r="C983" s="1">
        <v>19629</v>
      </c>
    </row>
    <row r="984" spans="1:3" x14ac:dyDescent="0.25">
      <c r="A984">
        <f t="shared" si="15"/>
        <v>29</v>
      </c>
      <c r="B984">
        <v>32</v>
      </c>
      <c r="C984" s="1">
        <v>16652</v>
      </c>
    </row>
    <row r="985" spans="1:3" x14ac:dyDescent="0.25">
      <c r="A985">
        <f t="shared" si="15"/>
        <v>29</v>
      </c>
      <c r="B985">
        <v>33</v>
      </c>
      <c r="C985" s="1">
        <v>2569.980514562259</v>
      </c>
    </row>
    <row r="986" spans="1:3" x14ac:dyDescent="0.25">
      <c r="A986">
        <f t="shared" si="15"/>
        <v>29</v>
      </c>
      <c r="B986">
        <v>34</v>
      </c>
      <c r="C986" s="1">
        <v>9227.0194854377442</v>
      </c>
    </row>
    <row r="987" spans="1:3" x14ac:dyDescent="0.25">
      <c r="A987">
        <f t="shared" si="15"/>
        <v>30</v>
      </c>
      <c r="B987">
        <v>1</v>
      </c>
      <c r="C987" s="1">
        <v>14865</v>
      </c>
    </row>
    <row r="988" spans="1:3" x14ac:dyDescent="0.25">
      <c r="A988">
        <f t="shared" si="15"/>
        <v>30</v>
      </c>
      <c r="B988">
        <v>2</v>
      </c>
      <c r="C988" s="1">
        <v>32830</v>
      </c>
    </row>
    <row r="989" spans="1:3" x14ac:dyDescent="0.25">
      <c r="A989">
        <f t="shared" si="15"/>
        <v>30</v>
      </c>
      <c r="B989">
        <v>3</v>
      </c>
      <c r="C989" s="1">
        <v>14455</v>
      </c>
    </row>
    <row r="990" spans="1:3" x14ac:dyDescent="0.25">
      <c r="A990">
        <f t="shared" si="15"/>
        <v>30</v>
      </c>
      <c r="B990">
        <v>4</v>
      </c>
      <c r="C990" s="1">
        <v>17514</v>
      </c>
    </row>
    <row r="991" spans="1:3" x14ac:dyDescent="0.25">
      <c r="A991">
        <f t="shared" si="15"/>
        <v>30</v>
      </c>
      <c r="B991">
        <v>5</v>
      </c>
      <c r="C991" s="1">
        <v>10125</v>
      </c>
    </row>
    <row r="992" spans="1:3" x14ac:dyDescent="0.25">
      <c r="A992">
        <f t="shared" si="15"/>
        <v>30</v>
      </c>
      <c r="B992">
        <v>6</v>
      </c>
      <c r="C992" s="1">
        <v>25006</v>
      </c>
    </row>
    <row r="993" spans="1:3" x14ac:dyDescent="0.25">
      <c r="A993">
        <f t="shared" si="15"/>
        <v>30</v>
      </c>
      <c r="B993">
        <v>7</v>
      </c>
      <c r="C993" s="1">
        <v>5918</v>
      </c>
    </row>
    <row r="994" spans="1:3" x14ac:dyDescent="0.25">
      <c r="A994">
        <f t="shared" si="15"/>
        <v>30</v>
      </c>
      <c r="B994">
        <v>8</v>
      </c>
      <c r="C994" s="1">
        <v>23530</v>
      </c>
    </row>
    <row r="995" spans="1:3" x14ac:dyDescent="0.25">
      <c r="A995">
        <f t="shared" si="15"/>
        <v>30</v>
      </c>
      <c r="B995">
        <v>9</v>
      </c>
      <c r="C995" s="1">
        <v>8997</v>
      </c>
    </row>
    <row r="996" spans="1:3" x14ac:dyDescent="0.25">
      <c r="A996">
        <f t="shared" si="15"/>
        <v>30</v>
      </c>
      <c r="B996">
        <v>10</v>
      </c>
      <c r="C996" s="1">
        <v>7165</v>
      </c>
    </row>
    <row r="997" spans="1:3" x14ac:dyDescent="0.25">
      <c r="A997">
        <f t="shared" si="15"/>
        <v>30</v>
      </c>
      <c r="B997">
        <v>11</v>
      </c>
      <c r="C997" s="1">
        <v>30342</v>
      </c>
    </row>
    <row r="998" spans="1:3" x14ac:dyDescent="0.25">
      <c r="A998">
        <f t="shared" si="15"/>
        <v>30</v>
      </c>
      <c r="B998">
        <v>12</v>
      </c>
      <c r="C998" s="1">
        <v>155710</v>
      </c>
    </row>
    <row r="999" spans="1:3" x14ac:dyDescent="0.25">
      <c r="A999">
        <f t="shared" si="15"/>
        <v>30</v>
      </c>
      <c r="B999">
        <v>13</v>
      </c>
      <c r="C999" s="1">
        <v>135169</v>
      </c>
    </row>
    <row r="1000" spans="1:3" x14ac:dyDescent="0.25">
      <c r="A1000">
        <f t="shared" si="15"/>
        <v>30</v>
      </c>
      <c r="B1000">
        <v>14</v>
      </c>
      <c r="C1000" s="1">
        <v>14671</v>
      </c>
    </row>
    <row r="1001" spans="1:3" x14ac:dyDescent="0.25">
      <c r="A1001">
        <f t="shared" si="15"/>
        <v>30</v>
      </c>
      <c r="B1001">
        <v>15</v>
      </c>
      <c r="C1001" s="1">
        <v>186004</v>
      </c>
    </row>
    <row r="1002" spans="1:3" x14ac:dyDescent="0.25">
      <c r="A1002">
        <f t="shared" si="15"/>
        <v>30</v>
      </c>
      <c r="B1002">
        <v>16</v>
      </c>
      <c r="C1002" s="1">
        <v>29592</v>
      </c>
    </row>
    <row r="1003" spans="1:3" x14ac:dyDescent="0.25">
      <c r="A1003">
        <f t="shared" si="15"/>
        <v>30</v>
      </c>
      <c r="B1003">
        <v>17</v>
      </c>
      <c r="C1003" s="1">
        <v>26438</v>
      </c>
    </row>
    <row r="1004" spans="1:3" x14ac:dyDescent="0.25">
      <c r="A1004">
        <f t="shared" si="15"/>
        <v>30</v>
      </c>
      <c r="B1004">
        <v>18</v>
      </c>
      <c r="C1004" s="1">
        <v>37693</v>
      </c>
    </row>
    <row r="1005" spans="1:3" x14ac:dyDescent="0.25">
      <c r="A1005">
        <f t="shared" si="15"/>
        <v>30</v>
      </c>
      <c r="B1005">
        <v>19</v>
      </c>
      <c r="C1005" s="1">
        <v>49083</v>
      </c>
    </row>
    <row r="1006" spans="1:3" x14ac:dyDescent="0.25">
      <c r="A1006">
        <f t="shared" si="15"/>
        <v>30</v>
      </c>
      <c r="B1006">
        <v>20</v>
      </c>
      <c r="C1006" s="1">
        <v>29015</v>
      </c>
    </row>
    <row r="1007" spans="1:3" x14ac:dyDescent="0.25">
      <c r="A1007">
        <f t="shared" si="15"/>
        <v>30</v>
      </c>
      <c r="B1007">
        <v>21</v>
      </c>
      <c r="C1007" s="1">
        <v>25162</v>
      </c>
    </row>
    <row r="1008" spans="1:3" x14ac:dyDescent="0.25">
      <c r="A1008">
        <f t="shared" si="15"/>
        <v>30</v>
      </c>
      <c r="B1008">
        <v>22</v>
      </c>
      <c r="C1008" s="1">
        <v>46085</v>
      </c>
    </row>
    <row r="1009" spans="1:3" x14ac:dyDescent="0.25">
      <c r="A1009">
        <f t="shared" si="15"/>
        <v>30</v>
      </c>
      <c r="B1009">
        <v>23</v>
      </c>
      <c r="C1009" s="1">
        <v>43441</v>
      </c>
    </row>
    <row r="1010" spans="1:3" x14ac:dyDescent="0.25">
      <c r="A1010">
        <f t="shared" si="15"/>
        <v>30</v>
      </c>
      <c r="B1010">
        <v>24</v>
      </c>
      <c r="C1010" s="1">
        <v>4373</v>
      </c>
    </row>
    <row r="1011" spans="1:3" x14ac:dyDescent="0.25">
      <c r="A1011">
        <f t="shared" si="15"/>
        <v>30</v>
      </c>
      <c r="B1011">
        <v>25</v>
      </c>
      <c r="C1011" s="1">
        <v>23469</v>
      </c>
    </row>
    <row r="1012" spans="1:3" x14ac:dyDescent="0.25">
      <c r="A1012">
        <f t="shared" si="15"/>
        <v>30</v>
      </c>
      <c r="B1012">
        <v>26</v>
      </c>
      <c r="C1012" s="1">
        <v>63786</v>
      </c>
    </row>
    <row r="1013" spans="1:3" x14ac:dyDescent="0.25">
      <c r="A1013">
        <f t="shared" si="15"/>
        <v>30</v>
      </c>
      <c r="B1013">
        <v>27</v>
      </c>
      <c r="C1013" s="1">
        <v>243094</v>
      </c>
    </row>
    <row r="1014" spans="1:3" x14ac:dyDescent="0.25">
      <c r="A1014">
        <f t="shared" si="15"/>
        <v>30</v>
      </c>
      <c r="B1014">
        <v>28</v>
      </c>
      <c r="C1014" s="1">
        <v>42796</v>
      </c>
    </row>
    <row r="1015" spans="1:3" x14ac:dyDescent="0.25">
      <c r="A1015">
        <f t="shared" si="15"/>
        <v>30</v>
      </c>
      <c r="B1015">
        <v>29</v>
      </c>
      <c r="C1015" s="1">
        <v>14161</v>
      </c>
    </row>
    <row r="1016" spans="1:3" x14ac:dyDescent="0.25">
      <c r="A1016">
        <f t="shared" si="15"/>
        <v>30</v>
      </c>
      <c r="B1016">
        <v>30</v>
      </c>
      <c r="C1016" s="1">
        <v>170506</v>
      </c>
    </row>
    <row r="1017" spans="1:3" x14ac:dyDescent="0.25">
      <c r="A1017">
        <f t="shared" si="15"/>
        <v>30</v>
      </c>
      <c r="B1017">
        <v>31</v>
      </c>
      <c r="C1017" s="1">
        <v>19598</v>
      </c>
    </row>
    <row r="1018" spans="1:3" x14ac:dyDescent="0.25">
      <c r="A1018">
        <f t="shared" si="15"/>
        <v>30</v>
      </c>
      <c r="B1018">
        <v>32</v>
      </c>
      <c r="C1018" s="1">
        <v>11702</v>
      </c>
    </row>
    <row r="1019" spans="1:3" x14ac:dyDescent="0.25">
      <c r="A1019">
        <f t="shared" si="15"/>
        <v>30</v>
      </c>
      <c r="B1019">
        <v>33</v>
      </c>
      <c r="C1019" s="1">
        <v>3055.3510822018889</v>
      </c>
    </row>
    <row r="1020" spans="1:3" x14ac:dyDescent="0.25">
      <c r="A1020">
        <f t="shared" si="15"/>
        <v>30</v>
      </c>
      <c r="B1020">
        <v>34</v>
      </c>
      <c r="C1020" s="1">
        <v>10969.648917798115</v>
      </c>
    </row>
    <row r="1021" spans="1:3" x14ac:dyDescent="0.25">
      <c r="A1021">
        <f t="shared" si="15"/>
        <v>31</v>
      </c>
      <c r="B1021">
        <v>1</v>
      </c>
      <c r="C1021" s="1">
        <v>25870</v>
      </c>
    </row>
    <row r="1022" spans="1:3" x14ac:dyDescent="0.25">
      <c r="A1022">
        <f t="shared" si="15"/>
        <v>31</v>
      </c>
      <c r="B1022">
        <v>2</v>
      </c>
      <c r="C1022" s="1">
        <v>73313</v>
      </c>
    </row>
    <row r="1023" spans="1:3" x14ac:dyDescent="0.25">
      <c r="A1023">
        <f t="shared" si="15"/>
        <v>31</v>
      </c>
      <c r="B1023">
        <v>3</v>
      </c>
      <c r="C1023" s="1">
        <v>29755</v>
      </c>
    </row>
    <row r="1024" spans="1:3" x14ac:dyDescent="0.25">
      <c r="A1024">
        <f t="shared" si="15"/>
        <v>31</v>
      </c>
      <c r="B1024">
        <v>4</v>
      </c>
      <c r="C1024" s="1">
        <v>37620</v>
      </c>
    </row>
    <row r="1025" spans="1:3" x14ac:dyDescent="0.25">
      <c r="A1025">
        <f t="shared" si="15"/>
        <v>31</v>
      </c>
      <c r="B1025">
        <v>5</v>
      </c>
      <c r="C1025" s="1">
        <v>22520</v>
      </c>
    </row>
    <row r="1026" spans="1:3" x14ac:dyDescent="0.25">
      <c r="A1026">
        <f t="shared" ref="A1026:A1089" si="16">INT((ROW()-ROW($A$1))/34)+1</f>
        <v>31</v>
      </c>
      <c r="B1026">
        <v>6</v>
      </c>
      <c r="C1026" s="1">
        <v>51885</v>
      </c>
    </row>
    <row r="1027" spans="1:3" x14ac:dyDescent="0.25">
      <c r="A1027">
        <f t="shared" si="16"/>
        <v>31</v>
      </c>
      <c r="B1027">
        <v>7</v>
      </c>
      <c r="C1027" s="1">
        <v>11409</v>
      </c>
    </row>
    <row r="1028" spans="1:3" x14ac:dyDescent="0.25">
      <c r="A1028">
        <f t="shared" si="16"/>
        <v>31</v>
      </c>
      <c r="B1028">
        <v>8</v>
      </c>
      <c r="C1028" s="1">
        <v>53505</v>
      </c>
    </row>
    <row r="1029" spans="1:3" x14ac:dyDescent="0.25">
      <c r="A1029">
        <f t="shared" si="16"/>
        <v>31</v>
      </c>
      <c r="B1029">
        <v>9</v>
      </c>
      <c r="C1029" s="1">
        <v>10802</v>
      </c>
    </row>
    <row r="1030" spans="1:3" x14ac:dyDescent="0.25">
      <c r="A1030">
        <f t="shared" si="16"/>
        <v>31</v>
      </c>
      <c r="B1030">
        <v>10</v>
      </c>
      <c r="C1030" s="1">
        <v>12623</v>
      </c>
    </row>
    <row r="1031" spans="1:3" x14ac:dyDescent="0.25">
      <c r="A1031">
        <f t="shared" si="16"/>
        <v>31</v>
      </c>
      <c r="B1031">
        <v>11</v>
      </c>
      <c r="C1031" s="1">
        <v>75881</v>
      </c>
    </row>
    <row r="1032" spans="1:3" x14ac:dyDescent="0.25">
      <c r="A1032">
        <f t="shared" si="16"/>
        <v>31</v>
      </c>
      <c r="B1032">
        <v>12</v>
      </c>
      <c r="C1032" s="1">
        <v>345658</v>
      </c>
    </row>
    <row r="1033" spans="1:3" x14ac:dyDescent="0.25">
      <c r="A1033">
        <f t="shared" si="16"/>
        <v>31</v>
      </c>
      <c r="B1033">
        <v>13</v>
      </c>
      <c r="C1033" s="1">
        <v>279848</v>
      </c>
    </row>
    <row r="1034" spans="1:3" x14ac:dyDescent="0.25">
      <c r="A1034">
        <f t="shared" si="16"/>
        <v>31</v>
      </c>
      <c r="B1034">
        <v>14</v>
      </c>
      <c r="C1034" s="1">
        <v>30561</v>
      </c>
    </row>
    <row r="1035" spans="1:3" x14ac:dyDescent="0.25">
      <c r="A1035">
        <f t="shared" si="16"/>
        <v>31</v>
      </c>
      <c r="B1035">
        <v>15</v>
      </c>
      <c r="C1035" s="1">
        <v>375608</v>
      </c>
    </row>
    <row r="1036" spans="1:3" x14ac:dyDescent="0.25">
      <c r="A1036">
        <f t="shared" si="16"/>
        <v>31</v>
      </c>
      <c r="B1036">
        <v>16</v>
      </c>
      <c r="C1036" s="1">
        <v>86603</v>
      </c>
    </row>
    <row r="1037" spans="1:3" x14ac:dyDescent="0.25">
      <c r="A1037">
        <f t="shared" si="16"/>
        <v>31</v>
      </c>
      <c r="B1037">
        <v>17</v>
      </c>
      <c r="C1037" s="1">
        <v>45521</v>
      </c>
    </row>
    <row r="1038" spans="1:3" x14ac:dyDescent="0.25">
      <c r="A1038">
        <f t="shared" si="16"/>
        <v>31</v>
      </c>
      <c r="B1038">
        <v>18</v>
      </c>
      <c r="C1038" s="1">
        <v>60427</v>
      </c>
    </row>
    <row r="1039" spans="1:3" x14ac:dyDescent="0.25">
      <c r="A1039">
        <f t="shared" si="16"/>
        <v>31</v>
      </c>
      <c r="B1039">
        <v>19</v>
      </c>
      <c r="C1039" s="1">
        <v>109807</v>
      </c>
    </row>
    <row r="1040" spans="1:3" x14ac:dyDescent="0.25">
      <c r="A1040">
        <f t="shared" si="16"/>
        <v>31</v>
      </c>
      <c r="B1040">
        <v>20</v>
      </c>
      <c r="C1040" s="1">
        <v>40883</v>
      </c>
    </row>
    <row r="1041" spans="1:3" x14ac:dyDescent="0.25">
      <c r="A1041">
        <f t="shared" si="16"/>
        <v>31</v>
      </c>
      <c r="B1041">
        <v>21</v>
      </c>
      <c r="C1041" s="1">
        <v>26469</v>
      </c>
    </row>
    <row r="1042" spans="1:3" x14ac:dyDescent="0.25">
      <c r="A1042">
        <f t="shared" si="16"/>
        <v>31</v>
      </c>
      <c r="B1042">
        <v>22</v>
      </c>
      <c r="C1042" s="1">
        <v>45579</v>
      </c>
    </row>
    <row r="1043" spans="1:3" x14ac:dyDescent="0.25">
      <c r="A1043">
        <f t="shared" si="16"/>
        <v>31</v>
      </c>
      <c r="B1043">
        <v>23</v>
      </c>
      <c r="C1043" s="1">
        <v>37126</v>
      </c>
    </row>
    <row r="1044" spans="1:3" x14ac:dyDescent="0.25">
      <c r="A1044">
        <f t="shared" si="16"/>
        <v>31</v>
      </c>
      <c r="B1044">
        <v>24</v>
      </c>
      <c r="C1044" s="1">
        <v>4842</v>
      </c>
    </row>
    <row r="1045" spans="1:3" x14ac:dyDescent="0.25">
      <c r="A1045">
        <f t="shared" si="16"/>
        <v>31</v>
      </c>
      <c r="B1045">
        <v>25</v>
      </c>
      <c r="C1045" s="1">
        <v>54374</v>
      </c>
    </row>
    <row r="1046" spans="1:3" x14ac:dyDescent="0.25">
      <c r="A1046">
        <f t="shared" si="16"/>
        <v>31</v>
      </c>
      <c r="B1046">
        <v>26</v>
      </c>
      <c r="C1046" s="1">
        <v>52522</v>
      </c>
    </row>
    <row r="1047" spans="1:3" x14ac:dyDescent="0.25">
      <c r="A1047">
        <f t="shared" si="16"/>
        <v>31</v>
      </c>
      <c r="B1047">
        <v>27</v>
      </c>
      <c r="C1047" s="1">
        <v>137677</v>
      </c>
    </row>
    <row r="1048" spans="1:3" x14ac:dyDescent="0.25">
      <c r="A1048">
        <f t="shared" si="16"/>
        <v>31</v>
      </c>
      <c r="B1048">
        <v>28</v>
      </c>
      <c r="C1048" s="1">
        <v>59678</v>
      </c>
    </row>
    <row r="1049" spans="1:3" x14ac:dyDescent="0.25">
      <c r="A1049">
        <f t="shared" si="16"/>
        <v>31</v>
      </c>
      <c r="B1049">
        <v>29</v>
      </c>
      <c r="C1049" s="1">
        <v>19945</v>
      </c>
    </row>
    <row r="1050" spans="1:3" x14ac:dyDescent="0.25">
      <c r="A1050">
        <f t="shared" si="16"/>
        <v>31</v>
      </c>
      <c r="B1050">
        <v>30</v>
      </c>
      <c r="C1050" s="1">
        <v>24392</v>
      </c>
    </row>
    <row r="1051" spans="1:3" x14ac:dyDescent="0.25">
      <c r="A1051">
        <f t="shared" si="16"/>
        <v>31</v>
      </c>
      <c r="B1051">
        <v>31</v>
      </c>
      <c r="C1051" s="1">
        <v>180424</v>
      </c>
    </row>
    <row r="1052" spans="1:3" x14ac:dyDescent="0.25">
      <c r="A1052">
        <f t="shared" si="16"/>
        <v>31</v>
      </c>
      <c r="B1052">
        <v>32</v>
      </c>
      <c r="C1052" s="1">
        <v>41816</v>
      </c>
    </row>
    <row r="1053" spans="1:3" x14ac:dyDescent="0.25">
      <c r="A1053">
        <f t="shared" si="16"/>
        <v>31</v>
      </c>
      <c r="B1053">
        <v>33</v>
      </c>
      <c r="C1053" s="1">
        <v>9431.1771159133095</v>
      </c>
    </row>
    <row r="1054" spans="1:3" x14ac:dyDescent="0.25">
      <c r="A1054">
        <f t="shared" si="16"/>
        <v>31</v>
      </c>
      <c r="B1054">
        <v>34</v>
      </c>
      <c r="C1054" s="1">
        <v>33860.822884086701</v>
      </c>
    </row>
    <row r="1055" spans="1:3" x14ac:dyDescent="0.25">
      <c r="A1055">
        <f t="shared" si="16"/>
        <v>32</v>
      </c>
      <c r="B1055">
        <v>1</v>
      </c>
      <c r="C1055" s="1">
        <v>9185</v>
      </c>
    </row>
    <row r="1056" spans="1:3" x14ac:dyDescent="0.25">
      <c r="A1056">
        <f t="shared" si="16"/>
        <v>32</v>
      </c>
      <c r="B1056">
        <v>2</v>
      </c>
      <c r="C1056" s="1">
        <v>24232</v>
      </c>
    </row>
    <row r="1057" spans="1:3" x14ac:dyDescent="0.25">
      <c r="A1057">
        <f t="shared" si="16"/>
        <v>32</v>
      </c>
      <c r="B1057">
        <v>3</v>
      </c>
      <c r="C1057" s="1">
        <v>9823</v>
      </c>
    </row>
    <row r="1058" spans="1:3" x14ac:dyDescent="0.25">
      <c r="A1058">
        <f t="shared" si="16"/>
        <v>32</v>
      </c>
      <c r="B1058">
        <v>4</v>
      </c>
      <c r="C1058" s="1">
        <v>12764</v>
      </c>
    </row>
    <row r="1059" spans="1:3" x14ac:dyDescent="0.25">
      <c r="A1059">
        <f t="shared" si="16"/>
        <v>32</v>
      </c>
      <c r="B1059">
        <v>5</v>
      </c>
      <c r="C1059" s="1">
        <v>7975</v>
      </c>
    </row>
    <row r="1060" spans="1:3" x14ac:dyDescent="0.25">
      <c r="A1060">
        <f t="shared" si="16"/>
        <v>32</v>
      </c>
      <c r="B1060">
        <v>6</v>
      </c>
      <c r="C1060" s="1">
        <v>16832</v>
      </c>
    </row>
    <row r="1061" spans="1:3" x14ac:dyDescent="0.25">
      <c r="A1061">
        <f t="shared" si="16"/>
        <v>32</v>
      </c>
      <c r="B1061">
        <v>7</v>
      </c>
      <c r="C1061" s="1">
        <v>3745</v>
      </c>
    </row>
    <row r="1062" spans="1:3" x14ac:dyDescent="0.25">
      <c r="A1062">
        <f t="shared" si="16"/>
        <v>32</v>
      </c>
      <c r="B1062">
        <v>8</v>
      </c>
      <c r="C1062" s="1">
        <v>16810</v>
      </c>
    </row>
    <row r="1063" spans="1:3" x14ac:dyDescent="0.25">
      <c r="A1063">
        <f t="shared" si="16"/>
        <v>32</v>
      </c>
      <c r="B1063">
        <v>9</v>
      </c>
      <c r="C1063" s="1">
        <v>4033</v>
      </c>
    </row>
    <row r="1064" spans="1:3" x14ac:dyDescent="0.25">
      <c r="A1064">
        <f t="shared" si="16"/>
        <v>32</v>
      </c>
      <c r="B1064">
        <v>10</v>
      </c>
      <c r="C1064" s="1">
        <v>4331</v>
      </c>
    </row>
    <row r="1065" spans="1:3" x14ac:dyDescent="0.25">
      <c r="A1065">
        <f t="shared" si="16"/>
        <v>32</v>
      </c>
      <c r="B1065">
        <v>11</v>
      </c>
      <c r="C1065" s="1">
        <v>24841</v>
      </c>
    </row>
    <row r="1066" spans="1:3" x14ac:dyDescent="0.25">
      <c r="A1066">
        <f t="shared" si="16"/>
        <v>32</v>
      </c>
      <c r="B1066">
        <v>12</v>
      </c>
      <c r="C1066" s="1">
        <v>110501</v>
      </c>
    </row>
    <row r="1067" spans="1:3" x14ac:dyDescent="0.25">
      <c r="A1067">
        <f t="shared" si="16"/>
        <v>32</v>
      </c>
      <c r="B1067">
        <v>13</v>
      </c>
      <c r="C1067" s="1">
        <v>87533</v>
      </c>
    </row>
    <row r="1068" spans="1:3" x14ac:dyDescent="0.25">
      <c r="A1068">
        <f t="shared" si="16"/>
        <v>32</v>
      </c>
      <c r="B1068">
        <v>14</v>
      </c>
      <c r="C1068" s="1">
        <v>9467</v>
      </c>
    </row>
    <row r="1069" spans="1:3" x14ac:dyDescent="0.25">
      <c r="A1069">
        <f t="shared" si="16"/>
        <v>32</v>
      </c>
      <c r="B1069">
        <v>15</v>
      </c>
      <c r="C1069" s="1">
        <v>117864</v>
      </c>
    </row>
    <row r="1070" spans="1:3" x14ac:dyDescent="0.25">
      <c r="A1070">
        <f t="shared" si="16"/>
        <v>32</v>
      </c>
      <c r="B1070">
        <v>16</v>
      </c>
      <c r="C1070" s="1">
        <v>28543</v>
      </c>
    </row>
    <row r="1071" spans="1:3" x14ac:dyDescent="0.25">
      <c r="A1071">
        <f t="shared" si="16"/>
        <v>32</v>
      </c>
      <c r="B1071">
        <v>17</v>
      </c>
      <c r="C1071" s="1">
        <v>13772</v>
      </c>
    </row>
    <row r="1072" spans="1:3" x14ac:dyDescent="0.25">
      <c r="A1072">
        <f t="shared" si="16"/>
        <v>32</v>
      </c>
      <c r="B1072">
        <v>18</v>
      </c>
      <c r="C1072" s="1">
        <v>18116</v>
      </c>
    </row>
    <row r="1073" spans="1:3" x14ac:dyDescent="0.25">
      <c r="A1073">
        <f t="shared" si="16"/>
        <v>32</v>
      </c>
      <c r="B1073">
        <v>19</v>
      </c>
      <c r="C1073" s="1">
        <v>26963</v>
      </c>
    </row>
    <row r="1074" spans="1:3" x14ac:dyDescent="0.25">
      <c r="A1074">
        <f t="shared" si="16"/>
        <v>32</v>
      </c>
      <c r="B1074">
        <v>20</v>
      </c>
      <c r="C1074" s="1">
        <v>14669</v>
      </c>
    </row>
    <row r="1075" spans="1:3" x14ac:dyDescent="0.25">
      <c r="A1075">
        <f t="shared" si="16"/>
        <v>32</v>
      </c>
      <c r="B1075">
        <v>21</v>
      </c>
      <c r="C1075" s="1">
        <v>9857</v>
      </c>
    </row>
    <row r="1076" spans="1:3" x14ac:dyDescent="0.25">
      <c r="A1076">
        <f t="shared" si="16"/>
        <v>32</v>
      </c>
      <c r="B1076">
        <v>22</v>
      </c>
      <c r="C1076" s="1">
        <v>16009</v>
      </c>
    </row>
    <row r="1077" spans="1:3" x14ac:dyDescent="0.25">
      <c r="A1077">
        <f t="shared" si="16"/>
        <v>32</v>
      </c>
      <c r="B1077">
        <v>23</v>
      </c>
      <c r="C1077" s="1">
        <v>14878</v>
      </c>
    </row>
    <row r="1078" spans="1:3" x14ac:dyDescent="0.25">
      <c r="A1078">
        <f t="shared" si="16"/>
        <v>32</v>
      </c>
      <c r="B1078">
        <v>24</v>
      </c>
      <c r="C1078" s="1">
        <v>2093</v>
      </c>
    </row>
    <row r="1079" spans="1:3" x14ac:dyDescent="0.25">
      <c r="A1079">
        <f t="shared" si="16"/>
        <v>32</v>
      </c>
      <c r="B1079">
        <v>25</v>
      </c>
      <c r="C1079" s="1">
        <v>37630</v>
      </c>
    </row>
    <row r="1080" spans="1:3" x14ac:dyDescent="0.25">
      <c r="A1080">
        <f t="shared" si="16"/>
        <v>32</v>
      </c>
      <c r="B1080">
        <v>26</v>
      </c>
      <c r="C1080" s="1">
        <v>23418</v>
      </c>
    </row>
    <row r="1081" spans="1:3" x14ac:dyDescent="0.25">
      <c r="A1081">
        <f t="shared" si="16"/>
        <v>32</v>
      </c>
      <c r="B1081">
        <v>27</v>
      </c>
      <c r="C1081" s="1">
        <v>47528</v>
      </c>
    </row>
    <row r="1082" spans="1:3" x14ac:dyDescent="0.25">
      <c r="A1082">
        <f t="shared" si="16"/>
        <v>32</v>
      </c>
      <c r="B1082">
        <v>28</v>
      </c>
      <c r="C1082" s="1">
        <v>20004</v>
      </c>
    </row>
    <row r="1083" spans="1:3" x14ac:dyDescent="0.25">
      <c r="A1083">
        <f t="shared" si="16"/>
        <v>32</v>
      </c>
      <c r="B1083">
        <v>29</v>
      </c>
      <c r="C1083" s="1">
        <v>10628</v>
      </c>
    </row>
    <row r="1084" spans="1:3" x14ac:dyDescent="0.25">
      <c r="A1084">
        <f t="shared" si="16"/>
        <v>32</v>
      </c>
      <c r="B1084">
        <v>30</v>
      </c>
      <c r="C1084" s="1">
        <v>9113</v>
      </c>
    </row>
    <row r="1085" spans="1:3" x14ac:dyDescent="0.25">
      <c r="A1085">
        <f t="shared" si="16"/>
        <v>32</v>
      </c>
      <c r="B1085">
        <v>31</v>
      </c>
      <c r="C1085" s="1">
        <v>23532</v>
      </c>
    </row>
    <row r="1086" spans="1:3" x14ac:dyDescent="0.25">
      <c r="A1086">
        <f t="shared" si="16"/>
        <v>32</v>
      </c>
      <c r="B1086">
        <v>32</v>
      </c>
      <c r="C1086" s="1">
        <v>58387</v>
      </c>
    </row>
    <row r="1087" spans="1:3" x14ac:dyDescent="0.25">
      <c r="A1087">
        <f t="shared" si="16"/>
        <v>32</v>
      </c>
      <c r="B1087">
        <v>33</v>
      </c>
      <c r="C1087" s="1">
        <v>2345.812510028516</v>
      </c>
    </row>
    <row r="1088" spans="1:3" x14ac:dyDescent="0.25">
      <c r="A1088">
        <f t="shared" si="16"/>
        <v>32</v>
      </c>
      <c r="B1088">
        <v>34</v>
      </c>
      <c r="C1088" s="1">
        <v>8422.1874899714858</v>
      </c>
    </row>
    <row r="1089" spans="1:3" x14ac:dyDescent="0.25">
      <c r="A1089">
        <f t="shared" si="16"/>
        <v>33</v>
      </c>
      <c r="B1089">
        <v>1</v>
      </c>
      <c r="C1089" s="1">
        <v>5570.6599605507481</v>
      </c>
    </row>
    <row r="1090" spans="1:3" x14ac:dyDescent="0.25">
      <c r="A1090">
        <f t="shared" ref="A1090:A1153" si="17">INT((ROW()-ROW($A$1))/34)+1</f>
        <v>33</v>
      </c>
      <c r="B1090">
        <v>2</v>
      </c>
      <c r="C1090" s="1">
        <v>12666.298650277622</v>
      </c>
    </row>
    <row r="1091" spans="1:3" x14ac:dyDescent="0.25">
      <c r="A1091">
        <f t="shared" si="17"/>
        <v>33</v>
      </c>
      <c r="B1091">
        <v>3</v>
      </c>
      <c r="C1091" s="1">
        <v>5196.7604516025758</v>
      </c>
    </row>
    <row r="1092" spans="1:3" x14ac:dyDescent="0.25">
      <c r="A1092">
        <f t="shared" si="17"/>
        <v>33</v>
      </c>
      <c r="B1092">
        <v>4</v>
      </c>
      <c r="C1092" s="1">
        <v>6099.5124414526827</v>
      </c>
    </row>
    <row r="1093" spans="1:3" x14ac:dyDescent="0.25">
      <c r="A1093">
        <f t="shared" si="17"/>
        <v>33</v>
      </c>
      <c r="B1093">
        <v>5</v>
      </c>
      <c r="C1093" s="1">
        <v>3487.0455818374162</v>
      </c>
    </row>
    <row r="1094" spans="1:3" x14ac:dyDescent="0.25">
      <c r="A1094">
        <f t="shared" si="17"/>
        <v>33</v>
      </c>
      <c r="B1094">
        <v>6</v>
      </c>
      <c r="C1094" s="1">
        <v>8231.8263256371974</v>
      </c>
    </row>
    <row r="1095" spans="1:3" x14ac:dyDescent="0.25">
      <c r="A1095">
        <f t="shared" si="17"/>
        <v>33</v>
      </c>
      <c r="B1095">
        <v>7</v>
      </c>
      <c r="C1095" s="1">
        <v>1941.9430900698908</v>
      </c>
    </row>
    <row r="1096" spans="1:3" x14ac:dyDescent="0.25">
      <c r="A1096">
        <f t="shared" si="17"/>
        <v>33</v>
      </c>
      <c r="B1096">
        <v>8</v>
      </c>
      <c r="C1096" s="1">
        <v>7919.90800547053</v>
      </c>
    </row>
    <row r="1097" spans="1:3" x14ac:dyDescent="0.25">
      <c r="A1097">
        <f t="shared" si="17"/>
        <v>33</v>
      </c>
      <c r="B1097">
        <v>9</v>
      </c>
      <c r="C1097" s="1">
        <v>1654.5757602647298</v>
      </c>
    </row>
    <row r="1098" spans="1:3" x14ac:dyDescent="0.25">
      <c r="A1098">
        <f t="shared" si="17"/>
        <v>33</v>
      </c>
      <c r="B1098">
        <v>10</v>
      </c>
      <c r="C1098" s="1">
        <v>2151.632696272256</v>
      </c>
    </row>
    <row r="1099" spans="1:3" x14ac:dyDescent="0.25">
      <c r="A1099">
        <f t="shared" si="17"/>
        <v>33</v>
      </c>
      <c r="B1099">
        <v>11</v>
      </c>
      <c r="C1099" s="1">
        <v>10781.90952121913</v>
      </c>
    </row>
    <row r="1100" spans="1:3" x14ac:dyDescent="0.25">
      <c r="A1100">
        <f t="shared" si="17"/>
        <v>33</v>
      </c>
      <c r="B1100">
        <v>12</v>
      </c>
      <c r="C1100" s="1">
        <v>50886.153514364043</v>
      </c>
    </row>
    <row r="1101" spans="1:3" x14ac:dyDescent="0.25">
      <c r="A1101">
        <f t="shared" si="17"/>
        <v>33</v>
      </c>
      <c r="B1101">
        <v>13</v>
      </c>
      <c r="C1101" s="1">
        <v>39680.43755297007</v>
      </c>
    </row>
    <row r="1102" spans="1:3" x14ac:dyDescent="0.25">
      <c r="A1102">
        <f t="shared" si="17"/>
        <v>33</v>
      </c>
      <c r="B1102">
        <v>14</v>
      </c>
      <c r="C1102" s="1">
        <v>4360.8193535559103</v>
      </c>
    </row>
    <row r="1103" spans="1:3" x14ac:dyDescent="0.25">
      <c r="A1103">
        <f t="shared" si="17"/>
        <v>33</v>
      </c>
      <c r="B1103">
        <v>15</v>
      </c>
      <c r="C1103" s="1">
        <v>50129.902516179311</v>
      </c>
    </row>
    <row r="1104" spans="1:3" x14ac:dyDescent="0.25">
      <c r="A1104">
        <f t="shared" si="17"/>
        <v>33</v>
      </c>
      <c r="B1104">
        <v>16</v>
      </c>
      <c r="C1104" s="1">
        <v>12655.431818478268</v>
      </c>
    </row>
    <row r="1105" spans="1:3" x14ac:dyDescent="0.25">
      <c r="A1105">
        <f t="shared" si="17"/>
        <v>33</v>
      </c>
      <c r="B1105">
        <v>17</v>
      </c>
      <c r="C1105" s="1">
        <v>6068.5218470619302</v>
      </c>
    </row>
    <row r="1106" spans="1:3" x14ac:dyDescent="0.25">
      <c r="A1106">
        <f t="shared" si="17"/>
        <v>33</v>
      </c>
      <c r="B1106">
        <v>18</v>
      </c>
      <c r="C1106" s="1">
        <v>8009.2575113763369</v>
      </c>
    </row>
    <row r="1107" spans="1:3" x14ac:dyDescent="0.25">
      <c r="A1107">
        <f t="shared" si="17"/>
        <v>33</v>
      </c>
      <c r="B1107">
        <v>19</v>
      </c>
      <c r="C1107" s="1">
        <v>13161.745685277838</v>
      </c>
    </row>
    <row r="1108" spans="1:3" x14ac:dyDescent="0.25">
      <c r="A1108">
        <f t="shared" si="17"/>
        <v>33</v>
      </c>
      <c r="B1108">
        <v>20</v>
      </c>
      <c r="C1108" s="1">
        <v>6679.8817545885959</v>
      </c>
    </row>
    <row r="1109" spans="1:3" x14ac:dyDescent="0.25">
      <c r="A1109">
        <f t="shared" si="17"/>
        <v>33</v>
      </c>
      <c r="B1109">
        <v>21</v>
      </c>
      <c r="C1109" s="1">
        <v>4690.0441095511787</v>
      </c>
    </row>
    <row r="1110" spans="1:3" x14ac:dyDescent="0.25">
      <c r="A1110">
        <f t="shared" si="17"/>
        <v>33</v>
      </c>
      <c r="B1110">
        <v>22</v>
      </c>
      <c r="C1110" s="1">
        <v>6423.9074944260155</v>
      </c>
    </row>
    <row r="1111" spans="1:3" x14ac:dyDescent="0.25">
      <c r="A1111">
        <f t="shared" si="17"/>
        <v>33</v>
      </c>
      <c r="B1111">
        <v>23</v>
      </c>
      <c r="C1111" s="1">
        <v>5082.0550048316081</v>
      </c>
    </row>
    <row r="1112" spans="1:3" x14ac:dyDescent="0.25">
      <c r="A1112">
        <f t="shared" si="17"/>
        <v>33</v>
      </c>
      <c r="B1112">
        <v>24</v>
      </c>
      <c r="C1112" s="1">
        <v>742.96931487440793</v>
      </c>
    </row>
    <row r="1113" spans="1:3" x14ac:dyDescent="0.25">
      <c r="A1113">
        <f t="shared" si="17"/>
        <v>33</v>
      </c>
      <c r="B1113">
        <v>25</v>
      </c>
      <c r="C1113" s="1">
        <v>5963.0733310830055</v>
      </c>
    </row>
    <row r="1114" spans="1:3" x14ac:dyDescent="0.25">
      <c r="A1114">
        <f t="shared" si="17"/>
        <v>33</v>
      </c>
      <c r="B1114">
        <v>26</v>
      </c>
      <c r="C1114" s="1">
        <v>6102.329768215478</v>
      </c>
    </row>
    <row r="1115" spans="1:3" x14ac:dyDescent="0.25">
      <c r="A1115">
        <f t="shared" si="17"/>
        <v>33</v>
      </c>
      <c r="B1115">
        <v>27</v>
      </c>
      <c r="C1115" s="1">
        <v>15889.3204669159</v>
      </c>
    </row>
    <row r="1116" spans="1:3" x14ac:dyDescent="0.25">
      <c r="A1116">
        <f t="shared" si="17"/>
        <v>33</v>
      </c>
      <c r="B1116">
        <v>28</v>
      </c>
      <c r="C1116" s="1">
        <v>6150.2243231830053</v>
      </c>
    </row>
    <row r="1117" spans="1:3" x14ac:dyDescent="0.25">
      <c r="A1117">
        <f t="shared" si="17"/>
        <v>33</v>
      </c>
      <c r="B1117">
        <v>29</v>
      </c>
      <c r="C1117" s="1">
        <v>2222.8708158458044</v>
      </c>
    </row>
    <row r="1118" spans="1:3" x14ac:dyDescent="0.25">
      <c r="A1118">
        <f t="shared" si="17"/>
        <v>33</v>
      </c>
      <c r="B1118">
        <v>30</v>
      </c>
      <c r="C1118" s="1">
        <v>3140.9168652653734</v>
      </c>
    </row>
    <row r="1119" spans="1:3" x14ac:dyDescent="0.25">
      <c r="A1119">
        <f t="shared" si="17"/>
        <v>33</v>
      </c>
      <c r="B1119">
        <v>31</v>
      </c>
      <c r="C1119" s="1">
        <v>8677.7689046625728</v>
      </c>
    </row>
    <row r="1120" spans="1:3" x14ac:dyDescent="0.25">
      <c r="A1120">
        <f t="shared" si="17"/>
        <v>33</v>
      </c>
      <c r="B1120">
        <v>32</v>
      </c>
      <c r="C1120" s="1">
        <v>3641.9985537911793</v>
      </c>
    </row>
    <row r="1121" spans="1:3" x14ac:dyDescent="0.25">
      <c r="A1121">
        <f t="shared" si="17"/>
        <v>33</v>
      </c>
      <c r="B1121">
        <v>33</v>
      </c>
      <c r="C1121" s="2">
        <v>13749.703802261225</v>
      </c>
    </row>
    <row r="1122" spans="1:3" x14ac:dyDescent="0.25">
      <c r="A1122">
        <f t="shared" si="17"/>
        <v>33</v>
      </c>
      <c r="B1122">
        <v>34</v>
      </c>
      <c r="C1122" s="2">
        <v>49365.660238895296</v>
      </c>
    </row>
    <row r="1123" spans="1:3" x14ac:dyDescent="0.25">
      <c r="A1123">
        <f t="shared" si="17"/>
        <v>34</v>
      </c>
      <c r="B1123">
        <v>1</v>
      </c>
      <c r="C1123" s="1">
        <v>8270.3400394492528</v>
      </c>
    </row>
    <row r="1124" spans="1:3" x14ac:dyDescent="0.25">
      <c r="A1124">
        <f t="shared" si="17"/>
        <v>34</v>
      </c>
      <c r="B1124">
        <v>2</v>
      </c>
      <c r="C1124" s="1">
        <v>18804.701349722378</v>
      </c>
    </row>
    <row r="1125" spans="1:3" x14ac:dyDescent="0.25">
      <c r="A1125">
        <f t="shared" si="17"/>
        <v>34</v>
      </c>
      <c r="B1125">
        <v>3</v>
      </c>
      <c r="C1125" s="1">
        <v>7715.2395483974242</v>
      </c>
    </row>
    <row r="1126" spans="1:3" x14ac:dyDescent="0.25">
      <c r="A1126">
        <f t="shared" si="17"/>
        <v>34</v>
      </c>
      <c r="B1126">
        <v>4</v>
      </c>
      <c r="C1126" s="1">
        <v>9055.4875585473164</v>
      </c>
    </row>
    <row r="1127" spans="1:3" x14ac:dyDescent="0.25">
      <c r="A1127">
        <f t="shared" si="17"/>
        <v>34</v>
      </c>
      <c r="B1127">
        <v>5</v>
      </c>
      <c r="C1127" s="1">
        <v>5176.9544181625834</v>
      </c>
    </row>
    <row r="1128" spans="1:3" x14ac:dyDescent="0.25">
      <c r="A1128">
        <f t="shared" si="17"/>
        <v>34</v>
      </c>
      <c r="B1128">
        <v>6</v>
      </c>
      <c r="C1128" s="1">
        <v>12221.173674362803</v>
      </c>
    </row>
    <row r="1129" spans="1:3" x14ac:dyDescent="0.25">
      <c r="A1129">
        <f t="shared" si="17"/>
        <v>34</v>
      </c>
      <c r="B1129">
        <v>7</v>
      </c>
      <c r="C1129" s="1">
        <v>2883.0569099301092</v>
      </c>
    </row>
    <row r="1130" spans="1:3" x14ac:dyDescent="0.25">
      <c r="A1130">
        <f t="shared" si="17"/>
        <v>34</v>
      </c>
      <c r="B1130">
        <v>8</v>
      </c>
      <c r="C1130" s="1">
        <v>11758.09199452947</v>
      </c>
    </row>
    <row r="1131" spans="1:3" x14ac:dyDescent="0.25">
      <c r="A1131">
        <f t="shared" si="17"/>
        <v>34</v>
      </c>
      <c r="B1131">
        <v>9</v>
      </c>
      <c r="C1131" s="1">
        <v>2456.4242397352705</v>
      </c>
    </row>
    <row r="1132" spans="1:3" x14ac:dyDescent="0.25">
      <c r="A1132">
        <f t="shared" si="17"/>
        <v>34</v>
      </c>
      <c r="B1132">
        <v>10</v>
      </c>
      <c r="C1132" s="1">
        <v>3194.367303727744</v>
      </c>
    </row>
    <row r="1133" spans="1:3" x14ac:dyDescent="0.25">
      <c r="A1133">
        <f t="shared" si="17"/>
        <v>34</v>
      </c>
      <c r="B1133">
        <v>11</v>
      </c>
      <c r="C1133" s="1">
        <v>16007.09047878087</v>
      </c>
    </row>
    <row r="1134" spans="1:3" x14ac:dyDescent="0.25">
      <c r="A1134">
        <f t="shared" si="17"/>
        <v>34</v>
      </c>
      <c r="B1134">
        <v>12</v>
      </c>
      <c r="C1134" s="1">
        <v>75546.846485635964</v>
      </c>
    </row>
    <row r="1135" spans="1:3" x14ac:dyDescent="0.25">
      <c r="A1135">
        <f t="shared" si="17"/>
        <v>34</v>
      </c>
      <c r="B1135">
        <v>13</v>
      </c>
      <c r="C1135" s="1">
        <v>58910.56244702993</v>
      </c>
    </row>
    <row r="1136" spans="1:3" x14ac:dyDescent="0.25">
      <c r="A1136">
        <f t="shared" si="17"/>
        <v>34</v>
      </c>
      <c r="B1136">
        <v>14</v>
      </c>
      <c r="C1136" s="1">
        <v>6474.1806464440897</v>
      </c>
    </row>
    <row r="1137" spans="1:3" x14ac:dyDescent="0.25">
      <c r="A1137">
        <f t="shared" si="17"/>
        <v>34</v>
      </c>
      <c r="B1137">
        <v>15</v>
      </c>
      <c r="C1137" s="1">
        <v>74424.097483820689</v>
      </c>
    </row>
    <row r="1138" spans="1:3" x14ac:dyDescent="0.25">
      <c r="A1138">
        <f t="shared" si="17"/>
        <v>34</v>
      </c>
      <c r="B1138">
        <v>16</v>
      </c>
      <c r="C1138" s="1">
        <v>18788.568181521732</v>
      </c>
    </row>
    <row r="1139" spans="1:3" x14ac:dyDescent="0.25">
      <c r="A1139">
        <f t="shared" si="17"/>
        <v>34</v>
      </c>
      <c r="B1139">
        <v>17</v>
      </c>
      <c r="C1139" s="1">
        <v>9009.4781529380707</v>
      </c>
    </row>
    <row r="1140" spans="1:3" x14ac:dyDescent="0.25">
      <c r="A1140">
        <f t="shared" si="17"/>
        <v>34</v>
      </c>
      <c r="B1140">
        <v>18</v>
      </c>
      <c r="C1140" s="1">
        <v>11890.742488623664</v>
      </c>
    </row>
    <row r="1141" spans="1:3" x14ac:dyDescent="0.25">
      <c r="A1141">
        <f t="shared" si="17"/>
        <v>34</v>
      </c>
      <c r="B1141">
        <v>19</v>
      </c>
      <c r="C1141" s="1">
        <v>19540.254314722162</v>
      </c>
    </row>
    <row r="1142" spans="1:3" x14ac:dyDescent="0.25">
      <c r="A1142">
        <f t="shared" si="17"/>
        <v>34</v>
      </c>
      <c r="B1142">
        <v>20</v>
      </c>
      <c r="C1142" s="1">
        <v>9917.1182454114041</v>
      </c>
    </row>
    <row r="1143" spans="1:3" x14ac:dyDescent="0.25">
      <c r="A1143">
        <f t="shared" si="17"/>
        <v>34</v>
      </c>
      <c r="B1143">
        <v>21</v>
      </c>
      <c r="C1143" s="1">
        <v>6962.9558904488213</v>
      </c>
    </row>
    <row r="1144" spans="1:3" x14ac:dyDescent="0.25">
      <c r="A1144">
        <f t="shared" si="17"/>
        <v>34</v>
      </c>
      <c r="B1144">
        <v>22</v>
      </c>
      <c r="C1144" s="1">
        <v>9537.0925055739845</v>
      </c>
    </row>
    <row r="1145" spans="1:3" x14ac:dyDescent="0.25">
      <c r="A1145">
        <f t="shared" si="17"/>
        <v>34</v>
      </c>
      <c r="B1145">
        <v>23</v>
      </c>
      <c r="C1145" s="1">
        <v>7544.9449951683919</v>
      </c>
    </row>
    <row r="1146" spans="1:3" x14ac:dyDescent="0.25">
      <c r="A1146">
        <f t="shared" si="17"/>
        <v>34</v>
      </c>
      <c r="B1146">
        <v>24</v>
      </c>
      <c r="C1146" s="1">
        <v>1103.0306851255921</v>
      </c>
    </row>
    <row r="1147" spans="1:3" x14ac:dyDescent="0.25">
      <c r="A1147">
        <f t="shared" si="17"/>
        <v>34</v>
      </c>
      <c r="B1147">
        <v>25</v>
      </c>
      <c r="C1147" s="1">
        <v>8852.9266689169945</v>
      </c>
    </row>
    <row r="1148" spans="1:3" x14ac:dyDescent="0.25">
      <c r="A1148">
        <f t="shared" si="17"/>
        <v>34</v>
      </c>
      <c r="B1148">
        <v>26</v>
      </c>
      <c r="C1148" s="1">
        <v>9059.6702317845211</v>
      </c>
    </row>
    <row r="1149" spans="1:3" x14ac:dyDescent="0.25">
      <c r="A1149">
        <f t="shared" si="17"/>
        <v>34</v>
      </c>
      <c r="B1149">
        <v>27</v>
      </c>
      <c r="C1149" s="1">
        <v>23589.679533084101</v>
      </c>
    </row>
    <row r="1150" spans="1:3" x14ac:dyDescent="0.25">
      <c r="A1150">
        <f t="shared" si="17"/>
        <v>34</v>
      </c>
      <c r="B1150">
        <v>28</v>
      </c>
      <c r="C1150" s="1">
        <v>9130.7756768169947</v>
      </c>
    </row>
    <row r="1151" spans="1:3" x14ac:dyDescent="0.25">
      <c r="A1151">
        <f t="shared" si="17"/>
        <v>34</v>
      </c>
      <c r="B1151">
        <v>29</v>
      </c>
      <c r="C1151" s="1">
        <v>3300.1291841541956</v>
      </c>
    </row>
    <row r="1152" spans="1:3" x14ac:dyDescent="0.25">
      <c r="A1152">
        <f t="shared" si="17"/>
        <v>34</v>
      </c>
      <c r="B1152">
        <v>30</v>
      </c>
      <c r="C1152" s="1">
        <v>4663.0831347346266</v>
      </c>
    </row>
    <row r="1153" spans="1:3" x14ac:dyDescent="0.25">
      <c r="A1153">
        <f t="shared" si="17"/>
        <v>34</v>
      </c>
      <c r="B1153">
        <v>31</v>
      </c>
      <c r="C1153" s="1">
        <v>12883.231095337427</v>
      </c>
    </row>
    <row r="1154" spans="1:3" x14ac:dyDescent="0.25">
      <c r="A1154">
        <f t="shared" ref="A1154:A1156" si="18">INT((ROW()-ROW($A$1))/34)+1</f>
        <v>34</v>
      </c>
      <c r="B1154">
        <v>32</v>
      </c>
      <c r="C1154" s="1">
        <v>5407.0014462088202</v>
      </c>
    </row>
    <row r="1155" spans="1:3" x14ac:dyDescent="0.25">
      <c r="A1155">
        <f t="shared" si="18"/>
        <v>34</v>
      </c>
      <c r="B1155">
        <v>33</v>
      </c>
      <c r="C1155" s="2">
        <v>20413.151528129914</v>
      </c>
    </row>
    <row r="1156" spans="1:3" x14ac:dyDescent="0.25">
      <c r="A1156">
        <f t="shared" si="18"/>
        <v>34</v>
      </c>
      <c r="B1156">
        <v>34</v>
      </c>
      <c r="C1156" s="2">
        <v>73289.484430713608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3BDF-3850-49FE-9A1F-49F1C7E05332}">
  <dimension ref="A1:C35"/>
  <sheetViews>
    <sheetView topLeftCell="A18" workbookViewId="0">
      <selection activeCell="C2" sqref="C2"/>
    </sheetView>
  </sheetViews>
  <sheetFormatPr defaultRowHeight="15" x14ac:dyDescent="0.25"/>
  <cols>
    <col min="2" max="2" width="20.85546875" customWidth="1"/>
    <col min="3" max="3" width="20.28515625" customWidth="1"/>
  </cols>
  <sheetData>
    <row r="1" spans="1:3" x14ac:dyDescent="0.25">
      <c r="A1" s="8" t="s">
        <v>59</v>
      </c>
      <c r="B1" s="7" t="s">
        <v>61</v>
      </c>
      <c r="C1" s="7" t="s">
        <v>58</v>
      </c>
    </row>
    <row r="2" spans="1:3" x14ac:dyDescent="0.25">
      <c r="A2" s="5">
        <v>1</v>
      </c>
      <c r="B2" s="6" t="s">
        <v>62</v>
      </c>
      <c r="C2" s="6" t="s">
        <v>34</v>
      </c>
    </row>
    <row r="3" spans="1:3" x14ac:dyDescent="0.25">
      <c r="A3" s="5">
        <v>2</v>
      </c>
      <c r="B3" s="6" t="s">
        <v>63</v>
      </c>
      <c r="C3" s="6" t="s">
        <v>43</v>
      </c>
    </row>
    <row r="4" spans="1:3" x14ac:dyDescent="0.25">
      <c r="A4" s="5">
        <v>3</v>
      </c>
      <c r="B4" s="6" t="s">
        <v>64</v>
      </c>
      <c r="C4" s="6" t="s">
        <v>41</v>
      </c>
    </row>
    <row r="5" spans="1:3" x14ac:dyDescent="0.25">
      <c r="A5" s="5">
        <v>4</v>
      </c>
      <c r="B5" s="6" t="s">
        <v>65</v>
      </c>
      <c r="C5" s="6" t="s">
        <v>37</v>
      </c>
    </row>
    <row r="6" spans="1:3" x14ac:dyDescent="0.25">
      <c r="A6" s="5">
        <v>5</v>
      </c>
      <c r="B6" s="6" t="s">
        <v>66</v>
      </c>
      <c r="C6" s="6" t="s">
        <v>52</v>
      </c>
    </row>
    <row r="7" spans="1:3" x14ac:dyDescent="0.25">
      <c r="A7" s="5">
        <v>6</v>
      </c>
      <c r="B7" s="6" t="s">
        <v>67</v>
      </c>
      <c r="C7" s="6" t="s">
        <v>41</v>
      </c>
    </row>
    <row r="8" spans="1:3" x14ac:dyDescent="0.25">
      <c r="A8" s="5">
        <v>7</v>
      </c>
      <c r="B8" s="6" t="s">
        <v>68</v>
      </c>
      <c r="C8" s="6" t="s">
        <v>38</v>
      </c>
    </row>
    <row r="9" spans="1:3" x14ac:dyDescent="0.25">
      <c r="A9" s="5">
        <v>8</v>
      </c>
      <c r="B9" s="6" t="s">
        <v>69</v>
      </c>
      <c r="C9" s="6" t="s">
        <v>41</v>
      </c>
    </row>
    <row r="10" spans="1:3" x14ac:dyDescent="0.25">
      <c r="A10" s="5">
        <v>9</v>
      </c>
      <c r="B10" s="6" t="s">
        <v>70</v>
      </c>
      <c r="C10" s="6" t="s">
        <v>42</v>
      </c>
    </row>
    <row r="11" spans="1:3" x14ac:dyDescent="0.25">
      <c r="A11" s="5">
        <v>10</v>
      </c>
      <c r="B11" s="6" t="s">
        <v>71</v>
      </c>
      <c r="C11" s="6" t="s">
        <v>43</v>
      </c>
    </row>
    <row r="12" spans="1:3" x14ac:dyDescent="0.25">
      <c r="A12" s="5">
        <v>11</v>
      </c>
      <c r="B12" s="6" t="s">
        <v>72</v>
      </c>
      <c r="C12" s="6" t="s">
        <v>44</v>
      </c>
    </row>
    <row r="13" spans="1:3" x14ac:dyDescent="0.25">
      <c r="A13" s="5">
        <v>12</v>
      </c>
      <c r="B13" s="6" t="s">
        <v>73</v>
      </c>
      <c r="C13" s="6" t="s">
        <v>46</v>
      </c>
    </row>
    <row r="14" spans="1:3" x14ac:dyDescent="0.25">
      <c r="A14" s="5">
        <v>13</v>
      </c>
      <c r="B14" s="6" t="s">
        <v>74</v>
      </c>
      <c r="C14" s="6" t="s">
        <v>45</v>
      </c>
    </row>
    <row r="15" spans="1:3" x14ac:dyDescent="0.25">
      <c r="A15" s="5">
        <v>14</v>
      </c>
      <c r="B15" s="6" t="s">
        <v>75</v>
      </c>
      <c r="C15" s="6" t="s">
        <v>47</v>
      </c>
    </row>
    <row r="16" spans="1:3" x14ac:dyDescent="0.25">
      <c r="A16" s="5">
        <v>15</v>
      </c>
      <c r="B16" s="6" t="s">
        <v>76</v>
      </c>
      <c r="C16" s="6" t="s">
        <v>48</v>
      </c>
    </row>
    <row r="17" spans="1:3" ht="30" x14ac:dyDescent="0.25">
      <c r="A17" s="5">
        <v>16</v>
      </c>
      <c r="B17" s="6" t="s">
        <v>77</v>
      </c>
      <c r="C17" s="6" t="s">
        <v>39</v>
      </c>
    </row>
    <row r="18" spans="1:3" x14ac:dyDescent="0.25">
      <c r="A18" s="5">
        <v>17</v>
      </c>
      <c r="B18" s="6" t="s">
        <v>78</v>
      </c>
      <c r="C18" s="6" t="s">
        <v>36</v>
      </c>
    </row>
    <row r="19" spans="1:3" x14ac:dyDescent="0.25">
      <c r="A19" s="5">
        <v>18</v>
      </c>
      <c r="B19" s="6" t="s">
        <v>79</v>
      </c>
      <c r="C19" s="6" t="s">
        <v>40</v>
      </c>
    </row>
    <row r="20" spans="1:3" x14ac:dyDescent="0.25">
      <c r="A20" s="5">
        <v>19</v>
      </c>
      <c r="B20" s="6" t="s">
        <v>80</v>
      </c>
      <c r="C20" s="6" t="s">
        <v>55</v>
      </c>
    </row>
    <row r="21" spans="1:3" x14ac:dyDescent="0.25">
      <c r="A21" s="5">
        <v>20</v>
      </c>
      <c r="B21" s="6" t="s">
        <v>81</v>
      </c>
      <c r="C21" s="6" t="s">
        <v>54</v>
      </c>
    </row>
    <row r="22" spans="1:3" x14ac:dyDescent="0.25">
      <c r="A22" s="5">
        <v>21</v>
      </c>
      <c r="B22" s="6" t="s">
        <v>82</v>
      </c>
      <c r="C22" s="6" t="s">
        <v>53</v>
      </c>
    </row>
    <row r="23" spans="1:3" x14ac:dyDescent="0.25">
      <c r="A23" s="5">
        <v>22</v>
      </c>
      <c r="B23" s="6" t="s">
        <v>83</v>
      </c>
      <c r="C23" s="6" t="s">
        <v>53</v>
      </c>
    </row>
    <row r="24" spans="1:3" x14ac:dyDescent="0.25">
      <c r="A24" s="5">
        <v>23</v>
      </c>
      <c r="B24" s="6" t="s">
        <v>84</v>
      </c>
      <c r="C24" s="6" t="s">
        <v>57</v>
      </c>
    </row>
    <row r="25" spans="1:3" x14ac:dyDescent="0.25">
      <c r="A25" s="5">
        <v>24</v>
      </c>
      <c r="B25" s="6" t="s">
        <v>85</v>
      </c>
      <c r="C25" s="6" t="s">
        <v>56</v>
      </c>
    </row>
    <row r="26" spans="1:3" x14ac:dyDescent="0.25">
      <c r="A26" s="5">
        <v>25</v>
      </c>
      <c r="B26" s="6" t="s">
        <v>86</v>
      </c>
      <c r="C26" s="6" t="s">
        <v>35</v>
      </c>
    </row>
    <row r="27" spans="1:3" x14ac:dyDescent="0.25">
      <c r="A27" s="5">
        <v>26</v>
      </c>
      <c r="B27" s="6" t="s">
        <v>87</v>
      </c>
      <c r="C27" s="6" t="s">
        <v>50</v>
      </c>
    </row>
    <row r="28" spans="1:3" x14ac:dyDescent="0.25">
      <c r="A28" s="5">
        <v>27</v>
      </c>
      <c r="B28" s="6" t="s">
        <v>88</v>
      </c>
      <c r="C28" s="6" t="s">
        <v>50</v>
      </c>
    </row>
    <row r="29" spans="1:3" x14ac:dyDescent="0.25">
      <c r="A29" s="5">
        <v>28</v>
      </c>
      <c r="B29" s="6" t="s">
        <v>89</v>
      </c>
      <c r="C29" s="6" t="s">
        <v>49</v>
      </c>
    </row>
    <row r="30" spans="1:3" x14ac:dyDescent="0.25">
      <c r="A30" s="5">
        <v>29</v>
      </c>
      <c r="B30" s="6" t="s">
        <v>90</v>
      </c>
      <c r="C30" s="6" t="s">
        <v>51</v>
      </c>
    </row>
    <row r="31" spans="1:3" x14ac:dyDescent="0.25">
      <c r="A31" s="5">
        <v>30</v>
      </c>
      <c r="B31" s="6" t="s">
        <v>91</v>
      </c>
      <c r="C31" s="6" t="s">
        <v>52</v>
      </c>
    </row>
    <row r="32" spans="1:3" x14ac:dyDescent="0.25">
      <c r="A32" s="5">
        <v>31</v>
      </c>
      <c r="B32" s="6" t="s">
        <v>92</v>
      </c>
      <c r="C32" s="6" t="s">
        <v>37</v>
      </c>
    </row>
    <row r="33" spans="1:3" x14ac:dyDescent="0.25">
      <c r="A33" s="5">
        <v>32</v>
      </c>
      <c r="B33" s="6" t="s">
        <v>93</v>
      </c>
      <c r="C33" s="6" t="s">
        <v>39</v>
      </c>
    </row>
    <row r="34" spans="1:3" x14ac:dyDescent="0.25">
      <c r="A34" s="5">
        <v>33</v>
      </c>
      <c r="B34" s="6" t="s">
        <v>94</v>
      </c>
      <c r="C34" s="6" t="s">
        <v>35</v>
      </c>
    </row>
    <row r="35" spans="1:3" x14ac:dyDescent="0.25">
      <c r="A35" s="5">
        <v>34</v>
      </c>
      <c r="B35" s="6" t="s">
        <v>95</v>
      </c>
      <c r="C35" s="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1EEB-2A68-4E31-8B4D-03D9EE36126B}">
  <dimension ref="A1:E1157"/>
  <sheetViews>
    <sheetView topLeftCell="A59" workbookViewId="0">
      <selection activeCell="C2" sqref="C2"/>
    </sheetView>
  </sheetViews>
  <sheetFormatPr defaultRowHeight="15" x14ac:dyDescent="0.25"/>
  <cols>
    <col min="3" max="3" width="11.5703125" bestFit="1" customWidth="1"/>
    <col min="4" max="4" width="14.7109375" bestFit="1" customWidth="1"/>
    <col min="5" max="5" width="17.5703125" bestFit="1" customWidth="1"/>
  </cols>
  <sheetData>
    <row r="1" spans="1:5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</row>
    <row r="2" spans="1:5" x14ac:dyDescent="0.25">
      <c r="A2">
        <f>INT((ROW()-ROW($A$2))/34)+1</f>
        <v>1</v>
      </c>
      <c r="B2">
        <v>1</v>
      </c>
      <c r="C2" s="1">
        <v>3962012</v>
      </c>
      <c r="D2" s="4" t="str">
        <f>VLOOKUP('Flow2 '!A2,'ALokasi Pelabuhan '!$A:$C,3,TRUE)</f>
        <v>P1</v>
      </c>
      <c r="E2" s="4" t="str">
        <f>VLOOKUP('Flow2 '!B2,'ALokasi Pelabuhan '!$A:$C,3,TRUE)</f>
        <v>P1</v>
      </c>
    </row>
    <row r="3" spans="1:5" x14ac:dyDescent="0.25">
      <c r="A3">
        <f t="shared" ref="A3:A66" si="0">INT((ROW()-ROW($A$2))/34)+1</f>
        <v>1</v>
      </c>
      <c r="B3">
        <v>2</v>
      </c>
      <c r="C3" s="1">
        <v>1693796</v>
      </c>
      <c r="D3" s="4" t="str">
        <f>VLOOKUP('Flow2 '!A3,'ALokasi Pelabuhan '!$A:$C,3,TRUE)</f>
        <v>P1</v>
      </c>
      <c r="E3" s="4" t="str">
        <f>VLOOKUP('Flow2 '!B3,'ALokasi Pelabuhan '!$A:$C,3,TRUE)</f>
        <v>P10</v>
      </c>
    </row>
    <row r="4" spans="1:5" x14ac:dyDescent="0.25">
      <c r="A4">
        <f t="shared" si="0"/>
        <v>1</v>
      </c>
      <c r="B4">
        <v>3</v>
      </c>
      <c r="C4" s="1">
        <v>246054</v>
      </c>
      <c r="D4" s="4" t="str">
        <f>VLOOKUP('Flow2 '!A4,'ALokasi Pelabuhan '!$A:$C,3,TRUE)</f>
        <v>P1</v>
      </c>
      <c r="E4" s="4" t="str">
        <f>VLOOKUP('Flow2 '!B4,'ALokasi Pelabuhan '!$A:$C,3,TRUE)</f>
        <v>P8</v>
      </c>
    </row>
    <row r="5" spans="1:5" x14ac:dyDescent="0.25">
      <c r="A5">
        <f t="shared" si="0"/>
        <v>1</v>
      </c>
      <c r="B5">
        <v>4</v>
      </c>
      <c r="C5" s="1">
        <v>260831</v>
      </c>
      <c r="D5" s="4" t="str">
        <f>VLOOKUP('Flow2 '!A5,'ALokasi Pelabuhan '!$A:$C,3,TRUE)</f>
        <v>P1</v>
      </c>
      <c r="E5" s="4" t="str">
        <f>VLOOKUP('Flow2 '!B5,'ALokasi Pelabuhan '!$A:$C,3,TRUE)</f>
        <v>P4</v>
      </c>
    </row>
    <row r="6" spans="1:5" x14ac:dyDescent="0.25">
      <c r="A6">
        <f t="shared" si="0"/>
        <v>1</v>
      </c>
      <c r="B6">
        <v>5</v>
      </c>
      <c r="C6" s="1">
        <v>107798</v>
      </c>
      <c r="D6" s="4" t="str">
        <f>VLOOKUP('Flow2 '!A6,'ALokasi Pelabuhan '!$A:$C,3,TRUE)</f>
        <v>P1</v>
      </c>
      <c r="E6" s="4" t="str">
        <f>VLOOKUP('Flow2 '!B6,'ALokasi Pelabuhan '!$A:$C,3,TRUE)</f>
        <v>P19</v>
      </c>
    </row>
    <row r="7" spans="1:5" x14ac:dyDescent="0.25">
      <c r="A7">
        <f t="shared" si="0"/>
        <v>1</v>
      </c>
      <c r="B7">
        <v>6</v>
      </c>
      <c r="C7" s="1">
        <v>210372</v>
      </c>
      <c r="D7" s="4" t="str">
        <f>VLOOKUP('Flow2 '!A7,'ALokasi Pelabuhan '!$A:$C,3,TRUE)</f>
        <v>P1</v>
      </c>
      <c r="E7" s="4" t="str">
        <f>VLOOKUP('Flow2 '!B7,'ALokasi Pelabuhan '!$A:$C,3,TRUE)</f>
        <v>P8</v>
      </c>
    </row>
    <row r="8" spans="1:5" x14ac:dyDescent="0.25">
      <c r="A8">
        <f t="shared" si="0"/>
        <v>1</v>
      </c>
      <c r="B8">
        <v>7</v>
      </c>
      <c r="C8" s="1">
        <v>61611</v>
      </c>
      <c r="D8" s="4" t="str">
        <f>VLOOKUP('Flow2 '!A8,'ALokasi Pelabuhan '!$A:$C,3,TRUE)</f>
        <v>P1</v>
      </c>
      <c r="E8" s="4" t="str">
        <f>VLOOKUP('Flow2 '!B8,'ALokasi Pelabuhan '!$A:$C,3,TRUE)</f>
        <v>P5</v>
      </c>
    </row>
    <row r="9" spans="1:5" x14ac:dyDescent="0.25">
      <c r="A9">
        <f t="shared" si="0"/>
        <v>1</v>
      </c>
      <c r="B9">
        <v>8</v>
      </c>
      <c r="C9" s="1">
        <v>161730</v>
      </c>
      <c r="D9" s="4" t="str">
        <f>VLOOKUP('Flow2 '!A9,'ALokasi Pelabuhan '!$A:$C,3,TRUE)</f>
        <v>P1</v>
      </c>
      <c r="E9" s="4" t="str">
        <f>VLOOKUP('Flow2 '!B9,'ALokasi Pelabuhan '!$A:$C,3,TRUE)</f>
        <v>P8</v>
      </c>
    </row>
    <row r="10" spans="1:5" x14ac:dyDescent="0.25">
      <c r="A10">
        <f t="shared" si="0"/>
        <v>1</v>
      </c>
      <c r="B10">
        <v>9</v>
      </c>
      <c r="C10" s="1">
        <v>32890</v>
      </c>
      <c r="D10" s="4" t="str">
        <f>VLOOKUP('Flow2 '!A10,'ALokasi Pelabuhan '!$A:$C,3,TRUE)</f>
        <v>P1</v>
      </c>
      <c r="E10" s="4" t="str">
        <f>VLOOKUP('Flow2 '!B10,'ALokasi Pelabuhan '!$A:$C,3,TRUE)</f>
        <v>P9</v>
      </c>
    </row>
    <row r="11" spans="1:5" x14ac:dyDescent="0.25">
      <c r="A11">
        <f t="shared" si="0"/>
        <v>1</v>
      </c>
      <c r="B11">
        <v>10</v>
      </c>
      <c r="C11" s="1">
        <v>67187</v>
      </c>
      <c r="D11" s="4" t="str">
        <f>VLOOKUP('Flow2 '!A11,'ALokasi Pelabuhan '!$A:$C,3,TRUE)</f>
        <v>P1</v>
      </c>
      <c r="E11" s="4" t="str">
        <f>VLOOKUP('Flow2 '!B11,'ALokasi Pelabuhan '!$A:$C,3,TRUE)</f>
        <v>P10</v>
      </c>
    </row>
    <row r="12" spans="1:5" x14ac:dyDescent="0.25">
      <c r="A12">
        <f t="shared" si="0"/>
        <v>1</v>
      </c>
      <c r="B12">
        <v>11</v>
      </c>
      <c r="C12" s="1">
        <v>126557</v>
      </c>
      <c r="D12" s="4" t="str">
        <f>VLOOKUP('Flow2 '!A12,'ALokasi Pelabuhan '!$A:$C,3,TRUE)</f>
        <v>P1</v>
      </c>
      <c r="E12" s="4" t="str">
        <f>VLOOKUP('Flow2 '!B12,'ALokasi Pelabuhan '!$A:$C,3,TRUE)</f>
        <v>P11</v>
      </c>
    </row>
    <row r="13" spans="1:5" x14ac:dyDescent="0.25">
      <c r="A13">
        <f t="shared" si="0"/>
        <v>1</v>
      </c>
      <c r="B13">
        <v>12</v>
      </c>
      <c r="C13" s="1">
        <v>659575</v>
      </c>
      <c r="D13" s="4" t="str">
        <f>VLOOKUP('Flow2 '!A13,'ALokasi Pelabuhan '!$A:$C,3,TRUE)</f>
        <v>P1</v>
      </c>
      <c r="E13" s="4" t="str">
        <f>VLOOKUP('Flow2 '!B13,'ALokasi Pelabuhan '!$A:$C,3,TRUE)</f>
        <v>P13</v>
      </c>
    </row>
    <row r="14" spans="1:5" x14ac:dyDescent="0.25">
      <c r="A14">
        <f t="shared" si="0"/>
        <v>1</v>
      </c>
      <c r="B14">
        <v>13</v>
      </c>
      <c r="C14" s="1">
        <v>441673</v>
      </c>
      <c r="D14" s="4" t="str">
        <f>VLOOKUP('Flow2 '!A14,'ALokasi Pelabuhan '!$A:$C,3,TRUE)</f>
        <v>P1</v>
      </c>
      <c r="E14" s="4" t="str">
        <f>VLOOKUP('Flow2 '!B14,'ALokasi Pelabuhan '!$A:$C,3,TRUE)</f>
        <v>P12</v>
      </c>
    </row>
    <row r="15" spans="1:5" x14ac:dyDescent="0.25">
      <c r="A15">
        <f t="shared" si="0"/>
        <v>1</v>
      </c>
      <c r="B15">
        <v>14</v>
      </c>
      <c r="C15" s="1">
        <v>44122</v>
      </c>
      <c r="D15" s="4" t="str">
        <f>VLOOKUP('Flow2 '!A15,'ALokasi Pelabuhan '!$A:$C,3,TRUE)</f>
        <v>P1</v>
      </c>
      <c r="E15" s="4" t="str">
        <f>VLOOKUP('Flow2 '!B15,'ALokasi Pelabuhan '!$A:$C,3,TRUE)</f>
        <v>P14</v>
      </c>
    </row>
    <row r="16" spans="1:5" x14ac:dyDescent="0.25">
      <c r="A16">
        <f t="shared" si="0"/>
        <v>1</v>
      </c>
      <c r="B16">
        <v>15</v>
      </c>
      <c r="C16" s="1">
        <v>436417</v>
      </c>
      <c r="D16" s="4" t="str">
        <f>VLOOKUP('Flow2 '!A16,'ALokasi Pelabuhan '!$A:$C,3,TRUE)</f>
        <v>P1</v>
      </c>
      <c r="E16" s="4" t="str">
        <f>VLOOKUP('Flow2 '!B16,'ALokasi Pelabuhan '!$A:$C,3,TRUE)</f>
        <v>P15</v>
      </c>
    </row>
    <row r="17" spans="1:5" x14ac:dyDescent="0.25">
      <c r="A17">
        <f t="shared" si="0"/>
        <v>1</v>
      </c>
      <c r="B17">
        <v>16</v>
      </c>
      <c r="C17" s="1">
        <v>181394</v>
      </c>
      <c r="D17" s="4" t="str">
        <f>VLOOKUP('Flow2 '!A17,'ALokasi Pelabuhan '!$A:$C,3,TRUE)</f>
        <v>P1</v>
      </c>
      <c r="E17" s="4" t="str">
        <f>VLOOKUP('Flow2 '!B17,'ALokasi Pelabuhan '!$A:$C,3,TRUE)</f>
        <v>P6</v>
      </c>
    </row>
    <row r="18" spans="1:5" x14ac:dyDescent="0.25">
      <c r="A18">
        <f t="shared" si="0"/>
        <v>1</v>
      </c>
      <c r="B18">
        <v>17</v>
      </c>
      <c r="C18" s="1">
        <v>46610</v>
      </c>
      <c r="D18" s="4" t="str">
        <f>VLOOKUP('Flow2 '!A18,'ALokasi Pelabuhan '!$A:$C,3,TRUE)</f>
        <v>P1</v>
      </c>
      <c r="E18" s="4" t="str">
        <f>VLOOKUP('Flow2 '!B18,'ALokasi Pelabuhan '!$A:$C,3,TRUE)</f>
        <v>P3</v>
      </c>
    </row>
    <row r="19" spans="1:5" x14ac:dyDescent="0.25">
      <c r="A19">
        <f t="shared" si="0"/>
        <v>1</v>
      </c>
      <c r="B19">
        <v>18</v>
      </c>
      <c r="C19" s="1">
        <v>59567</v>
      </c>
      <c r="D19" s="4" t="str">
        <f>VLOOKUP('Flow2 '!A19,'ALokasi Pelabuhan '!$A:$C,3,TRUE)</f>
        <v>P1</v>
      </c>
      <c r="E19" s="4" t="str">
        <f>VLOOKUP('Flow2 '!B19,'ALokasi Pelabuhan '!$A:$C,3,TRUE)</f>
        <v>P7</v>
      </c>
    </row>
    <row r="20" spans="1:5" x14ac:dyDescent="0.25">
      <c r="A20">
        <f t="shared" si="0"/>
        <v>1</v>
      </c>
      <c r="B20">
        <v>19</v>
      </c>
      <c r="C20" s="1">
        <v>68602</v>
      </c>
      <c r="D20" s="4" t="str">
        <f>VLOOKUP('Flow2 '!A20,'ALokasi Pelabuhan '!$A:$C,3,TRUE)</f>
        <v>P1</v>
      </c>
      <c r="E20" s="4" t="str">
        <f>VLOOKUP('Flow2 '!B20,'ALokasi Pelabuhan '!$A:$C,3,TRUE)</f>
        <v>P22</v>
      </c>
    </row>
    <row r="21" spans="1:5" x14ac:dyDescent="0.25">
      <c r="A21">
        <f t="shared" si="0"/>
        <v>1</v>
      </c>
      <c r="B21">
        <v>20</v>
      </c>
      <c r="C21" s="1">
        <v>107767</v>
      </c>
      <c r="D21" s="4" t="str">
        <f>VLOOKUP('Flow2 '!A21,'ALokasi Pelabuhan '!$A:$C,3,TRUE)</f>
        <v>P1</v>
      </c>
      <c r="E21" s="4" t="str">
        <f>VLOOKUP('Flow2 '!B21,'ALokasi Pelabuhan '!$A:$C,3,TRUE)</f>
        <v>P21</v>
      </c>
    </row>
    <row r="22" spans="1:5" x14ac:dyDescent="0.25">
      <c r="A22">
        <f t="shared" si="0"/>
        <v>1</v>
      </c>
      <c r="B22">
        <v>21</v>
      </c>
      <c r="C22" s="1">
        <v>48537</v>
      </c>
      <c r="D22" s="4" t="str">
        <f>VLOOKUP('Flow2 '!A22,'ALokasi Pelabuhan '!$A:$C,3,TRUE)</f>
        <v>P1</v>
      </c>
      <c r="E22" s="4" t="str">
        <f>VLOOKUP('Flow2 '!B22,'ALokasi Pelabuhan '!$A:$C,3,TRUE)</f>
        <v>P20</v>
      </c>
    </row>
    <row r="23" spans="1:5" x14ac:dyDescent="0.25">
      <c r="A23">
        <f t="shared" si="0"/>
        <v>1</v>
      </c>
      <c r="B23">
        <v>22</v>
      </c>
      <c r="C23" s="1">
        <v>62945</v>
      </c>
      <c r="D23" s="4" t="str">
        <f>VLOOKUP('Flow2 '!A23,'ALokasi Pelabuhan '!$A:$C,3,TRUE)</f>
        <v>P1</v>
      </c>
      <c r="E23" s="4" t="str">
        <f>VLOOKUP('Flow2 '!B23,'ALokasi Pelabuhan '!$A:$C,3,TRUE)</f>
        <v>P20</v>
      </c>
    </row>
    <row r="24" spans="1:5" x14ac:dyDescent="0.25">
      <c r="A24">
        <f t="shared" si="0"/>
        <v>1</v>
      </c>
      <c r="B24">
        <v>23</v>
      </c>
      <c r="C24" s="1">
        <v>46474</v>
      </c>
      <c r="D24" s="4" t="str">
        <f>VLOOKUP('Flow2 '!A24,'ALokasi Pelabuhan '!$A:$C,3,TRUE)</f>
        <v>P1</v>
      </c>
      <c r="E24" s="4" t="str">
        <f>VLOOKUP('Flow2 '!B24,'ALokasi Pelabuhan '!$A:$C,3,TRUE)</f>
        <v>P24</v>
      </c>
    </row>
    <row r="25" spans="1:5" x14ac:dyDescent="0.25">
      <c r="A25">
        <f t="shared" si="0"/>
        <v>1</v>
      </c>
      <c r="B25">
        <v>24</v>
      </c>
      <c r="C25" s="1">
        <v>8020</v>
      </c>
      <c r="D25" s="4" t="str">
        <f>VLOOKUP('Flow2 '!A25,'ALokasi Pelabuhan '!$A:$C,3,TRUE)</f>
        <v>P1</v>
      </c>
      <c r="E25" s="4" t="str">
        <f>VLOOKUP('Flow2 '!B25,'ALokasi Pelabuhan '!$A:$C,3,TRUE)</f>
        <v>P23</v>
      </c>
    </row>
    <row r="26" spans="1:5" x14ac:dyDescent="0.25">
      <c r="A26">
        <f t="shared" si="0"/>
        <v>1</v>
      </c>
      <c r="B26">
        <v>25</v>
      </c>
      <c r="C26" s="1">
        <v>29898</v>
      </c>
      <c r="D26" s="4" t="str">
        <f>VLOOKUP('Flow2 '!A26,'ALokasi Pelabuhan '!$A:$C,3,TRUE)</f>
        <v>P1</v>
      </c>
      <c r="E26" s="4" t="str">
        <f>VLOOKUP('Flow2 '!B26,'ALokasi Pelabuhan '!$A:$C,3,TRUE)</f>
        <v>P2</v>
      </c>
    </row>
    <row r="27" spans="1:5" x14ac:dyDescent="0.25">
      <c r="A27">
        <f t="shared" si="0"/>
        <v>1</v>
      </c>
      <c r="B27">
        <v>26</v>
      </c>
      <c r="C27" s="1">
        <v>40732</v>
      </c>
      <c r="D27" s="4" t="str">
        <f>VLOOKUP('Flow2 '!A27,'ALokasi Pelabuhan '!$A:$C,3,TRUE)</f>
        <v>P1</v>
      </c>
      <c r="E27" s="4" t="str">
        <f>VLOOKUP('Flow2 '!B27,'ALokasi Pelabuhan '!$A:$C,3,TRUE)</f>
        <v>P17</v>
      </c>
    </row>
    <row r="28" spans="1:5" x14ac:dyDescent="0.25">
      <c r="A28">
        <f t="shared" si="0"/>
        <v>1</v>
      </c>
      <c r="B28">
        <v>27</v>
      </c>
      <c r="C28" s="1">
        <v>105984</v>
      </c>
      <c r="D28" s="4" t="str">
        <f>VLOOKUP('Flow2 '!A28,'ALokasi Pelabuhan '!$A:$C,3,TRUE)</f>
        <v>P1</v>
      </c>
      <c r="E28" s="4" t="str">
        <f>VLOOKUP('Flow2 '!B28,'ALokasi Pelabuhan '!$A:$C,3,TRUE)</f>
        <v>P17</v>
      </c>
    </row>
    <row r="29" spans="1:5" x14ac:dyDescent="0.25">
      <c r="A29">
        <f t="shared" si="0"/>
        <v>1</v>
      </c>
      <c r="B29">
        <v>28</v>
      </c>
      <c r="C29" s="1">
        <v>32252</v>
      </c>
      <c r="D29" s="4" t="str">
        <f>VLOOKUP('Flow2 '!A29,'ALokasi Pelabuhan '!$A:$C,3,TRUE)</f>
        <v>P1</v>
      </c>
      <c r="E29" s="4" t="str">
        <f>VLOOKUP('Flow2 '!B29,'ALokasi Pelabuhan '!$A:$C,3,TRUE)</f>
        <v>P16</v>
      </c>
    </row>
    <row r="30" spans="1:5" x14ac:dyDescent="0.25">
      <c r="A30">
        <f t="shared" si="0"/>
        <v>1</v>
      </c>
      <c r="B30">
        <v>29</v>
      </c>
      <c r="C30" s="1">
        <v>12767</v>
      </c>
      <c r="D30" s="4" t="str">
        <f>VLOOKUP('Flow2 '!A30,'ALokasi Pelabuhan '!$A:$C,3,TRUE)</f>
        <v>P1</v>
      </c>
      <c r="E30" s="4" t="str">
        <f>VLOOKUP('Flow2 '!B30,'ALokasi Pelabuhan '!$A:$C,3,TRUE)</f>
        <v>P18</v>
      </c>
    </row>
    <row r="31" spans="1:5" x14ac:dyDescent="0.25">
      <c r="A31">
        <f t="shared" si="0"/>
        <v>1</v>
      </c>
      <c r="B31">
        <v>30</v>
      </c>
      <c r="C31" s="1">
        <v>18053</v>
      </c>
      <c r="D31" s="4" t="str">
        <f>VLOOKUP('Flow2 '!A31,'ALokasi Pelabuhan '!$A:$C,3,TRUE)</f>
        <v>P1</v>
      </c>
      <c r="E31" s="4" t="str">
        <f>VLOOKUP('Flow2 '!B31,'ALokasi Pelabuhan '!$A:$C,3,TRUE)</f>
        <v>P19</v>
      </c>
    </row>
    <row r="32" spans="1:5" x14ac:dyDescent="0.25">
      <c r="A32">
        <f t="shared" si="0"/>
        <v>1</v>
      </c>
      <c r="B32">
        <v>31</v>
      </c>
      <c r="C32" s="1">
        <v>27561</v>
      </c>
      <c r="D32" s="4" t="str">
        <f>VLOOKUP('Flow2 '!A32,'ALokasi Pelabuhan '!$A:$C,3,TRUE)</f>
        <v>P1</v>
      </c>
      <c r="E32" s="4" t="str">
        <f>VLOOKUP('Flow2 '!B32,'ALokasi Pelabuhan '!$A:$C,3,TRUE)</f>
        <v>P4</v>
      </c>
    </row>
    <row r="33" spans="1:5" x14ac:dyDescent="0.25">
      <c r="A33">
        <f t="shared" si="0"/>
        <v>1</v>
      </c>
      <c r="B33">
        <v>32</v>
      </c>
      <c r="C33" s="1">
        <v>17406</v>
      </c>
      <c r="D33" s="4" t="str">
        <f>VLOOKUP('Flow2 '!A33,'ALokasi Pelabuhan '!$A:$C,3,TRUE)</f>
        <v>P1</v>
      </c>
      <c r="E33" s="4" t="str">
        <f>VLOOKUP('Flow2 '!B33,'ALokasi Pelabuhan '!$A:$C,3,TRUE)</f>
        <v>P6</v>
      </c>
    </row>
    <row r="34" spans="1:5" x14ac:dyDescent="0.25">
      <c r="A34">
        <f t="shared" si="0"/>
        <v>1</v>
      </c>
      <c r="B34">
        <v>33</v>
      </c>
      <c r="C34" s="1">
        <v>6621.9969230439083</v>
      </c>
      <c r="D34" s="4" t="str">
        <f>VLOOKUP('Flow2 '!A34,'ALokasi Pelabuhan '!$A:$C,3,TRUE)</f>
        <v>P1</v>
      </c>
      <c r="E34" s="4" t="str">
        <f>VLOOKUP('Flow2 '!B34,'ALokasi Pelabuhan '!$A:$C,3,TRUE)</f>
        <v>P2</v>
      </c>
    </row>
    <row r="35" spans="1:5" x14ac:dyDescent="0.25">
      <c r="A35">
        <f t="shared" si="0"/>
        <v>1</v>
      </c>
      <c r="B35">
        <v>34</v>
      </c>
      <c r="C35" s="1">
        <v>23775.003076956098</v>
      </c>
      <c r="D35" s="4" t="str">
        <f>VLOOKUP('Flow2 '!A35,'ALokasi Pelabuhan '!$A:$C,3,TRUE)</f>
        <v>P1</v>
      </c>
      <c r="E35" s="4" t="str">
        <f>VLOOKUP('Flow2 '!B35,'ALokasi Pelabuhan '!$A:$C,3,TRUE)</f>
        <v>P9</v>
      </c>
    </row>
    <row r="36" spans="1:5" x14ac:dyDescent="0.25">
      <c r="A36">
        <f t="shared" si="0"/>
        <v>2</v>
      </c>
      <c r="B36">
        <v>1</v>
      </c>
      <c r="C36" s="1">
        <v>726098</v>
      </c>
      <c r="D36" s="4" t="str">
        <f>VLOOKUP('Flow2 '!A36,'ALokasi Pelabuhan '!$A:$C,3,TRUE)</f>
        <v>P10</v>
      </c>
      <c r="E36" s="4" t="str">
        <f>VLOOKUP('Flow2 '!B36,'ALokasi Pelabuhan '!$A:$C,3,TRUE)</f>
        <v>P1</v>
      </c>
    </row>
    <row r="37" spans="1:5" x14ac:dyDescent="0.25">
      <c r="A37">
        <f t="shared" si="0"/>
        <v>2</v>
      </c>
      <c r="B37">
        <v>2</v>
      </c>
      <c r="C37" s="1">
        <v>7827775</v>
      </c>
      <c r="D37" s="4" t="str">
        <f>VLOOKUP('Flow2 '!A37,'ALokasi Pelabuhan '!$A:$C,3,TRUE)</f>
        <v>P10</v>
      </c>
      <c r="E37" s="4" t="str">
        <f>VLOOKUP('Flow2 '!B37,'ALokasi Pelabuhan '!$A:$C,3,TRUE)</f>
        <v>P10</v>
      </c>
    </row>
    <row r="38" spans="1:5" x14ac:dyDescent="0.25">
      <c r="A38">
        <f t="shared" si="0"/>
        <v>2</v>
      </c>
      <c r="B38">
        <v>3</v>
      </c>
      <c r="C38" s="1">
        <v>536337</v>
      </c>
      <c r="D38" s="4" t="str">
        <f>VLOOKUP('Flow2 '!A38,'ALokasi Pelabuhan '!$A:$C,3,TRUE)</f>
        <v>P10</v>
      </c>
      <c r="E38" s="4" t="str">
        <f>VLOOKUP('Flow2 '!B38,'ALokasi Pelabuhan '!$A:$C,3,TRUE)</f>
        <v>P8</v>
      </c>
    </row>
    <row r="39" spans="1:5" x14ac:dyDescent="0.25">
      <c r="A39">
        <f t="shared" si="0"/>
        <v>2</v>
      </c>
      <c r="B39">
        <v>4</v>
      </c>
      <c r="C39" s="1">
        <v>732691</v>
      </c>
      <c r="D39" s="4" t="str">
        <f>VLOOKUP('Flow2 '!A39,'ALokasi Pelabuhan '!$A:$C,3,TRUE)</f>
        <v>P10</v>
      </c>
      <c r="E39" s="4" t="str">
        <f>VLOOKUP('Flow2 '!B39,'ALokasi Pelabuhan '!$A:$C,3,TRUE)</f>
        <v>P4</v>
      </c>
    </row>
    <row r="40" spans="1:5" x14ac:dyDescent="0.25">
      <c r="A40">
        <f t="shared" si="0"/>
        <v>2</v>
      </c>
      <c r="B40">
        <v>5</v>
      </c>
      <c r="C40" s="1">
        <v>276557</v>
      </c>
      <c r="D40" s="4" t="str">
        <f>VLOOKUP('Flow2 '!A40,'ALokasi Pelabuhan '!$A:$C,3,TRUE)</f>
        <v>P10</v>
      </c>
      <c r="E40" s="4" t="str">
        <f>VLOOKUP('Flow2 '!B40,'ALokasi Pelabuhan '!$A:$C,3,TRUE)</f>
        <v>P19</v>
      </c>
    </row>
    <row r="41" spans="1:5" x14ac:dyDescent="0.25">
      <c r="A41">
        <f t="shared" si="0"/>
        <v>2</v>
      </c>
      <c r="B41">
        <v>6</v>
      </c>
      <c r="C41" s="1">
        <v>337349</v>
      </c>
      <c r="D41" s="4" t="str">
        <f>VLOOKUP('Flow2 '!A41,'ALokasi Pelabuhan '!$A:$C,3,TRUE)</f>
        <v>P10</v>
      </c>
      <c r="E41" s="4" t="str">
        <f>VLOOKUP('Flow2 '!B41,'ALokasi Pelabuhan '!$A:$C,3,TRUE)</f>
        <v>P8</v>
      </c>
    </row>
    <row r="42" spans="1:5" x14ac:dyDescent="0.25">
      <c r="A42">
        <f t="shared" si="0"/>
        <v>2</v>
      </c>
      <c r="B42">
        <v>7</v>
      </c>
      <c r="C42" s="1">
        <v>106309</v>
      </c>
      <c r="D42" s="4" t="str">
        <f>VLOOKUP('Flow2 '!A42,'ALokasi Pelabuhan '!$A:$C,3,TRUE)</f>
        <v>P10</v>
      </c>
      <c r="E42" s="4" t="str">
        <f>VLOOKUP('Flow2 '!B42,'ALokasi Pelabuhan '!$A:$C,3,TRUE)</f>
        <v>P5</v>
      </c>
    </row>
    <row r="43" spans="1:5" x14ac:dyDescent="0.25">
      <c r="A43">
        <f t="shared" si="0"/>
        <v>2</v>
      </c>
      <c r="B43">
        <v>8</v>
      </c>
      <c r="C43" s="1">
        <v>245650</v>
      </c>
      <c r="D43" s="4" t="str">
        <f>VLOOKUP('Flow2 '!A43,'ALokasi Pelabuhan '!$A:$C,3,TRUE)</f>
        <v>P10</v>
      </c>
      <c r="E43" s="4" t="str">
        <f>VLOOKUP('Flow2 '!B43,'ALokasi Pelabuhan '!$A:$C,3,TRUE)</f>
        <v>P8</v>
      </c>
    </row>
    <row r="44" spans="1:5" x14ac:dyDescent="0.25">
      <c r="A44">
        <f t="shared" si="0"/>
        <v>2</v>
      </c>
      <c r="B44">
        <v>9</v>
      </c>
      <c r="C44" s="1">
        <v>68235</v>
      </c>
      <c r="D44" s="4" t="str">
        <f>VLOOKUP('Flow2 '!A44,'ALokasi Pelabuhan '!$A:$C,3,TRUE)</f>
        <v>P10</v>
      </c>
      <c r="E44" s="4" t="str">
        <f>VLOOKUP('Flow2 '!B44,'ALokasi Pelabuhan '!$A:$C,3,TRUE)</f>
        <v>P9</v>
      </c>
    </row>
    <row r="45" spans="1:5" x14ac:dyDescent="0.25">
      <c r="A45">
        <f t="shared" si="0"/>
        <v>2</v>
      </c>
      <c r="B45">
        <v>10</v>
      </c>
      <c r="C45" s="1">
        <v>138115</v>
      </c>
      <c r="D45" s="4" t="str">
        <f>VLOOKUP('Flow2 '!A45,'ALokasi Pelabuhan '!$A:$C,3,TRUE)</f>
        <v>P10</v>
      </c>
      <c r="E45" s="4" t="str">
        <f>VLOOKUP('Flow2 '!B45,'ALokasi Pelabuhan '!$A:$C,3,TRUE)</f>
        <v>P10</v>
      </c>
    </row>
    <row r="46" spans="1:5" x14ac:dyDescent="0.25">
      <c r="A46">
        <f t="shared" si="0"/>
        <v>2</v>
      </c>
      <c r="B46">
        <v>11</v>
      </c>
      <c r="C46" s="1">
        <v>303119</v>
      </c>
      <c r="D46" s="4" t="str">
        <f>VLOOKUP('Flow2 '!A46,'ALokasi Pelabuhan '!$A:$C,3,TRUE)</f>
        <v>P10</v>
      </c>
      <c r="E46" s="4" t="str">
        <f>VLOOKUP('Flow2 '!B46,'ALokasi Pelabuhan '!$A:$C,3,TRUE)</f>
        <v>P11</v>
      </c>
    </row>
    <row r="47" spans="1:5" x14ac:dyDescent="0.25">
      <c r="A47">
        <f t="shared" si="0"/>
        <v>2</v>
      </c>
      <c r="B47">
        <v>12</v>
      </c>
      <c r="C47" s="1">
        <v>1274309</v>
      </c>
      <c r="D47" s="4" t="str">
        <f>VLOOKUP('Flow2 '!A47,'ALokasi Pelabuhan '!$A:$C,3,TRUE)</f>
        <v>P10</v>
      </c>
      <c r="E47" s="4" t="str">
        <f>VLOOKUP('Flow2 '!B47,'ALokasi Pelabuhan '!$A:$C,3,TRUE)</f>
        <v>P13</v>
      </c>
    </row>
    <row r="48" spans="1:5" x14ac:dyDescent="0.25">
      <c r="A48">
        <f t="shared" si="0"/>
        <v>2</v>
      </c>
      <c r="B48">
        <v>13</v>
      </c>
      <c r="C48" s="1">
        <v>764671</v>
      </c>
      <c r="D48" s="4" t="str">
        <f>VLOOKUP('Flow2 '!A48,'ALokasi Pelabuhan '!$A:$C,3,TRUE)</f>
        <v>P10</v>
      </c>
      <c r="E48" s="4" t="str">
        <f>VLOOKUP('Flow2 '!B48,'ALokasi Pelabuhan '!$A:$C,3,TRUE)</f>
        <v>P12</v>
      </c>
    </row>
    <row r="49" spans="1:5" x14ac:dyDescent="0.25">
      <c r="A49">
        <f t="shared" si="0"/>
        <v>2</v>
      </c>
      <c r="B49">
        <v>14</v>
      </c>
      <c r="C49" s="1">
        <v>79636</v>
      </c>
      <c r="D49" s="4" t="str">
        <f>VLOOKUP('Flow2 '!A49,'ALokasi Pelabuhan '!$A:$C,3,TRUE)</f>
        <v>P10</v>
      </c>
      <c r="E49" s="4" t="str">
        <f>VLOOKUP('Flow2 '!B49,'ALokasi Pelabuhan '!$A:$C,3,TRUE)</f>
        <v>P14</v>
      </c>
    </row>
    <row r="50" spans="1:5" x14ac:dyDescent="0.25">
      <c r="A50">
        <f t="shared" si="0"/>
        <v>2</v>
      </c>
      <c r="B50">
        <v>15</v>
      </c>
      <c r="C50" s="1">
        <v>808715</v>
      </c>
      <c r="D50" s="4" t="str">
        <f>VLOOKUP('Flow2 '!A50,'ALokasi Pelabuhan '!$A:$C,3,TRUE)</f>
        <v>P10</v>
      </c>
      <c r="E50" s="4" t="str">
        <f>VLOOKUP('Flow2 '!B50,'ALokasi Pelabuhan '!$A:$C,3,TRUE)</f>
        <v>P15</v>
      </c>
    </row>
    <row r="51" spans="1:5" x14ac:dyDescent="0.25">
      <c r="A51">
        <f t="shared" si="0"/>
        <v>2</v>
      </c>
      <c r="B51">
        <v>16</v>
      </c>
      <c r="C51" s="1">
        <v>391477</v>
      </c>
      <c r="D51" s="4" t="str">
        <f>VLOOKUP('Flow2 '!A51,'ALokasi Pelabuhan '!$A:$C,3,TRUE)</f>
        <v>P10</v>
      </c>
      <c r="E51" s="4" t="str">
        <f>VLOOKUP('Flow2 '!B51,'ALokasi Pelabuhan '!$A:$C,3,TRUE)</f>
        <v>P6</v>
      </c>
    </row>
    <row r="52" spans="1:5" x14ac:dyDescent="0.25">
      <c r="A52">
        <f t="shared" si="0"/>
        <v>2</v>
      </c>
      <c r="B52">
        <v>17</v>
      </c>
      <c r="C52" s="1">
        <v>80328</v>
      </c>
      <c r="D52" s="4" t="str">
        <f>VLOOKUP('Flow2 '!A52,'ALokasi Pelabuhan '!$A:$C,3,TRUE)</f>
        <v>P10</v>
      </c>
      <c r="E52" s="4" t="str">
        <f>VLOOKUP('Flow2 '!B52,'ALokasi Pelabuhan '!$A:$C,3,TRUE)</f>
        <v>P3</v>
      </c>
    </row>
    <row r="53" spans="1:5" x14ac:dyDescent="0.25">
      <c r="A53">
        <f t="shared" si="0"/>
        <v>2</v>
      </c>
      <c r="B53">
        <v>18</v>
      </c>
      <c r="C53" s="1">
        <v>98489</v>
      </c>
      <c r="D53" s="4" t="str">
        <f>VLOOKUP('Flow2 '!A53,'ALokasi Pelabuhan '!$A:$C,3,TRUE)</f>
        <v>P10</v>
      </c>
      <c r="E53" s="4" t="str">
        <f>VLOOKUP('Flow2 '!B53,'ALokasi Pelabuhan '!$A:$C,3,TRUE)</f>
        <v>P7</v>
      </c>
    </row>
    <row r="54" spans="1:5" x14ac:dyDescent="0.25">
      <c r="A54">
        <f t="shared" si="0"/>
        <v>2</v>
      </c>
      <c r="B54">
        <v>19</v>
      </c>
      <c r="C54" s="1">
        <v>108275</v>
      </c>
      <c r="D54" s="4" t="str">
        <f>VLOOKUP('Flow2 '!A54,'ALokasi Pelabuhan '!$A:$C,3,TRUE)</f>
        <v>P10</v>
      </c>
      <c r="E54" s="4" t="str">
        <f>VLOOKUP('Flow2 '!B54,'ALokasi Pelabuhan '!$A:$C,3,TRUE)</f>
        <v>P22</v>
      </c>
    </row>
    <row r="55" spans="1:5" x14ac:dyDescent="0.25">
      <c r="A55">
        <f t="shared" si="0"/>
        <v>2</v>
      </c>
      <c r="B55">
        <v>20</v>
      </c>
      <c r="C55" s="1">
        <v>166558</v>
      </c>
      <c r="D55" s="4" t="str">
        <f>VLOOKUP('Flow2 '!A55,'ALokasi Pelabuhan '!$A:$C,3,TRUE)</f>
        <v>P10</v>
      </c>
      <c r="E55" s="4" t="str">
        <f>VLOOKUP('Flow2 '!B55,'ALokasi Pelabuhan '!$A:$C,3,TRUE)</f>
        <v>P21</v>
      </c>
    </row>
    <row r="56" spans="1:5" x14ac:dyDescent="0.25">
      <c r="A56">
        <f t="shared" si="0"/>
        <v>2</v>
      </c>
      <c r="B56">
        <v>21</v>
      </c>
      <c r="C56" s="1">
        <v>67623</v>
      </c>
      <c r="D56" s="4" t="str">
        <f>VLOOKUP('Flow2 '!A56,'ALokasi Pelabuhan '!$A:$C,3,TRUE)</f>
        <v>P10</v>
      </c>
      <c r="E56" s="4" t="str">
        <f>VLOOKUP('Flow2 '!B56,'ALokasi Pelabuhan '!$A:$C,3,TRUE)</f>
        <v>P20</v>
      </c>
    </row>
    <row r="57" spans="1:5" x14ac:dyDescent="0.25">
      <c r="A57">
        <f t="shared" si="0"/>
        <v>2</v>
      </c>
      <c r="B57">
        <v>22</v>
      </c>
      <c r="C57" s="1">
        <v>89771</v>
      </c>
      <c r="D57" s="4" t="str">
        <f>VLOOKUP('Flow2 '!A57,'ALokasi Pelabuhan '!$A:$C,3,TRUE)</f>
        <v>P10</v>
      </c>
      <c r="E57" s="4" t="str">
        <f>VLOOKUP('Flow2 '!B57,'ALokasi Pelabuhan '!$A:$C,3,TRUE)</f>
        <v>P20</v>
      </c>
    </row>
    <row r="58" spans="1:5" x14ac:dyDescent="0.25">
      <c r="A58">
        <f t="shared" si="0"/>
        <v>2</v>
      </c>
      <c r="B58">
        <v>23</v>
      </c>
      <c r="C58" s="1">
        <v>87811</v>
      </c>
      <c r="D58" s="4" t="str">
        <f>VLOOKUP('Flow2 '!A58,'ALokasi Pelabuhan '!$A:$C,3,TRUE)</f>
        <v>P10</v>
      </c>
      <c r="E58" s="4" t="str">
        <f>VLOOKUP('Flow2 '!B58,'ALokasi Pelabuhan '!$A:$C,3,TRUE)</f>
        <v>P24</v>
      </c>
    </row>
    <row r="59" spans="1:5" x14ac:dyDescent="0.25">
      <c r="A59">
        <f t="shared" si="0"/>
        <v>2</v>
      </c>
      <c r="B59">
        <v>24</v>
      </c>
      <c r="C59" s="1">
        <v>12574</v>
      </c>
      <c r="D59" s="4" t="str">
        <f>VLOOKUP('Flow2 '!A59,'ALokasi Pelabuhan '!$A:$C,3,TRUE)</f>
        <v>P10</v>
      </c>
      <c r="E59" s="4" t="str">
        <f>VLOOKUP('Flow2 '!B59,'ALokasi Pelabuhan '!$A:$C,3,TRUE)</f>
        <v>P23</v>
      </c>
    </row>
    <row r="60" spans="1:5" x14ac:dyDescent="0.25">
      <c r="A60">
        <f t="shared" si="0"/>
        <v>2</v>
      </c>
      <c r="B60">
        <v>25</v>
      </c>
      <c r="C60" s="1">
        <v>41931</v>
      </c>
      <c r="D60" s="4" t="str">
        <f>VLOOKUP('Flow2 '!A60,'ALokasi Pelabuhan '!$A:$C,3,TRUE)</f>
        <v>P10</v>
      </c>
      <c r="E60" s="4" t="str">
        <f>VLOOKUP('Flow2 '!B60,'ALokasi Pelabuhan '!$A:$C,3,TRUE)</f>
        <v>P2</v>
      </c>
    </row>
    <row r="61" spans="1:5" x14ac:dyDescent="0.25">
      <c r="A61">
        <f t="shared" si="0"/>
        <v>2</v>
      </c>
      <c r="B61">
        <v>26</v>
      </c>
      <c r="C61" s="1">
        <v>55671</v>
      </c>
      <c r="D61" s="4" t="str">
        <f>VLOOKUP('Flow2 '!A61,'ALokasi Pelabuhan '!$A:$C,3,TRUE)</f>
        <v>P10</v>
      </c>
      <c r="E61" s="4" t="str">
        <f>VLOOKUP('Flow2 '!B61,'ALokasi Pelabuhan '!$A:$C,3,TRUE)</f>
        <v>P17</v>
      </c>
    </row>
    <row r="62" spans="1:5" x14ac:dyDescent="0.25">
      <c r="A62">
        <f t="shared" si="0"/>
        <v>2</v>
      </c>
      <c r="B62">
        <v>27</v>
      </c>
      <c r="C62" s="1">
        <v>172832</v>
      </c>
      <c r="D62" s="4" t="str">
        <f>VLOOKUP('Flow2 '!A62,'ALokasi Pelabuhan '!$A:$C,3,TRUE)</f>
        <v>P10</v>
      </c>
      <c r="E62" s="4" t="str">
        <f>VLOOKUP('Flow2 '!B62,'ALokasi Pelabuhan '!$A:$C,3,TRUE)</f>
        <v>P17</v>
      </c>
    </row>
    <row r="63" spans="1:5" x14ac:dyDescent="0.25">
      <c r="A63">
        <f t="shared" si="0"/>
        <v>2</v>
      </c>
      <c r="B63">
        <v>28</v>
      </c>
      <c r="C63" s="1">
        <v>47335</v>
      </c>
      <c r="D63" s="4" t="str">
        <f>VLOOKUP('Flow2 '!A63,'ALokasi Pelabuhan '!$A:$C,3,TRUE)</f>
        <v>P10</v>
      </c>
      <c r="E63" s="4" t="str">
        <f>VLOOKUP('Flow2 '!B63,'ALokasi Pelabuhan '!$A:$C,3,TRUE)</f>
        <v>P16</v>
      </c>
    </row>
    <row r="64" spans="1:5" x14ac:dyDescent="0.25">
      <c r="A64">
        <f t="shared" si="0"/>
        <v>2</v>
      </c>
      <c r="B64">
        <v>29</v>
      </c>
      <c r="C64" s="1">
        <v>17069</v>
      </c>
      <c r="D64" s="4" t="str">
        <f>VLOOKUP('Flow2 '!A64,'ALokasi Pelabuhan '!$A:$C,3,TRUE)</f>
        <v>P10</v>
      </c>
      <c r="E64" s="4" t="str">
        <f>VLOOKUP('Flow2 '!B64,'ALokasi Pelabuhan '!$A:$C,3,TRUE)</f>
        <v>P18</v>
      </c>
    </row>
    <row r="65" spans="1:5" x14ac:dyDescent="0.25">
      <c r="A65">
        <f t="shared" si="0"/>
        <v>2</v>
      </c>
      <c r="B65">
        <v>30</v>
      </c>
      <c r="C65" s="1">
        <v>28010</v>
      </c>
      <c r="D65" s="4" t="str">
        <f>VLOOKUP('Flow2 '!A65,'ALokasi Pelabuhan '!$A:$C,3,TRUE)</f>
        <v>P10</v>
      </c>
      <c r="E65" s="4" t="str">
        <f>VLOOKUP('Flow2 '!B65,'ALokasi Pelabuhan '!$A:$C,3,TRUE)</f>
        <v>P19</v>
      </c>
    </row>
    <row r="66" spans="1:5" x14ac:dyDescent="0.25">
      <c r="A66">
        <f t="shared" si="0"/>
        <v>2</v>
      </c>
      <c r="B66">
        <v>31</v>
      </c>
      <c r="C66" s="1">
        <v>33599</v>
      </c>
      <c r="D66" s="4" t="str">
        <f>VLOOKUP('Flow2 '!A66,'ALokasi Pelabuhan '!$A:$C,3,TRUE)</f>
        <v>P10</v>
      </c>
      <c r="E66" s="4" t="str">
        <f>VLOOKUP('Flow2 '!B66,'ALokasi Pelabuhan '!$A:$C,3,TRUE)</f>
        <v>P4</v>
      </c>
    </row>
    <row r="67" spans="1:5" x14ac:dyDescent="0.25">
      <c r="A67">
        <f t="shared" ref="A67:A130" si="1">INT((ROW()-ROW($A$2))/34)+1</f>
        <v>2</v>
      </c>
      <c r="B67">
        <v>32</v>
      </c>
      <c r="C67" s="1">
        <v>18571</v>
      </c>
      <c r="D67" s="4" t="str">
        <f>VLOOKUP('Flow2 '!A67,'ALokasi Pelabuhan '!$A:$C,3,TRUE)</f>
        <v>P10</v>
      </c>
      <c r="E67" s="4" t="str">
        <f>VLOOKUP('Flow2 '!B67,'ALokasi Pelabuhan '!$A:$C,3,TRUE)</f>
        <v>P6</v>
      </c>
    </row>
    <row r="68" spans="1:5" x14ac:dyDescent="0.25">
      <c r="A68">
        <f t="shared" si="1"/>
        <v>2</v>
      </c>
      <c r="B68">
        <v>33</v>
      </c>
      <c r="C68" s="1">
        <v>8835.7921242799566</v>
      </c>
      <c r="D68" s="4" t="str">
        <f>VLOOKUP('Flow2 '!A68,'ALokasi Pelabuhan '!$A:$C,3,TRUE)</f>
        <v>P10</v>
      </c>
      <c r="E68" s="4" t="str">
        <f>VLOOKUP('Flow2 '!B68,'ALokasi Pelabuhan '!$A:$C,3,TRUE)</f>
        <v>P2</v>
      </c>
    </row>
    <row r="69" spans="1:5" x14ac:dyDescent="0.25">
      <c r="A69">
        <f t="shared" si="1"/>
        <v>2</v>
      </c>
      <c r="B69">
        <v>34</v>
      </c>
      <c r="C69" s="1">
        <v>31723.207875720054</v>
      </c>
      <c r="D69" s="4" t="str">
        <f>VLOOKUP('Flow2 '!A69,'ALokasi Pelabuhan '!$A:$C,3,TRUE)</f>
        <v>P10</v>
      </c>
      <c r="E69" s="4" t="str">
        <f>VLOOKUP('Flow2 '!B69,'ALokasi Pelabuhan '!$A:$C,3,TRUE)</f>
        <v>P9</v>
      </c>
    </row>
    <row r="70" spans="1:5" x14ac:dyDescent="0.25">
      <c r="A70">
        <f t="shared" si="1"/>
        <v>3</v>
      </c>
      <c r="B70">
        <v>1</v>
      </c>
      <c r="C70" s="1">
        <v>253939</v>
      </c>
      <c r="D70" s="4" t="str">
        <f>VLOOKUP('Flow2 '!A70,'ALokasi Pelabuhan '!$A:$C,3,TRUE)</f>
        <v>P8</v>
      </c>
      <c r="E70" s="4" t="str">
        <f>VLOOKUP('Flow2 '!B70,'ALokasi Pelabuhan '!$A:$C,3,TRUE)</f>
        <v>P1</v>
      </c>
    </row>
    <row r="71" spans="1:5" x14ac:dyDescent="0.25">
      <c r="A71">
        <f t="shared" si="1"/>
        <v>3</v>
      </c>
      <c r="B71">
        <v>2</v>
      </c>
      <c r="C71" s="1">
        <v>936663</v>
      </c>
      <c r="D71" s="4" t="str">
        <f>VLOOKUP('Flow2 '!A71,'ALokasi Pelabuhan '!$A:$C,3,TRUE)</f>
        <v>P8</v>
      </c>
      <c r="E71" s="4" t="str">
        <f>VLOOKUP('Flow2 '!B71,'ALokasi Pelabuhan '!$A:$C,3,TRUE)</f>
        <v>P10</v>
      </c>
    </row>
    <row r="72" spans="1:5" x14ac:dyDescent="0.25">
      <c r="A72">
        <f t="shared" si="1"/>
        <v>3</v>
      </c>
      <c r="B72">
        <v>3</v>
      </c>
      <c r="C72" s="1">
        <v>3787636</v>
      </c>
      <c r="D72" s="4" t="str">
        <f>VLOOKUP('Flow2 '!A72,'ALokasi Pelabuhan '!$A:$C,3,TRUE)</f>
        <v>P8</v>
      </c>
      <c r="E72" s="4" t="str">
        <f>VLOOKUP('Flow2 '!B72,'ALokasi Pelabuhan '!$A:$C,3,TRUE)</f>
        <v>P8</v>
      </c>
    </row>
    <row r="73" spans="1:5" x14ac:dyDescent="0.25">
      <c r="A73">
        <f t="shared" si="1"/>
        <v>3</v>
      </c>
      <c r="B73">
        <v>4</v>
      </c>
      <c r="C73" s="1">
        <v>794948</v>
      </c>
      <c r="D73" s="4" t="str">
        <f>VLOOKUP('Flow2 '!A73,'ALokasi Pelabuhan '!$A:$C,3,TRUE)</f>
        <v>P8</v>
      </c>
      <c r="E73" s="4" t="str">
        <f>VLOOKUP('Flow2 '!B73,'ALokasi Pelabuhan '!$A:$C,3,TRUE)</f>
        <v>P4</v>
      </c>
    </row>
    <row r="74" spans="1:5" x14ac:dyDescent="0.25">
      <c r="A74">
        <f t="shared" si="1"/>
        <v>3</v>
      </c>
      <c r="B74">
        <v>5</v>
      </c>
      <c r="C74" s="1">
        <v>353218</v>
      </c>
      <c r="D74" s="4" t="str">
        <f>VLOOKUP('Flow2 '!A74,'ALokasi Pelabuhan '!$A:$C,3,TRUE)</f>
        <v>P8</v>
      </c>
      <c r="E74" s="4" t="str">
        <f>VLOOKUP('Flow2 '!B74,'ALokasi Pelabuhan '!$A:$C,3,TRUE)</f>
        <v>P19</v>
      </c>
    </row>
    <row r="75" spans="1:5" x14ac:dyDescent="0.25">
      <c r="A75">
        <f t="shared" si="1"/>
        <v>3</v>
      </c>
      <c r="B75">
        <v>6</v>
      </c>
      <c r="C75" s="1">
        <v>388456</v>
      </c>
      <c r="D75" s="4" t="str">
        <f>VLOOKUP('Flow2 '!A75,'ALokasi Pelabuhan '!$A:$C,3,TRUE)</f>
        <v>P8</v>
      </c>
      <c r="E75" s="4" t="str">
        <f>VLOOKUP('Flow2 '!B75,'ALokasi Pelabuhan '!$A:$C,3,TRUE)</f>
        <v>P8</v>
      </c>
    </row>
    <row r="76" spans="1:5" x14ac:dyDescent="0.25">
      <c r="A76">
        <f t="shared" si="1"/>
        <v>3</v>
      </c>
      <c r="B76">
        <v>7</v>
      </c>
      <c r="C76" s="1">
        <v>141414</v>
      </c>
      <c r="D76" s="4" t="str">
        <f>VLOOKUP('Flow2 '!A76,'ALokasi Pelabuhan '!$A:$C,3,TRUE)</f>
        <v>P8</v>
      </c>
      <c r="E76" s="4" t="str">
        <f>VLOOKUP('Flow2 '!B76,'ALokasi Pelabuhan '!$A:$C,3,TRUE)</f>
        <v>P5</v>
      </c>
    </row>
    <row r="77" spans="1:5" x14ac:dyDescent="0.25">
      <c r="A77">
        <f t="shared" si="1"/>
        <v>3</v>
      </c>
      <c r="B77">
        <v>8</v>
      </c>
      <c r="C77" s="1">
        <v>248623</v>
      </c>
      <c r="D77" s="4" t="str">
        <f>VLOOKUP('Flow2 '!A77,'ALokasi Pelabuhan '!$A:$C,3,TRUE)</f>
        <v>P8</v>
      </c>
      <c r="E77" s="4" t="str">
        <f>VLOOKUP('Flow2 '!B77,'ALokasi Pelabuhan '!$A:$C,3,TRUE)</f>
        <v>P8</v>
      </c>
    </row>
    <row r="78" spans="1:5" x14ac:dyDescent="0.25">
      <c r="A78">
        <f t="shared" si="1"/>
        <v>3</v>
      </c>
      <c r="B78">
        <v>9</v>
      </c>
      <c r="C78" s="1">
        <v>58333</v>
      </c>
      <c r="D78" s="4" t="str">
        <f>VLOOKUP('Flow2 '!A78,'ALokasi Pelabuhan '!$A:$C,3,TRUE)</f>
        <v>P8</v>
      </c>
      <c r="E78" s="4" t="str">
        <f>VLOOKUP('Flow2 '!B78,'ALokasi Pelabuhan '!$A:$C,3,TRUE)</f>
        <v>P9</v>
      </c>
    </row>
    <row r="79" spans="1:5" x14ac:dyDescent="0.25">
      <c r="A79">
        <f t="shared" si="1"/>
        <v>3</v>
      </c>
      <c r="B79">
        <v>10</v>
      </c>
      <c r="C79" s="1">
        <v>127723</v>
      </c>
      <c r="D79" s="4" t="str">
        <f>VLOOKUP('Flow2 '!A79,'ALokasi Pelabuhan '!$A:$C,3,TRUE)</f>
        <v>P8</v>
      </c>
      <c r="E79" s="4" t="str">
        <f>VLOOKUP('Flow2 '!B79,'ALokasi Pelabuhan '!$A:$C,3,TRUE)</f>
        <v>P10</v>
      </c>
    </row>
    <row r="80" spans="1:5" x14ac:dyDescent="0.25">
      <c r="A80">
        <f t="shared" si="1"/>
        <v>3</v>
      </c>
      <c r="B80">
        <v>11</v>
      </c>
      <c r="C80" s="1">
        <v>227293</v>
      </c>
      <c r="D80" s="4" t="str">
        <f>VLOOKUP('Flow2 '!A80,'ALokasi Pelabuhan '!$A:$C,3,TRUE)</f>
        <v>P8</v>
      </c>
      <c r="E80" s="4" t="str">
        <f>VLOOKUP('Flow2 '!B80,'ALokasi Pelabuhan '!$A:$C,3,TRUE)</f>
        <v>P11</v>
      </c>
    </row>
    <row r="81" spans="1:5" x14ac:dyDescent="0.25">
      <c r="A81">
        <f t="shared" si="1"/>
        <v>3</v>
      </c>
      <c r="B81">
        <v>12</v>
      </c>
      <c r="C81" s="1">
        <v>1058234</v>
      </c>
      <c r="D81" s="4" t="str">
        <f>VLOOKUP('Flow2 '!A81,'ALokasi Pelabuhan '!$A:$C,3,TRUE)</f>
        <v>P8</v>
      </c>
      <c r="E81" s="4" t="str">
        <f>VLOOKUP('Flow2 '!B81,'ALokasi Pelabuhan '!$A:$C,3,TRUE)</f>
        <v>P13</v>
      </c>
    </row>
    <row r="82" spans="1:5" x14ac:dyDescent="0.25">
      <c r="A82">
        <f t="shared" si="1"/>
        <v>3</v>
      </c>
      <c r="B82">
        <v>13</v>
      </c>
      <c r="C82" s="1">
        <v>643381</v>
      </c>
      <c r="D82" s="4" t="str">
        <f>VLOOKUP('Flow2 '!A82,'ALokasi Pelabuhan '!$A:$C,3,TRUE)</f>
        <v>P8</v>
      </c>
      <c r="E82" s="4" t="str">
        <f>VLOOKUP('Flow2 '!B82,'ALokasi Pelabuhan '!$A:$C,3,TRUE)</f>
        <v>P12</v>
      </c>
    </row>
    <row r="83" spans="1:5" x14ac:dyDescent="0.25">
      <c r="A83">
        <f t="shared" si="1"/>
        <v>3</v>
      </c>
      <c r="B83">
        <v>14</v>
      </c>
      <c r="C83" s="1">
        <v>67431</v>
      </c>
      <c r="D83" s="4" t="str">
        <f>VLOOKUP('Flow2 '!A83,'ALokasi Pelabuhan '!$A:$C,3,TRUE)</f>
        <v>P8</v>
      </c>
      <c r="E83" s="4" t="str">
        <f>VLOOKUP('Flow2 '!B83,'ALokasi Pelabuhan '!$A:$C,3,TRUE)</f>
        <v>P14</v>
      </c>
    </row>
    <row r="84" spans="1:5" x14ac:dyDescent="0.25">
      <c r="A84">
        <f t="shared" si="1"/>
        <v>3</v>
      </c>
      <c r="B84">
        <v>15</v>
      </c>
      <c r="C84" s="1">
        <v>607451</v>
      </c>
      <c r="D84" s="4" t="str">
        <f>VLOOKUP('Flow2 '!A84,'ALokasi Pelabuhan '!$A:$C,3,TRUE)</f>
        <v>P8</v>
      </c>
      <c r="E84" s="4" t="str">
        <f>VLOOKUP('Flow2 '!B84,'ALokasi Pelabuhan '!$A:$C,3,TRUE)</f>
        <v>P15</v>
      </c>
    </row>
    <row r="85" spans="1:5" x14ac:dyDescent="0.25">
      <c r="A85">
        <f t="shared" si="1"/>
        <v>3</v>
      </c>
      <c r="B85">
        <v>16</v>
      </c>
      <c r="C85" s="1">
        <v>301843</v>
      </c>
      <c r="D85" s="4" t="str">
        <f>VLOOKUP('Flow2 '!A85,'ALokasi Pelabuhan '!$A:$C,3,TRUE)</f>
        <v>P8</v>
      </c>
      <c r="E85" s="4" t="str">
        <f>VLOOKUP('Flow2 '!B85,'ALokasi Pelabuhan '!$A:$C,3,TRUE)</f>
        <v>P6</v>
      </c>
    </row>
    <row r="86" spans="1:5" x14ac:dyDescent="0.25">
      <c r="A86">
        <f t="shared" si="1"/>
        <v>3</v>
      </c>
      <c r="B86">
        <v>17</v>
      </c>
      <c r="C86" s="1">
        <v>63617</v>
      </c>
      <c r="D86" s="4" t="str">
        <f>VLOOKUP('Flow2 '!A86,'ALokasi Pelabuhan '!$A:$C,3,TRUE)</f>
        <v>P8</v>
      </c>
      <c r="E86" s="4" t="str">
        <f>VLOOKUP('Flow2 '!B86,'ALokasi Pelabuhan '!$A:$C,3,TRUE)</f>
        <v>P3</v>
      </c>
    </row>
    <row r="87" spans="1:5" x14ac:dyDescent="0.25">
      <c r="A87">
        <f t="shared" si="1"/>
        <v>3</v>
      </c>
      <c r="B87">
        <v>18</v>
      </c>
      <c r="C87" s="1">
        <v>75433</v>
      </c>
      <c r="D87" s="4" t="str">
        <f>VLOOKUP('Flow2 '!A87,'ALokasi Pelabuhan '!$A:$C,3,TRUE)</f>
        <v>P8</v>
      </c>
      <c r="E87" s="4" t="str">
        <f>VLOOKUP('Flow2 '!B87,'ALokasi Pelabuhan '!$A:$C,3,TRUE)</f>
        <v>P7</v>
      </c>
    </row>
    <row r="88" spans="1:5" x14ac:dyDescent="0.25">
      <c r="A88">
        <f t="shared" si="1"/>
        <v>3</v>
      </c>
      <c r="B88">
        <v>19</v>
      </c>
      <c r="C88" s="1">
        <v>83995</v>
      </c>
      <c r="D88" s="4" t="str">
        <f>VLOOKUP('Flow2 '!A88,'ALokasi Pelabuhan '!$A:$C,3,TRUE)</f>
        <v>P8</v>
      </c>
      <c r="E88" s="4" t="str">
        <f>VLOOKUP('Flow2 '!B88,'ALokasi Pelabuhan '!$A:$C,3,TRUE)</f>
        <v>P22</v>
      </c>
    </row>
    <row r="89" spans="1:5" x14ac:dyDescent="0.25">
      <c r="A89">
        <f t="shared" si="1"/>
        <v>3</v>
      </c>
      <c r="B89">
        <v>20</v>
      </c>
      <c r="C89" s="1">
        <v>135611</v>
      </c>
      <c r="D89" s="4" t="str">
        <f>VLOOKUP('Flow2 '!A89,'ALokasi Pelabuhan '!$A:$C,3,TRUE)</f>
        <v>P8</v>
      </c>
      <c r="E89" s="4" t="str">
        <f>VLOOKUP('Flow2 '!B89,'ALokasi Pelabuhan '!$A:$C,3,TRUE)</f>
        <v>P21</v>
      </c>
    </row>
    <row r="90" spans="1:5" x14ac:dyDescent="0.25">
      <c r="A90">
        <f t="shared" si="1"/>
        <v>3</v>
      </c>
      <c r="B90">
        <v>21</v>
      </c>
      <c r="C90" s="1">
        <v>61046</v>
      </c>
      <c r="D90" s="4" t="str">
        <f>VLOOKUP('Flow2 '!A90,'ALokasi Pelabuhan '!$A:$C,3,TRUE)</f>
        <v>P8</v>
      </c>
      <c r="E90" s="4" t="str">
        <f>VLOOKUP('Flow2 '!B90,'ALokasi Pelabuhan '!$A:$C,3,TRUE)</f>
        <v>P20</v>
      </c>
    </row>
    <row r="91" spans="1:5" x14ac:dyDescent="0.25">
      <c r="A91">
        <f t="shared" si="1"/>
        <v>3</v>
      </c>
      <c r="B91">
        <v>22</v>
      </c>
      <c r="C91" s="1">
        <v>70667</v>
      </c>
      <c r="D91" s="4" t="str">
        <f>VLOOKUP('Flow2 '!A91,'ALokasi Pelabuhan '!$A:$C,3,TRUE)</f>
        <v>P8</v>
      </c>
      <c r="E91" s="4" t="str">
        <f>VLOOKUP('Flow2 '!B91,'ALokasi Pelabuhan '!$A:$C,3,TRUE)</f>
        <v>P20</v>
      </c>
    </row>
    <row r="92" spans="1:5" x14ac:dyDescent="0.25">
      <c r="A92">
        <f t="shared" si="1"/>
        <v>3</v>
      </c>
      <c r="B92">
        <v>23</v>
      </c>
      <c r="C92" s="1">
        <v>56502</v>
      </c>
      <c r="D92" s="4" t="str">
        <f>VLOOKUP('Flow2 '!A92,'ALokasi Pelabuhan '!$A:$C,3,TRUE)</f>
        <v>P8</v>
      </c>
      <c r="E92" s="4" t="str">
        <f>VLOOKUP('Flow2 '!B92,'ALokasi Pelabuhan '!$A:$C,3,TRUE)</f>
        <v>P24</v>
      </c>
    </row>
    <row r="93" spans="1:5" x14ac:dyDescent="0.25">
      <c r="A93">
        <f t="shared" si="1"/>
        <v>3</v>
      </c>
      <c r="B93">
        <v>24</v>
      </c>
      <c r="C93" s="1">
        <v>9166</v>
      </c>
      <c r="D93" s="4" t="str">
        <f>VLOOKUP('Flow2 '!A93,'ALokasi Pelabuhan '!$A:$C,3,TRUE)</f>
        <v>P8</v>
      </c>
      <c r="E93" s="4" t="str">
        <f>VLOOKUP('Flow2 '!B93,'ALokasi Pelabuhan '!$A:$C,3,TRUE)</f>
        <v>P23</v>
      </c>
    </row>
    <row r="94" spans="1:5" x14ac:dyDescent="0.25">
      <c r="A94">
        <f t="shared" si="1"/>
        <v>3</v>
      </c>
      <c r="B94">
        <v>25</v>
      </c>
      <c r="C94" s="1">
        <v>29824</v>
      </c>
      <c r="D94" s="4" t="str">
        <f>VLOOKUP('Flow2 '!A94,'ALokasi Pelabuhan '!$A:$C,3,TRUE)</f>
        <v>P8</v>
      </c>
      <c r="E94" s="4" t="str">
        <f>VLOOKUP('Flow2 '!B94,'ALokasi Pelabuhan '!$A:$C,3,TRUE)</f>
        <v>P2</v>
      </c>
    </row>
    <row r="95" spans="1:5" x14ac:dyDescent="0.25">
      <c r="A95">
        <f t="shared" si="1"/>
        <v>3</v>
      </c>
      <c r="B95">
        <v>26</v>
      </c>
      <c r="C95" s="1">
        <v>41612</v>
      </c>
      <c r="D95" s="4" t="str">
        <f>VLOOKUP('Flow2 '!A95,'ALokasi Pelabuhan '!$A:$C,3,TRUE)</f>
        <v>P8</v>
      </c>
      <c r="E95" s="4" t="str">
        <f>VLOOKUP('Flow2 '!B95,'ALokasi Pelabuhan '!$A:$C,3,TRUE)</f>
        <v>P17</v>
      </c>
    </row>
    <row r="96" spans="1:5" x14ac:dyDescent="0.25">
      <c r="A96">
        <f t="shared" si="1"/>
        <v>3</v>
      </c>
      <c r="B96">
        <v>27</v>
      </c>
      <c r="C96" s="1">
        <v>115686</v>
      </c>
      <c r="D96" s="4" t="str">
        <f>VLOOKUP('Flow2 '!A96,'ALokasi Pelabuhan '!$A:$C,3,TRUE)</f>
        <v>P8</v>
      </c>
      <c r="E96" s="4" t="str">
        <f>VLOOKUP('Flow2 '!B96,'ALokasi Pelabuhan '!$A:$C,3,TRUE)</f>
        <v>P17</v>
      </c>
    </row>
    <row r="97" spans="1:5" x14ac:dyDescent="0.25">
      <c r="A97">
        <f t="shared" si="1"/>
        <v>3</v>
      </c>
      <c r="B97">
        <v>28</v>
      </c>
      <c r="C97" s="1">
        <v>35753</v>
      </c>
      <c r="D97" s="4" t="str">
        <f>VLOOKUP('Flow2 '!A97,'ALokasi Pelabuhan '!$A:$C,3,TRUE)</f>
        <v>P8</v>
      </c>
      <c r="E97" s="4" t="str">
        <f>VLOOKUP('Flow2 '!B97,'ALokasi Pelabuhan '!$A:$C,3,TRUE)</f>
        <v>P16</v>
      </c>
    </row>
    <row r="98" spans="1:5" x14ac:dyDescent="0.25">
      <c r="A98">
        <f t="shared" si="1"/>
        <v>3</v>
      </c>
      <c r="B98">
        <v>29</v>
      </c>
      <c r="C98" s="1">
        <v>12854</v>
      </c>
      <c r="D98" s="4" t="str">
        <f>VLOOKUP('Flow2 '!A98,'ALokasi Pelabuhan '!$A:$C,3,TRUE)</f>
        <v>P8</v>
      </c>
      <c r="E98" s="4" t="str">
        <f>VLOOKUP('Flow2 '!B98,'ALokasi Pelabuhan '!$A:$C,3,TRUE)</f>
        <v>P18</v>
      </c>
    </row>
    <row r="99" spans="1:5" x14ac:dyDescent="0.25">
      <c r="A99">
        <f t="shared" si="1"/>
        <v>3</v>
      </c>
      <c r="B99">
        <v>30</v>
      </c>
      <c r="C99" s="1">
        <v>19907</v>
      </c>
      <c r="D99" s="4" t="str">
        <f>VLOOKUP('Flow2 '!A99,'ALokasi Pelabuhan '!$A:$C,3,TRUE)</f>
        <v>P8</v>
      </c>
      <c r="E99" s="4" t="str">
        <f>VLOOKUP('Flow2 '!B99,'ALokasi Pelabuhan '!$A:$C,3,TRUE)</f>
        <v>P19</v>
      </c>
    </row>
    <row r="100" spans="1:5" x14ac:dyDescent="0.25">
      <c r="A100">
        <f t="shared" si="1"/>
        <v>3</v>
      </c>
      <c r="B100">
        <v>31</v>
      </c>
      <c r="C100" s="1">
        <v>26233</v>
      </c>
      <c r="D100" s="4" t="str">
        <f>VLOOKUP('Flow2 '!A100,'ALokasi Pelabuhan '!$A:$C,3,TRUE)</f>
        <v>P8</v>
      </c>
      <c r="E100" s="4" t="str">
        <f>VLOOKUP('Flow2 '!B100,'ALokasi Pelabuhan '!$A:$C,3,TRUE)</f>
        <v>P4</v>
      </c>
    </row>
    <row r="101" spans="1:5" x14ac:dyDescent="0.25">
      <c r="A101">
        <f t="shared" si="1"/>
        <v>3</v>
      </c>
      <c r="B101">
        <v>32</v>
      </c>
      <c r="C101" s="1">
        <v>14929</v>
      </c>
      <c r="D101" s="4" t="str">
        <f>VLOOKUP('Flow2 '!A101,'ALokasi Pelabuhan '!$A:$C,3,TRUE)</f>
        <v>P8</v>
      </c>
      <c r="E101" s="4" t="str">
        <f>VLOOKUP('Flow2 '!B101,'ALokasi Pelabuhan '!$A:$C,3,TRUE)</f>
        <v>P6</v>
      </c>
    </row>
    <row r="102" spans="1:5" x14ac:dyDescent="0.25">
      <c r="A102">
        <f t="shared" si="1"/>
        <v>3</v>
      </c>
      <c r="B102">
        <v>33</v>
      </c>
      <c r="C102" s="1">
        <v>6687.7877270955996</v>
      </c>
      <c r="D102" s="4" t="str">
        <f>VLOOKUP('Flow2 '!A102,'ALokasi Pelabuhan '!$A:$C,3,TRUE)</f>
        <v>P8</v>
      </c>
      <c r="E102" s="4" t="str">
        <f>VLOOKUP('Flow2 '!B102,'ALokasi Pelabuhan '!$A:$C,3,TRUE)</f>
        <v>P2</v>
      </c>
    </row>
    <row r="103" spans="1:5" x14ac:dyDescent="0.25">
      <c r="A103">
        <f t="shared" si="1"/>
        <v>3</v>
      </c>
      <c r="B103">
        <v>34</v>
      </c>
      <c r="C103" s="1">
        <v>24011.212272904409</v>
      </c>
      <c r="D103" s="4" t="str">
        <f>VLOOKUP('Flow2 '!A103,'ALokasi Pelabuhan '!$A:$C,3,TRUE)</f>
        <v>P8</v>
      </c>
      <c r="E103" s="4" t="str">
        <f>VLOOKUP('Flow2 '!B103,'ALokasi Pelabuhan '!$A:$C,3,TRUE)</f>
        <v>P9</v>
      </c>
    </row>
    <row r="104" spans="1:5" x14ac:dyDescent="0.25">
      <c r="A104">
        <f t="shared" si="1"/>
        <v>4</v>
      </c>
      <c r="B104">
        <v>1</v>
      </c>
      <c r="C104" s="1">
        <v>46077</v>
      </c>
      <c r="D104" s="4" t="str">
        <f>VLOOKUP('Flow2 '!A104,'ALokasi Pelabuhan '!$A:$C,3,TRUE)</f>
        <v>P4</v>
      </c>
      <c r="E104" s="4" t="str">
        <f>VLOOKUP('Flow2 '!B104,'ALokasi Pelabuhan '!$A:$C,3,TRUE)</f>
        <v>P1</v>
      </c>
    </row>
    <row r="105" spans="1:5" x14ac:dyDescent="0.25">
      <c r="A105">
        <f t="shared" si="1"/>
        <v>4</v>
      </c>
      <c r="B105">
        <v>2</v>
      </c>
      <c r="C105" s="1">
        <v>180188</v>
      </c>
      <c r="D105" s="4" t="str">
        <f>VLOOKUP('Flow2 '!A105,'ALokasi Pelabuhan '!$A:$C,3,TRUE)</f>
        <v>P4</v>
      </c>
      <c r="E105" s="4" t="str">
        <f>VLOOKUP('Flow2 '!B105,'ALokasi Pelabuhan '!$A:$C,3,TRUE)</f>
        <v>P10</v>
      </c>
    </row>
    <row r="106" spans="1:5" x14ac:dyDescent="0.25">
      <c r="A106">
        <f t="shared" si="1"/>
        <v>4</v>
      </c>
      <c r="B106">
        <v>3</v>
      </c>
      <c r="C106" s="1">
        <v>126415</v>
      </c>
      <c r="D106" s="4" t="str">
        <f>VLOOKUP('Flow2 '!A106,'ALokasi Pelabuhan '!$A:$C,3,TRUE)</f>
        <v>P4</v>
      </c>
      <c r="E106" s="4" t="str">
        <f>VLOOKUP('Flow2 '!B106,'ALokasi Pelabuhan '!$A:$C,3,TRUE)</f>
        <v>P8</v>
      </c>
    </row>
    <row r="107" spans="1:5" x14ac:dyDescent="0.25">
      <c r="A107">
        <f t="shared" si="1"/>
        <v>4</v>
      </c>
      <c r="B107">
        <v>4</v>
      </c>
      <c r="C107" s="1">
        <v>515289</v>
      </c>
      <c r="D107" s="4" t="str">
        <f>VLOOKUP('Flow2 '!A107,'ALokasi Pelabuhan '!$A:$C,3,TRUE)</f>
        <v>P4</v>
      </c>
      <c r="E107" s="4" t="str">
        <f>VLOOKUP('Flow2 '!B107,'ALokasi Pelabuhan '!$A:$C,3,TRUE)</f>
        <v>P4</v>
      </c>
    </row>
    <row r="108" spans="1:5" x14ac:dyDescent="0.25">
      <c r="A108">
        <f t="shared" si="1"/>
        <v>4</v>
      </c>
      <c r="B108">
        <v>5</v>
      </c>
      <c r="C108" s="1">
        <v>78081</v>
      </c>
      <c r="D108" s="4" t="str">
        <f>VLOOKUP('Flow2 '!A108,'ALokasi Pelabuhan '!$A:$C,3,TRUE)</f>
        <v>P4</v>
      </c>
      <c r="E108" s="4" t="str">
        <f>VLOOKUP('Flow2 '!B108,'ALokasi Pelabuhan '!$A:$C,3,TRUE)</f>
        <v>P19</v>
      </c>
    </row>
    <row r="109" spans="1:5" x14ac:dyDescent="0.25">
      <c r="A109">
        <f t="shared" si="1"/>
        <v>4</v>
      </c>
      <c r="B109">
        <v>6</v>
      </c>
      <c r="C109" s="1">
        <v>80096</v>
      </c>
      <c r="D109" s="4" t="str">
        <f>VLOOKUP('Flow2 '!A109,'ALokasi Pelabuhan '!$A:$C,3,TRUE)</f>
        <v>P4</v>
      </c>
      <c r="E109" s="4" t="str">
        <f>VLOOKUP('Flow2 '!B109,'ALokasi Pelabuhan '!$A:$C,3,TRUE)</f>
        <v>P8</v>
      </c>
    </row>
    <row r="110" spans="1:5" x14ac:dyDescent="0.25">
      <c r="A110">
        <f t="shared" si="1"/>
        <v>4</v>
      </c>
      <c r="B110">
        <v>7</v>
      </c>
      <c r="C110" s="1">
        <v>22262</v>
      </c>
      <c r="D110" s="4" t="str">
        <f>VLOOKUP('Flow2 '!A110,'ALokasi Pelabuhan '!$A:$C,3,TRUE)</f>
        <v>P4</v>
      </c>
      <c r="E110" s="4" t="str">
        <f>VLOOKUP('Flow2 '!B110,'ALokasi Pelabuhan '!$A:$C,3,TRUE)</f>
        <v>P5</v>
      </c>
    </row>
    <row r="111" spans="1:5" x14ac:dyDescent="0.25">
      <c r="A111">
        <f t="shared" si="1"/>
        <v>4</v>
      </c>
      <c r="B111">
        <v>8</v>
      </c>
      <c r="C111" s="1">
        <v>50824</v>
      </c>
      <c r="D111" s="4" t="str">
        <f>VLOOKUP('Flow2 '!A111,'ALokasi Pelabuhan '!$A:$C,3,TRUE)</f>
        <v>P4</v>
      </c>
      <c r="E111" s="4" t="str">
        <f>VLOOKUP('Flow2 '!B111,'ALokasi Pelabuhan '!$A:$C,3,TRUE)</f>
        <v>P8</v>
      </c>
    </row>
    <row r="112" spans="1:5" x14ac:dyDescent="0.25">
      <c r="A112">
        <f t="shared" si="1"/>
        <v>4</v>
      </c>
      <c r="B112">
        <v>9</v>
      </c>
      <c r="C112" s="1">
        <v>13570</v>
      </c>
      <c r="D112" s="4" t="str">
        <f>VLOOKUP('Flow2 '!A112,'ALokasi Pelabuhan '!$A:$C,3,TRUE)</f>
        <v>P4</v>
      </c>
      <c r="E112" s="4" t="str">
        <f>VLOOKUP('Flow2 '!B112,'ALokasi Pelabuhan '!$A:$C,3,TRUE)</f>
        <v>P9</v>
      </c>
    </row>
    <row r="113" spans="1:5" x14ac:dyDescent="0.25">
      <c r="A113">
        <f t="shared" si="1"/>
        <v>4</v>
      </c>
      <c r="B113">
        <v>10</v>
      </c>
      <c r="C113" s="1">
        <v>43561</v>
      </c>
      <c r="D113" s="4" t="str">
        <f>VLOOKUP('Flow2 '!A113,'ALokasi Pelabuhan '!$A:$C,3,TRUE)</f>
        <v>P4</v>
      </c>
      <c r="E113" s="4" t="str">
        <f>VLOOKUP('Flow2 '!B113,'ALokasi Pelabuhan '!$A:$C,3,TRUE)</f>
        <v>P10</v>
      </c>
    </row>
    <row r="114" spans="1:5" x14ac:dyDescent="0.25">
      <c r="A114">
        <f t="shared" si="1"/>
        <v>4</v>
      </c>
      <c r="B114">
        <v>11</v>
      </c>
      <c r="C114" s="1">
        <v>51261</v>
      </c>
      <c r="D114" s="4" t="str">
        <f>VLOOKUP('Flow2 '!A114,'ALokasi Pelabuhan '!$A:$C,3,TRUE)</f>
        <v>P4</v>
      </c>
      <c r="E114" s="4" t="str">
        <f>VLOOKUP('Flow2 '!B114,'ALokasi Pelabuhan '!$A:$C,3,TRUE)</f>
        <v>P11</v>
      </c>
    </row>
    <row r="115" spans="1:5" x14ac:dyDescent="0.25">
      <c r="A115">
        <f t="shared" si="1"/>
        <v>4</v>
      </c>
      <c r="B115">
        <v>12</v>
      </c>
      <c r="C115" s="1">
        <v>224648</v>
      </c>
      <c r="D115" s="4" t="str">
        <f>VLOOKUP('Flow2 '!A115,'ALokasi Pelabuhan '!$A:$C,3,TRUE)</f>
        <v>P4</v>
      </c>
      <c r="E115" s="4" t="str">
        <f>VLOOKUP('Flow2 '!B115,'ALokasi Pelabuhan '!$A:$C,3,TRUE)</f>
        <v>P13</v>
      </c>
    </row>
    <row r="116" spans="1:5" x14ac:dyDescent="0.25">
      <c r="A116">
        <f t="shared" si="1"/>
        <v>4</v>
      </c>
      <c r="B116">
        <v>13</v>
      </c>
      <c r="C116" s="1">
        <v>134589</v>
      </c>
      <c r="D116" s="4" t="str">
        <f>VLOOKUP('Flow2 '!A116,'ALokasi Pelabuhan '!$A:$C,3,TRUE)</f>
        <v>P4</v>
      </c>
      <c r="E116" s="4" t="str">
        <f>VLOOKUP('Flow2 '!B116,'ALokasi Pelabuhan '!$A:$C,3,TRUE)</f>
        <v>P12</v>
      </c>
    </row>
    <row r="117" spans="1:5" x14ac:dyDescent="0.25">
      <c r="A117">
        <f t="shared" si="1"/>
        <v>4</v>
      </c>
      <c r="B117">
        <v>14</v>
      </c>
      <c r="C117" s="1">
        <v>13923</v>
      </c>
      <c r="D117" s="4" t="str">
        <f>VLOOKUP('Flow2 '!A117,'ALokasi Pelabuhan '!$A:$C,3,TRUE)</f>
        <v>P4</v>
      </c>
      <c r="E117" s="4" t="str">
        <f>VLOOKUP('Flow2 '!B117,'ALokasi Pelabuhan '!$A:$C,3,TRUE)</f>
        <v>P14</v>
      </c>
    </row>
    <row r="118" spans="1:5" x14ac:dyDescent="0.25">
      <c r="A118">
        <f t="shared" si="1"/>
        <v>4</v>
      </c>
      <c r="B118">
        <v>15</v>
      </c>
      <c r="C118" s="1">
        <v>131162</v>
      </c>
      <c r="D118" s="4" t="str">
        <f>VLOOKUP('Flow2 '!A118,'ALokasi Pelabuhan '!$A:$C,3,TRUE)</f>
        <v>P4</v>
      </c>
      <c r="E118" s="4" t="str">
        <f>VLOOKUP('Flow2 '!B118,'ALokasi Pelabuhan '!$A:$C,3,TRUE)</f>
        <v>P15</v>
      </c>
    </row>
    <row r="119" spans="1:5" x14ac:dyDescent="0.25">
      <c r="A119">
        <f t="shared" si="1"/>
        <v>4</v>
      </c>
      <c r="B119">
        <v>16</v>
      </c>
      <c r="C119" s="1">
        <v>66198</v>
      </c>
      <c r="D119" s="4" t="str">
        <f>VLOOKUP('Flow2 '!A119,'ALokasi Pelabuhan '!$A:$C,3,TRUE)</f>
        <v>P4</v>
      </c>
      <c r="E119" s="4" t="str">
        <f>VLOOKUP('Flow2 '!B119,'ALokasi Pelabuhan '!$A:$C,3,TRUE)</f>
        <v>P6</v>
      </c>
    </row>
    <row r="120" spans="1:5" x14ac:dyDescent="0.25">
      <c r="A120">
        <f t="shared" si="1"/>
        <v>4</v>
      </c>
      <c r="B120">
        <v>17</v>
      </c>
      <c r="C120" s="1">
        <v>12995</v>
      </c>
      <c r="D120" s="4" t="str">
        <f>VLOOKUP('Flow2 '!A120,'ALokasi Pelabuhan '!$A:$C,3,TRUE)</f>
        <v>P4</v>
      </c>
      <c r="E120" s="4" t="str">
        <f>VLOOKUP('Flow2 '!B120,'ALokasi Pelabuhan '!$A:$C,3,TRUE)</f>
        <v>P3</v>
      </c>
    </row>
    <row r="121" spans="1:5" x14ac:dyDescent="0.25">
      <c r="A121">
        <f t="shared" si="1"/>
        <v>4</v>
      </c>
      <c r="B121">
        <v>18</v>
      </c>
      <c r="C121" s="1">
        <v>15168</v>
      </c>
      <c r="D121" s="4" t="str">
        <f>VLOOKUP('Flow2 '!A121,'ALokasi Pelabuhan '!$A:$C,3,TRUE)</f>
        <v>P4</v>
      </c>
      <c r="E121" s="4" t="str">
        <f>VLOOKUP('Flow2 '!B121,'ALokasi Pelabuhan '!$A:$C,3,TRUE)</f>
        <v>P7</v>
      </c>
    </row>
    <row r="122" spans="1:5" x14ac:dyDescent="0.25">
      <c r="A122">
        <f t="shared" si="1"/>
        <v>4</v>
      </c>
      <c r="B122">
        <v>19</v>
      </c>
      <c r="C122" s="1">
        <v>16079</v>
      </c>
      <c r="D122" s="4" t="str">
        <f>VLOOKUP('Flow2 '!A122,'ALokasi Pelabuhan '!$A:$C,3,TRUE)</f>
        <v>P4</v>
      </c>
      <c r="E122" s="4" t="str">
        <f>VLOOKUP('Flow2 '!B122,'ALokasi Pelabuhan '!$A:$C,3,TRUE)</f>
        <v>P22</v>
      </c>
    </row>
    <row r="123" spans="1:5" x14ac:dyDescent="0.25">
      <c r="A123">
        <f t="shared" si="1"/>
        <v>4</v>
      </c>
      <c r="B123">
        <v>20</v>
      </c>
      <c r="C123" s="1">
        <v>30267</v>
      </c>
      <c r="D123" s="4" t="str">
        <f>VLOOKUP('Flow2 '!A123,'ALokasi Pelabuhan '!$A:$C,3,TRUE)</f>
        <v>P4</v>
      </c>
      <c r="E123" s="4" t="str">
        <f>VLOOKUP('Flow2 '!B123,'ALokasi Pelabuhan '!$A:$C,3,TRUE)</f>
        <v>P21</v>
      </c>
    </row>
    <row r="124" spans="1:5" x14ac:dyDescent="0.25">
      <c r="A124">
        <f t="shared" si="1"/>
        <v>4</v>
      </c>
      <c r="B124">
        <v>21</v>
      </c>
      <c r="C124" s="1">
        <v>11496</v>
      </c>
      <c r="D124" s="4" t="str">
        <f>VLOOKUP('Flow2 '!A124,'ALokasi Pelabuhan '!$A:$C,3,TRUE)</f>
        <v>P4</v>
      </c>
      <c r="E124" s="4" t="str">
        <f>VLOOKUP('Flow2 '!B124,'ALokasi Pelabuhan '!$A:$C,3,TRUE)</f>
        <v>P20</v>
      </c>
    </row>
    <row r="125" spans="1:5" x14ac:dyDescent="0.25">
      <c r="A125">
        <f t="shared" si="1"/>
        <v>4</v>
      </c>
      <c r="B125">
        <v>22</v>
      </c>
      <c r="C125" s="1">
        <v>14730</v>
      </c>
      <c r="D125" s="4" t="str">
        <f>VLOOKUP('Flow2 '!A125,'ALokasi Pelabuhan '!$A:$C,3,TRUE)</f>
        <v>P4</v>
      </c>
      <c r="E125" s="4" t="str">
        <f>VLOOKUP('Flow2 '!B125,'ALokasi Pelabuhan '!$A:$C,3,TRUE)</f>
        <v>P20</v>
      </c>
    </row>
    <row r="126" spans="1:5" x14ac:dyDescent="0.25">
      <c r="A126">
        <f t="shared" si="1"/>
        <v>4</v>
      </c>
      <c r="B126">
        <v>23</v>
      </c>
      <c r="C126" s="1">
        <v>11783</v>
      </c>
      <c r="D126" s="4" t="str">
        <f>VLOOKUP('Flow2 '!A126,'ALokasi Pelabuhan '!$A:$C,3,TRUE)</f>
        <v>P4</v>
      </c>
      <c r="E126" s="4" t="str">
        <f>VLOOKUP('Flow2 '!B126,'ALokasi Pelabuhan '!$A:$C,3,TRUE)</f>
        <v>P24</v>
      </c>
    </row>
    <row r="127" spans="1:5" x14ac:dyDescent="0.25">
      <c r="A127">
        <f t="shared" si="1"/>
        <v>4</v>
      </c>
      <c r="B127">
        <v>24</v>
      </c>
      <c r="C127" s="1">
        <v>1878</v>
      </c>
      <c r="D127" s="4" t="str">
        <f>VLOOKUP('Flow2 '!A127,'ALokasi Pelabuhan '!$A:$C,3,TRUE)</f>
        <v>P4</v>
      </c>
      <c r="E127" s="4" t="str">
        <f>VLOOKUP('Flow2 '!B127,'ALokasi Pelabuhan '!$A:$C,3,TRUE)</f>
        <v>P23</v>
      </c>
    </row>
    <row r="128" spans="1:5" x14ac:dyDescent="0.25">
      <c r="A128">
        <f t="shared" si="1"/>
        <v>4</v>
      </c>
      <c r="B128">
        <v>25</v>
      </c>
      <c r="C128" s="1">
        <v>5911</v>
      </c>
      <c r="D128" s="4" t="str">
        <f>VLOOKUP('Flow2 '!A128,'ALokasi Pelabuhan '!$A:$C,3,TRUE)</f>
        <v>P4</v>
      </c>
      <c r="E128" s="4" t="str">
        <f>VLOOKUP('Flow2 '!B128,'ALokasi Pelabuhan '!$A:$C,3,TRUE)</f>
        <v>P2</v>
      </c>
    </row>
    <row r="129" spans="1:5" x14ac:dyDescent="0.25">
      <c r="A129">
        <f t="shared" si="1"/>
        <v>4</v>
      </c>
      <c r="B129">
        <v>26</v>
      </c>
      <c r="C129" s="1">
        <v>8443</v>
      </c>
      <c r="D129" s="4" t="str">
        <f>VLOOKUP('Flow2 '!A129,'ALokasi Pelabuhan '!$A:$C,3,TRUE)</f>
        <v>P4</v>
      </c>
      <c r="E129" s="4" t="str">
        <f>VLOOKUP('Flow2 '!B129,'ALokasi Pelabuhan '!$A:$C,3,TRUE)</f>
        <v>P17</v>
      </c>
    </row>
    <row r="130" spans="1:5" x14ac:dyDescent="0.25">
      <c r="A130">
        <f t="shared" si="1"/>
        <v>4</v>
      </c>
      <c r="B130">
        <v>27</v>
      </c>
      <c r="C130" s="1">
        <v>23821</v>
      </c>
      <c r="D130" s="4" t="str">
        <f>VLOOKUP('Flow2 '!A130,'ALokasi Pelabuhan '!$A:$C,3,TRUE)</f>
        <v>P4</v>
      </c>
      <c r="E130" s="4" t="str">
        <f>VLOOKUP('Flow2 '!B130,'ALokasi Pelabuhan '!$A:$C,3,TRUE)</f>
        <v>P17</v>
      </c>
    </row>
    <row r="131" spans="1:5" x14ac:dyDescent="0.25">
      <c r="A131">
        <f t="shared" ref="A131:A194" si="2">INT((ROW()-ROW($A$2))/34)+1</f>
        <v>4</v>
      </c>
      <c r="B131">
        <v>28</v>
      </c>
      <c r="C131" s="1">
        <v>7111</v>
      </c>
      <c r="D131" s="4" t="str">
        <f>VLOOKUP('Flow2 '!A131,'ALokasi Pelabuhan '!$A:$C,3,TRUE)</f>
        <v>P4</v>
      </c>
      <c r="E131" s="4" t="str">
        <f>VLOOKUP('Flow2 '!B131,'ALokasi Pelabuhan '!$A:$C,3,TRUE)</f>
        <v>P16</v>
      </c>
    </row>
    <row r="132" spans="1:5" x14ac:dyDescent="0.25">
      <c r="A132">
        <f t="shared" si="2"/>
        <v>4</v>
      </c>
      <c r="B132">
        <v>29</v>
      </c>
      <c r="C132" s="1">
        <v>2582</v>
      </c>
      <c r="D132" s="4" t="str">
        <f>VLOOKUP('Flow2 '!A132,'ALokasi Pelabuhan '!$A:$C,3,TRUE)</f>
        <v>P4</v>
      </c>
      <c r="E132" s="4" t="str">
        <f>VLOOKUP('Flow2 '!B132,'ALokasi Pelabuhan '!$A:$C,3,TRUE)</f>
        <v>P18</v>
      </c>
    </row>
    <row r="133" spans="1:5" x14ac:dyDescent="0.25">
      <c r="A133">
        <f t="shared" si="2"/>
        <v>4</v>
      </c>
      <c r="B133">
        <v>30</v>
      </c>
      <c r="C133" s="1">
        <v>4012</v>
      </c>
      <c r="D133" s="4" t="str">
        <f>VLOOKUP('Flow2 '!A133,'ALokasi Pelabuhan '!$A:$C,3,TRUE)</f>
        <v>P4</v>
      </c>
      <c r="E133" s="4" t="str">
        <f>VLOOKUP('Flow2 '!B133,'ALokasi Pelabuhan '!$A:$C,3,TRUE)</f>
        <v>P19</v>
      </c>
    </row>
    <row r="134" spans="1:5" x14ac:dyDescent="0.25">
      <c r="A134">
        <f t="shared" si="2"/>
        <v>4</v>
      </c>
      <c r="B134">
        <v>31</v>
      </c>
      <c r="C134" s="1">
        <v>4853</v>
      </c>
      <c r="D134" s="4" t="str">
        <f>VLOOKUP('Flow2 '!A134,'ALokasi Pelabuhan '!$A:$C,3,TRUE)</f>
        <v>P4</v>
      </c>
      <c r="E134" s="4" t="str">
        <f>VLOOKUP('Flow2 '!B134,'ALokasi Pelabuhan '!$A:$C,3,TRUE)</f>
        <v>P4</v>
      </c>
    </row>
    <row r="135" spans="1:5" x14ac:dyDescent="0.25">
      <c r="A135">
        <f t="shared" si="2"/>
        <v>4</v>
      </c>
      <c r="B135">
        <v>32</v>
      </c>
      <c r="C135" s="1">
        <v>2825</v>
      </c>
      <c r="D135" s="4" t="str">
        <f>VLOOKUP('Flow2 '!A135,'ALokasi Pelabuhan '!$A:$C,3,TRUE)</f>
        <v>P4</v>
      </c>
      <c r="E135" s="4" t="str">
        <f>VLOOKUP('Flow2 '!B135,'ALokasi Pelabuhan '!$A:$C,3,TRUE)</f>
        <v>P6</v>
      </c>
    </row>
    <row r="136" spans="1:5" x14ac:dyDescent="0.25">
      <c r="A136">
        <f t="shared" si="2"/>
        <v>4</v>
      </c>
      <c r="B136">
        <v>33</v>
      </c>
      <c r="C136" s="1">
        <v>1217.565575645373</v>
      </c>
      <c r="D136" s="4" t="str">
        <f>VLOOKUP('Flow2 '!A136,'ALokasi Pelabuhan '!$A:$C,3,TRUE)</f>
        <v>P4</v>
      </c>
      <c r="E136" s="4" t="str">
        <f>VLOOKUP('Flow2 '!B136,'ALokasi Pelabuhan '!$A:$C,3,TRUE)</f>
        <v>P2</v>
      </c>
    </row>
    <row r="137" spans="1:5" x14ac:dyDescent="0.25">
      <c r="A137">
        <f t="shared" si="2"/>
        <v>4</v>
      </c>
      <c r="B137">
        <v>34</v>
      </c>
      <c r="C137" s="1">
        <v>4371.4344243546284</v>
      </c>
      <c r="D137" s="4" t="str">
        <f>VLOOKUP('Flow2 '!A137,'ALokasi Pelabuhan '!$A:$C,3,TRUE)</f>
        <v>P4</v>
      </c>
      <c r="E137" s="4" t="str">
        <f>VLOOKUP('Flow2 '!B137,'ALokasi Pelabuhan '!$A:$C,3,TRUE)</f>
        <v>P9</v>
      </c>
    </row>
    <row r="138" spans="1:5" x14ac:dyDescent="0.25">
      <c r="A138">
        <f t="shared" si="2"/>
        <v>5</v>
      </c>
      <c r="B138">
        <v>1</v>
      </c>
      <c r="C138" s="1">
        <v>53731</v>
      </c>
      <c r="D138" s="4" t="str">
        <f>VLOOKUP('Flow2 '!A138,'ALokasi Pelabuhan '!$A:$C,3,TRUE)</f>
        <v>P19</v>
      </c>
      <c r="E138" s="4" t="str">
        <f>VLOOKUP('Flow2 '!B138,'ALokasi Pelabuhan '!$A:$C,3,TRUE)</f>
        <v>P1</v>
      </c>
    </row>
    <row r="139" spans="1:5" x14ac:dyDescent="0.25">
      <c r="A139">
        <f t="shared" si="2"/>
        <v>5</v>
      </c>
      <c r="B139">
        <v>2</v>
      </c>
      <c r="C139" s="1">
        <v>148924</v>
      </c>
      <c r="D139" s="4" t="str">
        <f>VLOOKUP('Flow2 '!A139,'ALokasi Pelabuhan '!$A:$C,3,TRUE)</f>
        <v>P19</v>
      </c>
      <c r="E139" s="4" t="str">
        <f>VLOOKUP('Flow2 '!B139,'ALokasi Pelabuhan '!$A:$C,3,TRUE)</f>
        <v>P10</v>
      </c>
    </row>
    <row r="140" spans="1:5" x14ac:dyDescent="0.25">
      <c r="A140">
        <f t="shared" si="2"/>
        <v>5</v>
      </c>
      <c r="B140">
        <v>3</v>
      </c>
      <c r="C140" s="1">
        <v>177435</v>
      </c>
      <c r="D140" s="4" t="str">
        <f>VLOOKUP('Flow2 '!A140,'ALokasi Pelabuhan '!$A:$C,3,TRUE)</f>
        <v>P19</v>
      </c>
      <c r="E140" s="4" t="str">
        <f>VLOOKUP('Flow2 '!B140,'ALokasi Pelabuhan '!$A:$C,3,TRUE)</f>
        <v>P8</v>
      </c>
    </row>
    <row r="141" spans="1:5" x14ac:dyDescent="0.25">
      <c r="A141">
        <f t="shared" si="2"/>
        <v>5</v>
      </c>
      <c r="B141">
        <v>4</v>
      </c>
      <c r="C141" s="1">
        <v>163670</v>
      </c>
      <c r="D141" s="4" t="str">
        <f>VLOOKUP('Flow2 '!A141,'ALokasi Pelabuhan '!$A:$C,3,TRUE)</f>
        <v>P19</v>
      </c>
      <c r="E141" s="4" t="str">
        <f>VLOOKUP('Flow2 '!B141,'ALokasi Pelabuhan '!$A:$C,3,TRUE)</f>
        <v>P4</v>
      </c>
    </row>
    <row r="142" spans="1:5" x14ac:dyDescent="0.25">
      <c r="A142">
        <f t="shared" si="2"/>
        <v>5</v>
      </c>
      <c r="B142">
        <v>5</v>
      </c>
      <c r="C142" s="1">
        <v>609812</v>
      </c>
      <c r="D142" s="4" t="str">
        <f>VLOOKUP('Flow2 '!A142,'ALokasi Pelabuhan '!$A:$C,3,TRUE)</f>
        <v>P19</v>
      </c>
      <c r="E142" s="4" t="str">
        <f>VLOOKUP('Flow2 '!B142,'ALokasi Pelabuhan '!$A:$C,3,TRUE)</f>
        <v>P19</v>
      </c>
    </row>
    <row r="143" spans="1:5" x14ac:dyDescent="0.25">
      <c r="A143">
        <f t="shared" si="2"/>
        <v>5</v>
      </c>
      <c r="B143">
        <v>6</v>
      </c>
      <c r="C143" s="1">
        <v>199052</v>
      </c>
      <c r="D143" s="4" t="str">
        <f>VLOOKUP('Flow2 '!A143,'ALokasi Pelabuhan '!$A:$C,3,TRUE)</f>
        <v>P19</v>
      </c>
      <c r="E143" s="4" t="str">
        <f>VLOOKUP('Flow2 '!B143,'ALokasi Pelabuhan '!$A:$C,3,TRUE)</f>
        <v>P8</v>
      </c>
    </row>
    <row r="144" spans="1:5" x14ac:dyDescent="0.25">
      <c r="A144">
        <f t="shared" si="2"/>
        <v>5</v>
      </c>
      <c r="B144">
        <v>7</v>
      </c>
      <c r="C144" s="1">
        <v>66624</v>
      </c>
      <c r="D144" s="4" t="str">
        <f>VLOOKUP('Flow2 '!A144,'ALokasi Pelabuhan '!$A:$C,3,TRUE)</f>
        <v>P19</v>
      </c>
      <c r="E144" s="4" t="str">
        <f>VLOOKUP('Flow2 '!B144,'ALokasi Pelabuhan '!$A:$C,3,TRUE)</f>
        <v>P5</v>
      </c>
    </row>
    <row r="145" spans="1:5" x14ac:dyDescent="0.25">
      <c r="A145">
        <f t="shared" si="2"/>
        <v>5</v>
      </c>
      <c r="B145">
        <v>8</v>
      </c>
      <c r="C145" s="1">
        <v>100332</v>
      </c>
      <c r="D145" s="4" t="str">
        <f>VLOOKUP('Flow2 '!A145,'ALokasi Pelabuhan '!$A:$C,3,TRUE)</f>
        <v>P19</v>
      </c>
      <c r="E145" s="4" t="str">
        <f>VLOOKUP('Flow2 '!B145,'ALokasi Pelabuhan '!$A:$C,3,TRUE)</f>
        <v>P8</v>
      </c>
    </row>
    <row r="146" spans="1:5" x14ac:dyDescent="0.25">
      <c r="A146">
        <f t="shared" si="2"/>
        <v>5</v>
      </c>
      <c r="B146">
        <v>9</v>
      </c>
      <c r="C146" s="1">
        <v>27087</v>
      </c>
      <c r="D146" s="4" t="str">
        <f>VLOOKUP('Flow2 '!A146,'ALokasi Pelabuhan '!$A:$C,3,TRUE)</f>
        <v>P19</v>
      </c>
      <c r="E146" s="4" t="str">
        <f>VLOOKUP('Flow2 '!B146,'ALokasi Pelabuhan '!$A:$C,3,TRUE)</f>
        <v>P9</v>
      </c>
    </row>
    <row r="147" spans="1:5" x14ac:dyDescent="0.25">
      <c r="A147">
        <f t="shared" si="2"/>
        <v>5</v>
      </c>
      <c r="B147">
        <v>10</v>
      </c>
      <c r="C147" s="1">
        <v>47017</v>
      </c>
      <c r="D147" s="4" t="str">
        <f>VLOOKUP('Flow2 '!A147,'ALokasi Pelabuhan '!$A:$C,3,TRUE)</f>
        <v>P19</v>
      </c>
      <c r="E147" s="4" t="str">
        <f>VLOOKUP('Flow2 '!B147,'ALokasi Pelabuhan '!$A:$C,3,TRUE)</f>
        <v>P10</v>
      </c>
    </row>
    <row r="148" spans="1:5" x14ac:dyDescent="0.25">
      <c r="A148">
        <f t="shared" si="2"/>
        <v>5</v>
      </c>
      <c r="B148">
        <v>11</v>
      </c>
      <c r="C148" s="1">
        <v>89807</v>
      </c>
      <c r="D148" s="4" t="str">
        <f>VLOOKUP('Flow2 '!A148,'ALokasi Pelabuhan '!$A:$C,3,TRUE)</f>
        <v>P19</v>
      </c>
      <c r="E148" s="4" t="str">
        <f>VLOOKUP('Flow2 '!B148,'ALokasi Pelabuhan '!$A:$C,3,TRUE)</f>
        <v>P11</v>
      </c>
    </row>
    <row r="149" spans="1:5" x14ac:dyDescent="0.25">
      <c r="A149">
        <f t="shared" si="2"/>
        <v>5</v>
      </c>
      <c r="B149">
        <v>12</v>
      </c>
      <c r="C149" s="1">
        <v>399594</v>
      </c>
      <c r="D149" s="4" t="str">
        <f>VLOOKUP('Flow2 '!A149,'ALokasi Pelabuhan '!$A:$C,3,TRUE)</f>
        <v>P19</v>
      </c>
      <c r="E149" s="4" t="str">
        <f>VLOOKUP('Flow2 '!B149,'ALokasi Pelabuhan '!$A:$C,3,TRUE)</f>
        <v>P13</v>
      </c>
    </row>
    <row r="150" spans="1:5" x14ac:dyDescent="0.25">
      <c r="A150">
        <f t="shared" si="2"/>
        <v>5</v>
      </c>
      <c r="B150">
        <v>13</v>
      </c>
      <c r="C150" s="1">
        <v>230476</v>
      </c>
      <c r="D150" s="4" t="str">
        <f>VLOOKUP('Flow2 '!A150,'ALokasi Pelabuhan '!$A:$C,3,TRUE)</f>
        <v>P19</v>
      </c>
      <c r="E150" s="4" t="str">
        <f>VLOOKUP('Flow2 '!B150,'ALokasi Pelabuhan '!$A:$C,3,TRUE)</f>
        <v>P12</v>
      </c>
    </row>
    <row r="151" spans="1:5" x14ac:dyDescent="0.25">
      <c r="A151">
        <f t="shared" si="2"/>
        <v>5</v>
      </c>
      <c r="B151">
        <v>14</v>
      </c>
      <c r="C151" s="1">
        <v>23869</v>
      </c>
      <c r="D151" s="4" t="str">
        <f>VLOOKUP('Flow2 '!A151,'ALokasi Pelabuhan '!$A:$C,3,TRUE)</f>
        <v>P19</v>
      </c>
      <c r="E151" s="4" t="str">
        <f>VLOOKUP('Flow2 '!B151,'ALokasi Pelabuhan '!$A:$C,3,TRUE)</f>
        <v>P14</v>
      </c>
    </row>
    <row r="152" spans="1:5" x14ac:dyDescent="0.25">
      <c r="A152">
        <f t="shared" si="2"/>
        <v>5</v>
      </c>
      <c r="B152">
        <v>15</v>
      </c>
      <c r="C152" s="1">
        <v>214590</v>
      </c>
      <c r="D152" s="4" t="str">
        <f>VLOOKUP('Flow2 '!A152,'ALokasi Pelabuhan '!$A:$C,3,TRUE)</f>
        <v>P19</v>
      </c>
      <c r="E152" s="4" t="str">
        <f>VLOOKUP('Flow2 '!B152,'ALokasi Pelabuhan '!$A:$C,3,TRUE)</f>
        <v>P15</v>
      </c>
    </row>
    <row r="153" spans="1:5" x14ac:dyDescent="0.25">
      <c r="A153">
        <f t="shared" si="2"/>
        <v>5</v>
      </c>
      <c r="B153">
        <v>16</v>
      </c>
      <c r="C153" s="1">
        <v>120340</v>
      </c>
      <c r="D153" s="4" t="str">
        <f>VLOOKUP('Flow2 '!A153,'ALokasi Pelabuhan '!$A:$C,3,TRUE)</f>
        <v>P19</v>
      </c>
      <c r="E153" s="4" t="str">
        <f>VLOOKUP('Flow2 '!B153,'ALokasi Pelabuhan '!$A:$C,3,TRUE)</f>
        <v>P6</v>
      </c>
    </row>
    <row r="154" spans="1:5" x14ac:dyDescent="0.25">
      <c r="A154">
        <f t="shared" si="2"/>
        <v>5</v>
      </c>
      <c r="B154">
        <v>17</v>
      </c>
      <c r="C154" s="1">
        <v>21372</v>
      </c>
      <c r="D154" s="4" t="str">
        <f>VLOOKUP('Flow2 '!A154,'ALokasi Pelabuhan '!$A:$C,3,TRUE)</f>
        <v>P19</v>
      </c>
      <c r="E154" s="4" t="str">
        <f>VLOOKUP('Flow2 '!B154,'ALokasi Pelabuhan '!$A:$C,3,TRUE)</f>
        <v>P3</v>
      </c>
    </row>
    <row r="155" spans="1:5" x14ac:dyDescent="0.25">
      <c r="A155">
        <f t="shared" si="2"/>
        <v>5</v>
      </c>
      <c r="B155">
        <v>18</v>
      </c>
      <c r="C155" s="1">
        <v>25288</v>
      </c>
      <c r="D155" s="4" t="str">
        <f>VLOOKUP('Flow2 '!A155,'ALokasi Pelabuhan '!$A:$C,3,TRUE)</f>
        <v>P19</v>
      </c>
      <c r="E155" s="4" t="str">
        <f>VLOOKUP('Flow2 '!B155,'ALokasi Pelabuhan '!$A:$C,3,TRUE)</f>
        <v>P7</v>
      </c>
    </row>
    <row r="156" spans="1:5" x14ac:dyDescent="0.25">
      <c r="A156">
        <f t="shared" si="2"/>
        <v>5</v>
      </c>
      <c r="B156">
        <v>19</v>
      </c>
      <c r="C156" s="1">
        <v>27545</v>
      </c>
      <c r="D156" s="4" t="str">
        <f>VLOOKUP('Flow2 '!A156,'ALokasi Pelabuhan '!$A:$C,3,TRUE)</f>
        <v>P19</v>
      </c>
      <c r="E156" s="4" t="str">
        <f>VLOOKUP('Flow2 '!B156,'ALokasi Pelabuhan '!$A:$C,3,TRUE)</f>
        <v>P22</v>
      </c>
    </row>
    <row r="157" spans="1:5" x14ac:dyDescent="0.25">
      <c r="A157">
        <f t="shared" si="2"/>
        <v>5</v>
      </c>
      <c r="B157">
        <v>20</v>
      </c>
      <c r="C157" s="1">
        <v>47667</v>
      </c>
      <c r="D157" s="4" t="str">
        <f>VLOOKUP('Flow2 '!A157,'ALokasi Pelabuhan '!$A:$C,3,TRUE)</f>
        <v>P19</v>
      </c>
      <c r="E157" s="4" t="str">
        <f>VLOOKUP('Flow2 '!B157,'ALokasi Pelabuhan '!$A:$C,3,TRUE)</f>
        <v>P21</v>
      </c>
    </row>
    <row r="158" spans="1:5" x14ac:dyDescent="0.25">
      <c r="A158">
        <f t="shared" si="2"/>
        <v>5</v>
      </c>
      <c r="B158">
        <v>21</v>
      </c>
      <c r="C158" s="1">
        <v>19068</v>
      </c>
      <c r="D158" s="4" t="str">
        <f>VLOOKUP('Flow2 '!A158,'ALokasi Pelabuhan '!$A:$C,3,TRUE)</f>
        <v>P19</v>
      </c>
      <c r="E158" s="4" t="str">
        <f>VLOOKUP('Flow2 '!B158,'ALokasi Pelabuhan '!$A:$C,3,TRUE)</f>
        <v>P20</v>
      </c>
    </row>
    <row r="159" spans="1:5" x14ac:dyDescent="0.25">
      <c r="A159">
        <f t="shared" si="2"/>
        <v>5</v>
      </c>
      <c r="B159">
        <v>22</v>
      </c>
      <c r="C159" s="1">
        <v>23926</v>
      </c>
      <c r="D159" s="4" t="str">
        <f>VLOOKUP('Flow2 '!A159,'ALokasi Pelabuhan '!$A:$C,3,TRUE)</f>
        <v>P19</v>
      </c>
      <c r="E159" s="4" t="str">
        <f>VLOOKUP('Flow2 '!B159,'ALokasi Pelabuhan '!$A:$C,3,TRUE)</f>
        <v>P20</v>
      </c>
    </row>
    <row r="160" spans="1:5" x14ac:dyDescent="0.25">
      <c r="A160">
        <f t="shared" si="2"/>
        <v>5</v>
      </c>
      <c r="B160">
        <v>23</v>
      </c>
      <c r="C160" s="1">
        <v>18791</v>
      </c>
      <c r="D160" s="4" t="str">
        <f>VLOOKUP('Flow2 '!A160,'ALokasi Pelabuhan '!$A:$C,3,TRUE)</f>
        <v>P19</v>
      </c>
      <c r="E160" s="4" t="str">
        <f>VLOOKUP('Flow2 '!B160,'ALokasi Pelabuhan '!$A:$C,3,TRUE)</f>
        <v>P24</v>
      </c>
    </row>
    <row r="161" spans="1:5" x14ac:dyDescent="0.25">
      <c r="A161">
        <f t="shared" si="2"/>
        <v>5</v>
      </c>
      <c r="B161">
        <v>24</v>
      </c>
      <c r="C161" s="1">
        <v>2982</v>
      </c>
      <c r="D161" s="4" t="str">
        <f>VLOOKUP('Flow2 '!A161,'ALokasi Pelabuhan '!$A:$C,3,TRUE)</f>
        <v>P19</v>
      </c>
      <c r="E161" s="4" t="str">
        <f>VLOOKUP('Flow2 '!B161,'ALokasi Pelabuhan '!$A:$C,3,TRUE)</f>
        <v>P23</v>
      </c>
    </row>
    <row r="162" spans="1:5" x14ac:dyDescent="0.25">
      <c r="A162">
        <f t="shared" si="2"/>
        <v>5</v>
      </c>
      <c r="B162">
        <v>25</v>
      </c>
      <c r="C162" s="1">
        <v>9359</v>
      </c>
      <c r="D162" s="4" t="str">
        <f>VLOOKUP('Flow2 '!A162,'ALokasi Pelabuhan '!$A:$C,3,TRUE)</f>
        <v>P19</v>
      </c>
      <c r="E162" s="4" t="str">
        <f>VLOOKUP('Flow2 '!B162,'ALokasi Pelabuhan '!$A:$C,3,TRUE)</f>
        <v>P2</v>
      </c>
    </row>
    <row r="163" spans="1:5" x14ac:dyDescent="0.25">
      <c r="A163">
        <f t="shared" si="2"/>
        <v>5</v>
      </c>
      <c r="B163">
        <v>26</v>
      </c>
      <c r="C163" s="1">
        <v>13528</v>
      </c>
      <c r="D163" s="4" t="str">
        <f>VLOOKUP('Flow2 '!A163,'ALokasi Pelabuhan '!$A:$C,3,TRUE)</f>
        <v>P19</v>
      </c>
      <c r="E163" s="4" t="str">
        <f>VLOOKUP('Flow2 '!B163,'ALokasi Pelabuhan '!$A:$C,3,TRUE)</f>
        <v>P17</v>
      </c>
    </row>
    <row r="164" spans="1:5" x14ac:dyDescent="0.25">
      <c r="A164">
        <f t="shared" si="2"/>
        <v>5</v>
      </c>
      <c r="B164">
        <v>27</v>
      </c>
      <c r="C164" s="1">
        <v>38943</v>
      </c>
      <c r="D164" s="4" t="str">
        <f>VLOOKUP('Flow2 '!A164,'ALokasi Pelabuhan '!$A:$C,3,TRUE)</f>
        <v>P19</v>
      </c>
      <c r="E164" s="4" t="str">
        <f>VLOOKUP('Flow2 '!B164,'ALokasi Pelabuhan '!$A:$C,3,TRUE)</f>
        <v>P17</v>
      </c>
    </row>
    <row r="165" spans="1:5" x14ac:dyDescent="0.25">
      <c r="A165">
        <f t="shared" si="2"/>
        <v>5</v>
      </c>
      <c r="B165">
        <v>28</v>
      </c>
      <c r="C165" s="1">
        <v>11786</v>
      </c>
      <c r="D165" s="4" t="str">
        <f>VLOOKUP('Flow2 '!A165,'ALokasi Pelabuhan '!$A:$C,3,TRUE)</f>
        <v>P19</v>
      </c>
      <c r="E165" s="4" t="str">
        <f>VLOOKUP('Flow2 '!B165,'ALokasi Pelabuhan '!$A:$C,3,TRUE)</f>
        <v>P16</v>
      </c>
    </row>
    <row r="166" spans="1:5" x14ac:dyDescent="0.25">
      <c r="A166">
        <f t="shared" si="2"/>
        <v>5</v>
      </c>
      <c r="B166">
        <v>29</v>
      </c>
      <c r="C166" s="1">
        <v>4142</v>
      </c>
      <c r="D166" s="4" t="str">
        <f>VLOOKUP('Flow2 '!A166,'ALokasi Pelabuhan '!$A:$C,3,TRUE)</f>
        <v>P19</v>
      </c>
      <c r="E166" s="4" t="str">
        <f>VLOOKUP('Flow2 '!B166,'ALokasi Pelabuhan '!$A:$C,3,TRUE)</f>
        <v>P18</v>
      </c>
    </row>
    <row r="167" spans="1:5" x14ac:dyDescent="0.25">
      <c r="A167">
        <f t="shared" si="2"/>
        <v>5</v>
      </c>
      <c r="B167">
        <v>30</v>
      </c>
      <c r="C167" s="1">
        <v>6604</v>
      </c>
      <c r="D167" s="4" t="str">
        <f>VLOOKUP('Flow2 '!A167,'ALokasi Pelabuhan '!$A:$C,3,TRUE)</f>
        <v>P19</v>
      </c>
      <c r="E167" s="4" t="str">
        <f>VLOOKUP('Flow2 '!B167,'ALokasi Pelabuhan '!$A:$C,3,TRUE)</f>
        <v>P19</v>
      </c>
    </row>
    <row r="168" spans="1:5" x14ac:dyDescent="0.25">
      <c r="A168">
        <f t="shared" si="2"/>
        <v>5</v>
      </c>
      <c r="B168">
        <v>31</v>
      </c>
      <c r="C168" s="1">
        <v>8476</v>
      </c>
      <c r="D168" s="4" t="str">
        <f>VLOOKUP('Flow2 '!A168,'ALokasi Pelabuhan '!$A:$C,3,TRUE)</f>
        <v>P19</v>
      </c>
      <c r="E168" s="4" t="str">
        <f>VLOOKUP('Flow2 '!B168,'ALokasi Pelabuhan '!$A:$C,3,TRUE)</f>
        <v>P4</v>
      </c>
    </row>
    <row r="169" spans="1:5" x14ac:dyDescent="0.25">
      <c r="A169">
        <f t="shared" si="2"/>
        <v>5</v>
      </c>
      <c r="B169">
        <v>32</v>
      </c>
      <c r="C169" s="1">
        <v>4830</v>
      </c>
      <c r="D169" s="4" t="str">
        <f>VLOOKUP('Flow2 '!A169,'ALokasi Pelabuhan '!$A:$C,3,TRUE)</f>
        <v>P19</v>
      </c>
      <c r="E169" s="4" t="str">
        <f>VLOOKUP('Flow2 '!B169,'ALokasi Pelabuhan '!$A:$C,3,TRUE)</f>
        <v>P6</v>
      </c>
    </row>
    <row r="170" spans="1:5" x14ac:dyDescent="0.25">
      <c r="A170">
        <f t="shared" si="2"/>
        <v>5</v>
      </c>
      <c r="B170">
        <v>33</v>
      </c>
      <c r="C170" s="1">
        <v>2166.303826125888</v>
      </c>
      <c r="D170" s="4" t="str">
        <f>VLOOKUP('Flow2 '!A170,'ALokasi Pelabuhan '!$A:$C,3,TRUE)</f>
        <v>P19</v>
      </c>
      <c r="E170" s="4" t="str">
        <f>VLOOKUP('Flow2 '!B170,'ALokasi Pelabuhan '!$A:$C,3,TRUE)</f>
        <v>P2</v>
      </c>
    </row>
    <row r="171" spans="1:5" x14ac:dyDescent="0.25">
      <c r="A171">
        <f t="shared" si="2"/>
        <v>5</v>
      </c>
      <c r="B171">
        <v>34</v>
      </c>
      <c r="C171" s="1">
        <v>7777.6961738741147</v>
      </c>
      <c r="D171" s="4" t="str">
        <f>VLOOKUP('Flow2 '!A171,'ALokasi Pelabuhan '!$A:$C,3,TRUE)</f>
        <v>P19</v>
      </c>
      <c r="E171" s="4" t="str">
        <f>VLOOKUP('Flow2 '!B171,'ALokasi Pelabuhan '!$A:$C,3,TRUE)</f>
        <v>P9</v>
      </c>
    </row>
    <row r="172" spans="1:5" x14ac:dyDescent="0.25">
      <c r="A172">
        <f t="shared" si="2"/>
        <v>6</v>
      </c>
      <c r="B172">
        <v>1</v>
      </c>
      <c r="C172" s="1">
        <v>367132</v>
      </c>
      <c r="D172" s="4" t="str">
        <f>VLOOKUP('Flow2 '!A172,'ALokasi Pelabuhan '!$A:$C,3,TRUE)</f>
        <v>P8</v>
      </c>
      <c r="E172" s="4" t="str">
        <f>VLOOKUP('Flow2 '!B172,'ALokasi Pelabuhan '!$A:$C,3,TRUE)</f>
        <v>P1</v>
      </c>
    </row>
    <row r="173" spans="1:5" x14ac:dyDescent="0.25">
      <c r="A173">
        <f t="shared" si="2"/>
        <v>6</v>
      </c>
      <c r="B173">
        <v>2</v>
      </c>
      <c r="C173" s="1">
        <v>873296</v>
      </c>
      <c r="D173" s="4" t="str">
        <f>VLOOKUP('Flow2 '!A173,'ALokasi Pelabuhan '!$A:$C,3,TRUE)</f>
        <v>P8</v>
      </c>
      <c r="E173" s="4" t="str">
        <f>VLOOKUP('Flow2 '!B173,'ALokasi Pelabuhan '!$A:$C,3,TRUE)</f>
        <v>P10</v>
      </c>
    </row>
    <row r="174" spans="1:5" x14ac:dyDescent="0.25">
      <c r="A174">
        <f t="shared" si="2"/>
        <v>6</v>
      </c>
      <c r="B174">
        <v>3</v>
      </c>
      <c r="C174" s="1">
        <v>756490</v>
      </c>
      <c r="D174" s="4" t="str">
        <f>VLOOKUP('Flow2 '!A174,'ALokasi Pelabuhan '!$A:$C,3,TRUE)</f>
        <v>P8</v>
      </c>
      <c r="E174" s="4" t="str">
        <f>VLOOKUP('Flow2 '!B174,'ALokasi Pelabuhan '!$A:$C,3,TRUE)</f>
        <v>P8</v>
      </c>
    </row>
    <row r="175" spans="1:5" x14ac:dyDescent="0.25">
      <c r="A175">
        <f t="shared" si="2"/>
        <v>6</v>
      </c>
      <c r="B175">
        <v>4</v>
      </c>
      <c r="C175" s="1">
        <v>609446</v>
      </c>
      <c r="D175" s="4" t="str">
        <f>VLOOKUP('Flow2 '!A175,'ALokasi Pelabuhan '!$A:$C,3,TRUE)</f>
        <v>P8</v>
      </c>
      <c r="E175" s="4" t="str">
        <f>VLOOKUP('Flow2 '!B175,'ALokasi Pelabuhan '!$A:$C,3,TRUE)</f>
        <v>P4</v>
      </c>
    </row>
    <row r="176" spans="1:5" x14ac:dyDescent="0.25">
      <c r="A176">
        <f t="shared" si="2"/>
        <v>6</v>
      </c>
      <c r="B176">
        <v>5</v>
      </c>
      <c r="C176" s="1">
        <v>746170</v>
      </c>
      <c r="D176" s="4" t="str">
        <f>VLOOKUP('Flow2 '!A176,'ALokasi Pelabuhan '!$A:$C,3,TRUE)</f>
        <v>P8</v>
      </c>
      <c r="E176" s="4" t="str">
        <f>VLOOKUP('Flow2 '!B176,'ALokasi Pelabuhan '!$A:$C,3,TRUE)</f>
        <v>P19</v>
      </c>
    </row>
    <row r="177" spans="1:5" x14ac:dyDescent="0.25">
      <c r="A177">
        <f t="shared" si="2"/>
        <v>6</v>
      </c>
      <c r="B177">
        <v>6</v>
      </c>
      <c r="C177" s="1">
        <v>12574940</v>
      </c>
      <c r="D177" s="4" t="str">
        <f>VLOOKUP('Flow2 '!A177,'ALokasi Pelabuhan '!$A:$C,3,TRUE)</f>
        <v>P8</v>
      </c>
      <c r="E177" s="4" t="str">
        <f>VLOOKUP('Flow2 '!B177,'ALokasi Pelabuhan '!$A:$C,3,TRUE)</f>
        <v>P8</v>
      </c>
    </row>
    <row r="178" spans="1:5" x14ac:dyDescent="0.25">
      <c r="A178">
        <f t="shared" si="2"/>
        <v>6</v>
      </c>
      <c r="B178">
        <v>7</v>
      </c>
      <c r="C178" s="1">
        <v>586091</v>
      </c>
      <c r="D178" s="4" t="str">
        <f>VLOOKUP('Flow2 '!A178,'ALokasi Pelabuhan '!$A:$C,3,TRUE)</f>
        <v>P8</v>
      </c>
      <c r="E178" s="4" t="str">
        <f>VLOOKUP('Flow2 '!B178,'ALokasi Pelabuhan '!$A:$C,3,TRUE)</f>
        <v>P5</v>
      </c>
    </row>
    <row r="179" spans="1:5" x14ac:dyDescent="0.25">
      <c r="A179">
        <f t="shared" si="2"/>
        <v>6</v>
      </c>
      <c r="B179">
        <v>8</v>
      </c>
      <c r="C179" s="1">
        <v>2593544</v>
      </c>
      <c r="D179" s="4" t="str">
        <f>VLOOKUP('Flow2 '!A179,'ALokasi Pelabuhan '!$A:$C,3,TRUE)</f>
        <v>P8</v>
      </c>
      <c r="E179" s="4" t="str">
        <f>VLOOKUP('Flow2 '!B179,'ALokasi Pelabuhan '!$A:$C,3,TRUE)</f>
        <v>P8</v>
      </c>
    </row>
    <row r="180" spans="1:5" x14ac:dyDescent="0.25">
      <c r="A180">
        <f t="shared" si="2"/>
        <v>6</v>
      </c>
      <c r="B180">
        <v>9</v>
      </c>
      <c r="C180" s="1">
        <v>316304</v>
      </c>
      <c r="D180" s="4" t="str">
        <f>VLOOKUP('Flow2 '!A180,'ALokasi Pelabuhan '!$A:$C,3,TRUE)</f>
        <v>P8</v>
      </c>
      <c r="E180" s="4" t="str">
        <f>VLOOKUP('Flow2 '!B180,'ALokasi Pelabuhan '!$A:$C,3,TRUE)</f>
        <v>P9</v>
      </c>
    </row>
    <row r="181" spans="1:5" x14ac:dyDescent="0.25">
      <c r="A181">
        <f t="shared" si="2"/>
        <v>6</v>
      </c>
      <c r="B181">
        <v>10</v>
      </c>
      <c r="C181" s="1">
        <v>163205</v>
      </c>
      <c r="D181" s="4" t="str">
        <f>VLOOKUP('Flow2 '!A181,'ALokasi Pelabuhan '!$A:$C,3,TRUE)</f>
        <v>P8</v>
      </c>
      <c r="E181" s="4" t="str">
        <f>VLOOKUP('Flow2 '!B181,'ALokasi Pelabuhan '!$A:$C,3,TRUE)</f>
        <v>P10</v>
      </c>
    </row>
    <row r="182" spans="1:5" x14ac:dyDescent="0.25">
      <c r="A182">
        <f t="shared" si="2"/>
        <v>6</v>
      </c>
      <c r="B182">
        <v>11</v>
      </c>
      <c r="C182" s="1">
        <v>661881</v>
      </c>
      <c r="D182" s="4" t="str">
        <f>VLOOKUP('Flow2 '!A182,'ALokasi Pelabuhan '!$A:$C,3,TRUE)</f>
        <v>P8</v>
      </c>
      <c r="E182" s="4" t="str">
        <f>VLOOKUP('Flow2 '!B182,'ALokasi Pelabuhan '!$A:$C,3,TRUE)</f>
        <v>P11</v>
      </c>
    </row>
    <row r="183" spans="1:5" x14ac:dyDescent="0.25">
      <c r="A183">
        <f t="shared" si="2"/>
        <v>6</v>
      </c>
      <c r="B183">
        <v>12</v>
      </c>
      <c r="C183" s="1">
        <v>3951025</v>
      </c>
      <c r="D183" s="4" t="str">
        <f>VLOOKUP('Flow2 '!A183,'ALokasi Pelabuhan '!$A:$C,3,TRUE)</f>
        <v>P8</v>
      </c>
      <c r="E183" s="4" t="str">
        <f>VLOOKUP('Flow2 '!B183,'ALokasi Pelabuhan '!$A:$C,3,TRUE)</f>
        <v>P13</v>
      </c>
    </row>
    <row r="184" spans="1:5" x14ac:dyDescent="0.25">
      <c r="A184">
        <f t="shared" si="2"/>
        <v>6</v>
      </c>
      <c r="B184">
        <v>13</v>
      </c>
      <c r="C184" s="1">
        <v>2307849</v>
      </c>
      <c r="D184" s="4" t="str">
        <f>VLOOKUP('Flow2 '!A184,'ALokasi Pelabuhan '!$A:$C,3,TRUE)</f>
        <v>P8</v>
      </c>
      <c r="E184" s="4" t="str">
        <f>VLOOKUP('Flow2 '!B184,'ALokasi Pelabuhan '!$A:$C,3,TRUE)</f>
        <v>P12</v>
      </c>
    </row>
    <row r="185" spans="1:5" x14ac:dyDescent="0.25">
      <c r="A185">
        <f t="shared" si="2"/>
        <v>6</v>
      </c>
      <c r="B185">
        <v>14</v>
      </c>
      <c r="C185" s="1">
        <v>173440</v>
      </c>
      <c r="D185" s="4" t="str">
        <f>VLOOKUP('Flow2 '!A185,'ALokasi Pelabuhan '!$A:$C,3,TRUE)</f>
        <v>P8</v>
      </c>
      <c r="E185" s="4" t="str">
        <f>VLOOKUP('Flow2 '!B185,'ALokasi Pelabuhan '!$A:$C,3,TRUE)</f>
        <v>P14</v>
      </c>
    </row>
    <row r="186" spans="1:5" x14ac:dyDescent="0.25">
      <c r="A186">
        <f t="shared" si="2"/>
        <v>6</v>
      </c>
      <c r="B186">
        <v>15</v>
      </c>
      <c r="C186" s="1">
        <v>2006877</v>
      </c>
      <c r="D186" s="4" t="str">
        <f>VLOOKUP('Flow2 '!A186,'ALokasi Pelabuhan '!$A:$C,3,TRUE)</f>
        <v>P8</v>
      </c>
      <c r="E186" s="4" t="str">
        <f>VLOOKUP('Flow2 '!B186,'ALokasi Pelabuhan '!$A:$C,3,TRUE)</f>
        <v>P15</v>
      </c>
    </row>
    <row r="187" spans="1:5" x14ac:dyDescent="0.25">
      <c r="A187">
        <f t="shared" si="2"/>
        <v>6</v>
      </c>
      <c r="B187">
        <v>16</v>
      </c>
      <c r="C187" s="1">
        <v>1255785</v>
      </c>
      <c r="D187" s="4" t="str">
        <f>VLOOKUP('Flow2 '!A187,'ALokasi Pelabuhan '!$A:$C,3,TRUE)</f>
        <v>P8</v>
      </c>
      <c r="E187" s="4" t="str">
        <f>VLOOKUP('Flow2 '!B187,'ALokasi Pelabuhan '!$A:$C,3,TRUE)</f>
        <v>P6</v>
      </c>
    </row>
    <row r="188" spans="1:5" x14ac:dyDescent="0.25">
      <c r="A188">
        <f t="shared" si="2"/>
        <v>6</v>
      </c>
      <c r="B188">
        <v>17</v>
      </c>
      <c r="C188" s="1">
        <v>157477</v>
      </c>
      <c r="D188" s="4" t="str">
        <f>VLOOKUP('Flow2 '!A188,'ALokasi Pelabuhan '!$A:$C,3,TRUE)</f>
        <v>P8</v>
      </c>
      <c r="E188" s="4" t="str">
        <f>VLOOKUP('Flow2 '!B188,'ALokasi Pelabuhan '!$A:$C,3,TRUE)</f>
        <v>P3</v>
      </c>
    </row>
    <row r="189" spans="1:5" x14ac:dyDescent="0.25">
      <c r="A189">
        <f t="shared" si="2"/>
        <v>6</v>
      </c>
      <c r="B189">
        <v>18</v>
      </c>
      <c r="C189" s="1">
        <v>233717</v>
      </c>
      <c r="D189" s="4" t="str">
        <f>VLOOKUP('Flow2 '!A189,'ALokasi Pelabuhan '!$A:$C,3,TRUE)</f>
        <v>P8</v>
      </c>
      <c r="E189" s="4" t="str">
        <f>VLOOKUP('Flow2 '!B189,'ALokasi Pelabuhan '!$A:$C,3,TRUE)</f>
        <v>P7</v>
      </c>
    </row>
    <row r="190" spans="1:5" x14ac:dyDescent="0.25">
      <c r="A190">
        <f t="shared" si="2"/>
        <v>6</v>
      </c>
      <c r="B190">
        <v>19</v>
      </c>
      <c r="C190" s="1">
        <v>193261</v>
      </c>
      <c r="D190" s="4" t="str">
        <f>VLOOKUP('Flow2 '!A190,'ALokasi Pelabuhan '!$A:$C,3,TRUE)</f>
        <v>P8</v>
      </c>
      <c r="E190" s="4" t="str">
        <f>VLOOKUP('Flow2 '!B190,'ALokasi Pelabuhan '!$A:$C,3,TRUE)</f>
        <v>P22</v>
      </c>
    </row>
    <row r="191" spans="1:5" x14ac:dyDescent="0.25">
      <c r="A191">
        <f t="shared" si="2"/>
        <v>6</v>
      </c>
      <c r="B191">
        <v>20</v>
      </c>
      <c r="C191" s="1">
        <v>457399</v>
      </c>
      <c r="D191" s="4" t="str">
        <f>VLOOKUP('Flow2 '!A191,'ALokasi Pelabuhan '!$A:$C,3,TRUE)</f>
        <v>P8</v>
      </c>
      <c r="E191" s="4" t="str">
        <f>VLOOKUP('Flow2 '!B191,'ALokasi Pelabuhan '!$A:$C,3,TRUE)</f>
        <v>P21</v>
      </c>
    </row>
    <row r="192" spans="1:5" x14ac:dyDescent="0.25">
      <c r="A192">
        <f t="shared" si="2"/>
        <v>6</v>
      </c>
      <c r="B192">
        <v>21</v>
      </c>
      <c r="C192" s="1">
        <v>248209</v>
      </c>
      <c r="D192" s="4" t="str">
        <f>VLOOKUP('Flow2 '!A192,'ALokasi Pelabuhan '!$A:$C,3,TRUE)</f>
        <v>P8</v>
      </c>
      <c r="E192" s="4" t="str">
        <f>VLOOKUP('Flow2 '!B192,'ALokasi Pelabuhan '!$A:$C,3,TRUE)</f>
        <v>P20</v>
      </c>
    </row>
    <row r="193" spans="1:5" x14ac:dyDescent="0.25">
      <c r="A193">
        <f t="shared" si="2"/>
        <v>6</v>
      </c>
      <c r="B193">
        <v>22</v>
      </c>
      <c r="C193" s="1">
        <v>294014</v>
      </c>
      <c r="D193" s="4" t="str">
        <f>VLOOKUP('Flow2 '!A193,'ALokasi Pelabuhan '!$A:$C,3,TRUE)</f>
        <v>P8</v>
      </c>
      <c r="E193" s="4" t="str">
        <f>VLOOKUP('Flow2 '!B193,'ALokasi Pelabuhan '!$A:$C,3,TRUE)</f>
        <v>P20</v>
      </c>
    </row>
    <row r="194" spans="1:5" x14ac:dyDescent="0.25">
      <c r="A194">
        <f t="shared" si="2"/>
        <v>6</v>
      </c>
      <c r="B194">
        <v>23</v>
      </c>
      <c r="C194" s="1">
        <v>106572</v>
      </c>
      <c r="D194" s="4" t="str">
        <f>VLOOKUP('Flow2 '!A194,'ALokasi Pelabuhan '!$A:$C,3,TRUE)</f>
        <v>P8</v>
      </c>
      <c r="E194" s="4" t="str">
        <f>VLOOKUP('Flow2 '!B194,'ALokasi Pelabuhan '!$A:$C,3,TRUE)</f>
        <v>P24</v>
      </c>
    </row>
    <row r="195" spans="1:5" x14ac:dyDescent="0.25">
      <c r="A195">
        <f t="shared" ref="A195:A258" si="3">INT((ROW()-ROW($A$2))/34)+1</f>
        <v>6</v>
      </c>
      <c r="B195">
        <v>24</v>
      </c>
      <c r="C195" s="1">
        <v>16548</v>
      </c>
      <c r="D195" s="4" t="str">
        <f>VLOOKUP('Flow2 '!A195,'ALokasi Pelabuhan '!$A:$C,3,TRUE)</f>
        <v>P8</v>
      </c>
      <c r="E195" s="4" t="str">
        <f>VLOOKUP('Flow2 '!B195,'ALokasi Pelabuhan '!$A:$C,3,TRUE)</f>
        <v>P23</v>
      </c>
    </row>
    <row r="196" spans="1:5" x14ac:dyDescent="0.25">
      <c r="A196">
        <f t="shared" si="3"/>
        <v>6</v>
      </c>
      <c r="B196">
        <v>25</v>
      </c>
      <c r="C196" s="1">
        <v>75274</v>
      </c>
      <c r="D196" s="4" t="str">
        <f>VLOOKUP('Flow2 '!A196,'ALokasi Pelabuhan '!$A:$C,3,TRUE)</f>
        <v>P8</v>
      </c>
      <c r="E196" s="4" t="str">
        <f>VLOOKUP('Flow2 '!B196,'ALokasi Pelabuhan '!$A:$C,3,TRUE)</f>
        <v>P2</v>
      </c>
    </row>
    <row r="197" spans="1:5" x14ac:dyDescent="0.25">
      <c r="A197">
        <f t="shared" si="3"/>
        <v>6</v>
      </c>
      <c r="B197">
        <v>26</v>
      </c>
      <c r="C197" s="1">
        <v>129360</v>
      </c>
      <c r="D197" s="4" t="str">
        <f>VLOOKUP('Flow2 '!A197,'ALokasi Pelabuhan '!$A:$C,3,TRUE)</f>
        <v>P8</v>
      </c>
      <c r="E197" s="4" t="str">
        <f>VLOOKUP('Flow2 '!B197,'ALokasi Pelabuhan '!$A:$C,3,TRUE)</f>
        <v>P17</v>
      </c>
    </row>
    <row r="198" spans="1:5" x14ac:dyDescent="0.25">
      <c r="A198">
        <f t="shared" si="3"/>
        <v>6</v>
      </c>
      <c r="B198">
        <v>27</v>
      </c>
      <c r="C198" s="1">
        <v>424797</v>
      </c>
      <c r="D198" s="4" t="str">
        <f>VLOOKUP('Flow2 '!A198,'ALokasi Pelabuhan '!$A:$C,3,TRUE)</f>
        <v>P8</v>
      </c>
      <c r="E198" s="4" t="str">
        <f>VLOOKUP('Flow2 '!B198,'ALokasi Pelabuhan '!$A:$C,3,TRUE)</f>
        <v>P17</v>
      </c>
    </row>
    <row r="199" spans="1:5" x14ac:dyDescent="0.25">
      <c r="A199">
        <f t="shared" si="3"/>
        <v>6</v>
      </c>
      <c r="B199">
        <v>28</v>
      </c>
      <c r="C199" s="1">
        <v>95549</v>
      </c>
      <c r="D199" s="4" t="str">
        <f>VLOOKUP('Flow2 '!A199,'ALokasi Pelabuhan '!$A:$C,3,TRUE)</f>
        <v>P8</v>
      </c>
      <c r="E199" s="4" t="str">
        <f>VLOOKUP('Flow2 '!B199,'ALokasi Pelabuhan '!$A:$C,3,TRUE)</f>
        <v>P16</v>
      </c>
    </row>
    <row r="200" spans="1:5" x14ac:dyDescent="0.25">
      <c r="A200">
        <f t="shared" si="3"/>
        <v>6</v>
      </c>
      <c r="B200">
        <v>29</v>
      </c>
      <c r="C200" s="1">
        <v>35730</v>
      </c>
      <c r="D200" s="4" t="str">
        <f>VLOOKUP('Flow2 '!A200,'ALokasi Pelabuhan '!$A:$C,3,TRUE)</f>
        <v>P8</v>
      </c>
      <c r="E200" s="4" t="str">
        <f>VLOOKUP('Flow2 '!B200,'ALokasi Pelabuhan '!$A:$C,3,TRUE)</f>
        <v>P18</v>
      </c>
    </row>
    <row r="201" spans="1:5" x14ac:dyDescent="0.25">
      <c r="A201">
        <f t="shared" si="3"/>
        <v>6</v>
      </c>
      <c r="B201">
        <v>30</v>
      </c>
      <c r="C201" s="1">
        <v>59855</v>
      </c>
      <c r="D201" s="4" t="str">
        <f>VLOOKUP('Flow2 '!A201,'ALokasi Pelabuhan '!$A:$C,3,TRUE)</f>
        <v>P8</v>
      </c>
      <c r="E201" s="4" t="str">
        <f>VLOOKUP('Flow2 '!B201,'ALokasi Pelabuhan '!$A:$C,3,TRUE)</f>
        <v>P19</v>
      </c>
    </row>
    <row r="202" spans="1:5" x14ac:dyDescent="0.25">
      <c r="A202">
        <f t="shared" si="3"/>
        <v>6</v>
      </c>
      <c r="B202">
        <v>31</v>
      </c>
      <c r="C202" s="1">
        <v>71895</v>
      </c>
      <c r="D202" s="4" t="str">
        <f>VLOOKUP('Flow2 '!A202,'ALokasi Pelabuhan '!$A:$C,3,TRUE)</f>
        <v>P8</v>
      </c>
      <c r="E202" s="4" t="str">
        <f>VLOOKUP('Flow2 '!B202,'ALokasi Pelabuhan '!$A:$C,3,TRUE)</f>
        <v>P4</v>
      </c>
    </row>
    <row r="203" spans="1:5" x14ac:dyDescent="0.25">
      <c r="A203">
        <f t="shared" si="3"/>
        <v>6</v>
      </c>
      <c r="B203">
        <v>32</v>
      </c>
      <c r="C203" s="1">
        <v>38206</v>
      </c>
      <c r="D203" s="4" t="str">
        <f>VLOOKUP('Flow2 '!A203,'ALokasi Pelabuhan '!$A:$C,3,TRUE)</f>
        <v>P8</v>
      </c>
      <c r="E203" s="4" t="str">
        <f>VLOOKUP('Flow2 '!B203,'ALokasi Pelabuhan '!$A:$C,3,TRUE)</f>
        <v>P6</v>
      </c>
    </row>
    <row r="204" spans="1:5" x14ac:dyDescent="0.25">
      <c r="A204">
        <f t="shared" si="3"/>
        <v>6</v>
      </c>
      <c r="B204">
        <v>33</v>
      </c>
      <c r="C204" s="1">
        <v>10203.89228800387</v>
      </c>
      <c r="D204" s="4" t="str">
        <f>VLOOKUP('Flow2 '!A204,'ALokasi Pelabuhan '!$A:$C,3,TRUE)</f>
        <v>P8</v>
      </c>
      <c r="E204" s="4" t="str">
        <f>VLOOKUP('Flow2 '!B204,'ALokasi Pelabuhan '!$A:$C,3,TRUE)</f>
        <v>P2</v>
      </c>
    </row>
    <row r="205" spans="1:5" x14ac:dyDescent="0.25">
      <c r="A205">
        <f t="shared" si="3"/>
        <v>6</v>
      </c>
      <c r="B205">
        <v>34</v>
      </c>
      <c r="C205" s="1">
        <v>36635.107711996141</v>
      </c>
      <c r="D205" s="4" t="str">
        <f>VLOOKUP('Flow2 '!A205,'ALokasi Pelabuhan '!$A:$C,3,TRUE)</f>
        <v>P8</v>
      </c>
      <c r="E205" s="4" t="str">
        <f>VLOOKUP('Flow2 '!B205,'ALokasi Pelabuhan '!$A:$C,3,TRUE)</f>
        <v>P9</v>
      </c>
    </row>
    <row r="206" spans="1:5" x14ac:dyDescent="0.25">
      <c r="A206">
        <f t="shared" si="3"/>
        <v>7</v>
      </c>
      <c r="B206">
        <v>1</v>
      </c>
      <c r="C206" s="1">
        <v>47914</v>
      </c>
      <c r="D206" s="4" t="str">
        <f>VLOOKUP('Flow2 '!A206,'ALokasi Pelabuhan '!$A:$C,3,TRUE)</f>
        <v>P5</v>
      </c>
      <c r="E206" s="4" t="str">
        <f>VLOOKUP('Flow2 '!B206,'ALokasi Pelabuhan '!$A:$C,3,TRUE)</f>
        <v>P1</v>
      </c>
    </row>
    <row r="207" spans="1:5" x14ac:dyDescent="0.25">
      <c r="A207">
        <f t="shared" si="3"/>
        <v>7</v>
      </c>
      <c r="B207">
        <v>2</v>
      </c>
      <c r="C207" s="1">
        <v>120423</v>
      </c>
      <c r="D207" s="4" t="str">
        <f>VLOOKUP('Flow2 '!A207,'ALokasi Pelabuhan '!$A:$C,3,TRUE)</f>
        <v>P5</v>
      </c>
      <c r="E207" s="4" t="str">
        <f>VLOOKUP('Flow2 '!B207,'ALokasi Pelabuhan '!$A:$C,3,TRUE)</f>
        <v>P10</v>
      </c>
    </row>
    <row r="208" spans="1:5" x14ac:dyDescent="0.25">
      <c r="A208">
        <f t="shared" si="3"/>
        <v>7</v>
      </c>
      <c r="B208">
        <v>3</v>
      </c>
      <c r="C208" s="1">
        <v>100486</v>
      </c>
      <c r="D208" s="4" t="str">
        <f>VLOOKUP('Flow2 '!A208,'ALokasi Pelabuhan '!$A:$C,3,TRUE)</f>
        <v>P5</v>
      </c>
      <c r="E208" s="4" t="str">
        <f>VLOOKUP('Flow2 '!B208,'ALokasi Pelabuhan '!$A:$C,3,TRUE)</f>
        <v>P8</v>
      </c>
    </row>
    <row r="209" spans="1:5" x14ac:dyDescent="0.25">
      <c r="A209">
        <f t="shared" si="3"/>
        <v>7</v>
      </c>
      <c r="B209">
        <v>4</v>
      </c>
      <c r="C209" s="1">
        <v>87868</v>
      </c>
      <c r="D209" s="4" t="str">
        <f>VLOOKUP('Flow2 '!A209,'ALokasi Pelabuhan '!$A:$C,3,TRUE)</f>
        <v>P5</v>
      </c>
      <c r="E209" s="4" t="str">
        <f>VLOOKUP('Flow2 '!B209,'ALokasi Pelabuhan '!$A:$C,3,TRUE)</f>
        <v>P4</v>
      </c>
    </row>
    <row r="210" spans="1:5" x14ac:dyDescent="0.25">
      <c r="A210">
        <f t="shared" si="3"/>
        <v>7</v>
      </c>
      <c r="B210">
        <v>5</v>
      </c>
      <c r="C210" s="1">
        <v>98292</v>
      </c>
      <c r="D210" s="4" t="str">
        <f>VLOOKUP('Flow2 '!A210,'ALokasi Pelabuhan '!$A:$C,3,TRUE)</f>
        <v>P5</v>
      </c>
      <c r="E210" s="4" t="str">
        <f>VLOOKUP('Flow2 '!B210,'ALokasi Pelabuhan '!$A:$C,3,TRUE)</f>
        <v>P19</v>
      </c>
    </row>
    <row r="211" spans="1:5" x14ac:dyDescent="0.25">
      <c r="A211">
        <f t="shared" si="3"/>
        <v>7</v>
      </c>
      <c r="B211">
        <v>6</v>
      </c>
      <c r="C211" s="1">
        <v>276365</v>
      </c>
      <c r="D211" s="4" t="str">
        <f>VLOOKUP('Flow2 '!A211,'ALokasi Pelabuhan '!$A:$C,3,TRUE)</f>
        <v>P5</v>
      </c>
      <c r="E211" s="4" t="str">
        <f>VLOOKUP('Flow2 '!B211,'ALokasi Pelabuhan '!$A:$C,3,TRUE)</f>
        <v>P8</v>
      </c>
    </row>
    <row r="212" spans="1:5" x14ac:dyDescent="0.25">
      <c r="A212">
        <f t="shared" si="3"/>
        <v>7</v>
      </c>
      <c r="B212">
        <v>7</v>
      </c>
      <c r="C212" s="1">
        <v>540138</v>
      </c>
      <c r="D212" s="4" t="str">
        <f>VLOOKUP('Flow2 '!A212,'ALokasi Pelabuhan '!$A:$C,3,TRUE)</f>
        <v>P5</v>
      </c>
      <c r="E212" s="4" t="str">
        <f>VLOOKUP('Flow2 '!B212,'ALokasi Pelabuhan '!$A:$C,3,TRUE)</f>
        <v>P5</v>
      </c>
    </row>
    <row r="213" spans="1:5" x14ac:dyDescent="0.25">
      <c r="A213">
        <f t="shared" si="3"/>
        <v>7</v>
      </c>
      <c r="B213">
        <v>8</v>
      </c>
      <c r="C213" s="1">
        <v>132258</v>
      </c>
      <c r="D213" s="4" t="str">
        <f>VLOOKUP('Flow2 '!A213,'ALokasi Pelabuhan '!$A:$C,3,TRUE)</f>
        <v>P5</v>
      </c>
      <c r="E213" s="4" t="str">
        <f>VLOOKUP('Flow2 '!B213,'ALokasi Pelabuhan '!$A:$C,3,TRUE)</f>
        <v>P8</v>
      </c>
    </row>
    <row r="214" spans="1:5" x14ac:dyDescent="0.25">
      <c r="A214">
        <f t="shared" si="3"/>
        <v>7</v>
      </c>
      <c r="B214">
        <v>9</v>
      </c>
      <c r="C214" s="1">
        <v>22093</v>
      </c>
      <c r="D214" s="4" t="str">
        <f>VLOOKUP('Flow2 '!A214,'ALokasi Pelabuhan '!$A:$C,3,TRUE)</f>
        <v>P5</v>
      </c>
      <c r="E214" s="4" t="str">
        <f>VLOOKUP('Flow2 '!B214,'ALokasi Pelabuhan '!$A:$C,3,TRUE)</f>
        <v>P9</v>
      </c>
    </row>
    <row r="215" spans="1:5" x14ac:dyDescent="0.25">
      <c r="A215">
        <f t="shared" si="3"/>
        <v>7</v>
      </c>
      <c r="B215">
        <v>10</v>
      </c>
      <c r="C215" s="1">
        <v>27365</v>
      </c>
      <c r="D215" s="4" t="str">
        <f>VLOOKUP('Flow2 '!A215,'ALokasi Pelabuhan '!$A:$C,3,TRUE)</f>
        <v>P5</v>
      </c>
      <c r="E215" s="4" t="str">
        <f>VLOOKUP('Flow2 '!B215,'ALokasi Pelabuhan '!$A:$C,3,TRUE)</f>
        <v>P10</v>
      </c>
    </row>
    <row r="216" spans="1:5" x14ac:dyDescent="0.25">
      <c r="A216">
        <f t="shared" si="3"/>
        <v>7</v>
      </c>
      <c r="B216">
        <v>11</v>
      </c>
      <c r="C216" s="1">
        <v>94841</v>
      </c>
      <c r="D216" s="4" t="str">
        <f>VLOOKUP('Flow2 '!A216,'ALokasi Pelabuhan '!$A:$C,3,TRUE)</f>
        <v>P5</v>
      </c>
      <c r="E216" s="4" t="str">
        <f>VLOOKUP('Flow2 '!B216,'ALokasi Pelabuhan '!$A:$C,3,TRUE)</f>
        <v>P11</v>
      </c>
    </row>
    <row r="217" spans="1:5" x14ac:dyDescent="0.25">
      <c r="A217">
        <f t="shared" si="3"/>
        <v>7</v>
      </c>
      <c r="B217">
        <v>12</v>
      </c>
      <c r="C217" s="1">
        <v>424879</v>
      </c>
      <c r="D217" s="4" t="str">
        <f>VLOOKUP('Flow2 '!A217,'ALokasi Pelabuhan '!$A:$C,3,TRUE)</f>
        <v>P5</v>
      </c>
      <c r="E217" s="4" t="str">
        <f>VLOOKUP('Flow2 '!B217,'ALokasi Pelabuhan '!$A:$C,3,TRUE)</f>
        <v>P13</v>
      </c>
    </row>
    <row r="218" spans="1:5" x14ac:dyDescent="0.25">
      <c r="A218">
        <f t="shared" si="3"/>
        <v>7</v>
      </c>
      <c r="B218">
        <v>13</v>
      </c>
      <c r="C218" s="1">
        <v>233122</v>
      </c>
      <c r="D218" s="4" t="str">
        <f>VLOOKUP('Flow2 '!A218,'ALokasi Pelabuhan '!$A:$C,3,TRUE)</f>
        <v>P5</v>
      </c>
      <c r="E218" s="4" t="str">
        <f>VLOOKUP('Flow2 '!B218,'ALokasi Pelabuhan '!$A:$C,3,TRUE)</f>
        <v>P12</v>
      </c>
    </row>
    <row r="219" spans="1:5" x14ac:dyDescent="0.25">
      <c r="A219">
        <f t="shared" si="3"/>
        <v>7</v>
      </c>
      <c r="B219">
        <v>14</v>
      </c>
      <c r="C219" s="1">
        <v>24467</v>
      </c>
      <c r="D219" s="4" t="str">
        <f>VLOOKUP('Flow2 '!A219,'ALokasi Pelabuhan '!$A:$C,3,TRUE)</f>
        <v>P5</v>
      </c>
      <c r="E219" s="4" t="str">
        <f>VLOOKUP('Flow2 '!B219,'ALokasi Pelabuhan '!$A:$C,3,TRUE)</f>
        <v>P14</v>
      </c>
    </row>
    <row r="220" spans="1:5" x14ac:dyDescent="0.25">
      <c r="A220">
        <f t="shared" si="3"/>
        <v>7</v>
      </c>
      <c r="B220">
        <v>15</v>
      </c>
      <c r="C220" s="1">
        <v>206775</v>
      </c>
      <c r="D220" s="4" t="str">
        <f>VLOOKUP('Flow2 '!A220,'ALokasi Pelabuhan '!$A:$C,3,TRUE)</f>
        <v>P5</v>
      </c>
      <c r="E220" s="4" t="str">
        <f>VLOOKUP('Flow2 '!B220,'ALokasi Pelabuhan '!$A:$C,3,TRUE)</f>
        <v>P15</v>
      </c>
    </row>
    <row r="221" spans="1:5" x14ac:dyDescent="0.25">
      <c r="A221">
        <f t="shared" si="3"/>
        <v>7</v>
      </c>
      <c r="B221">
        <v>16</v>
      </c>
      <c r="C221" s="1">
        <v>129787</v>
      </c>
      <c r="D221" s="4" t="str">
        <f>VLOOKUP('Flow2 '!A221,'ALokasi Pelabuhan '!$A:$C,3,TRUE)</f>
        <v>P5</v>
      </c>
      <c r="E221" s="4" t="str">
        <f>VLOOKUP('Flow2 '!B221,'ALokasi Pelabuhan '!$A:$C,3,TRUE)</f>
        <v>P6</v>
      </c>
    </row>
    <row r="222" spans="1:5" x14ac:dyDescent="0.25">
      <c r="A222">
        <f t="shared" si="3"/>
        <v>7</v>
      </c>
      <c r="B222">
        <v>17</v>
      </c>
      <c r="C222" s="1">
        <v>20527</v>
      </c>
      <c r="D222" s="4" t="str">
        <f>VLOOKUP('Flow2 '!A222,'ALokasi Pelabuhan '!$A:$C,3,TRUE)</f>
        <v>P5</v>
      </c>
      <c r="E222" s="4" t="str">
        <f>VLOOKUP('Flow2 '!B222,'ALokasi Pelabuhan '!$A:$C,3,TRUE)</f>
        <v>P3</v>
      </c>
    </row>
    <row r="223" spans="1:5" x14ac:dyDescent="0.25">
      <c r="A223">
        <f t="shared" si="3"/>
        <v>7</v>
      </c>
      <c r="B223">
        <v>18</v>
      </c>
      <c r="C223" s="1">
        <v>24438</v>
      </c>
      <c r="D223" s="4" t="str">
        <f>VLOOKUP('Flow2 '!A223,'ALokasi Pelabuhan '!$A:$C,3,TRUE)</f>
        <v>P5</v>
      </c>
      <c r="E223" s="4" t="str">
        <f>VLOOKUP('Flow2 '!B223,'ALokasi Pelabuhan '!$A:$C,3,TRUE)</f>
        <v>P7</v>
      </c>
    </row>
    <row r="224" spans="1:5" x14ac:dyDescent="0.25">
      <c r="A224">
        <f t="shared" si="3"/>
        <v>7</v>
      </c>
      <c r="B224">
        <v>19</v>
      </c>
      <c r="C224" s="1">
        <v>27076</v>
      </c>
      <c r="D224" s="4" t="str">
        <f>VLOOKUP('Flow2 '!A224,'ALokasi Pelabuhan '!$A:$C,3,TRUE)</f>
        <v>P5</v>
      </c>
      <c r="E224" s="4" t="str">
        <f>VLOOKUP('Flow2 '!B224,'ALokasi Pelabuhan '!$A:$C,3,TRUE)</f>
        <v>P22</v>
      </c>
    </row>
    <row r="225" spans="1:5" x14ac:dyDescent="0.25">
      <c r="A225">
        <f t="shared" si="3"/>
        <v>7</v>
      </c>
      <c r="B225">
        <v>20</v>
      </c>
      <c r="C225" s="1">
        <v>41581</v>
      </c>
      <c r="D225" s="4" t="str">
        <f>VLOOKUP('Flow2 '!A225,'ALokasi Pelabuhan '!$A:$C,3,TRUE)</f>
        <v>P5</v>
      </c>
      <c r="E225" s="4" t="str">
        <f>VLOOKUP('Flow2 '!B225,'ALokasi Pelabuhan '!$A:$C,3,TRUE)</f>
        <v>P21</v>
      </c>
    </row>
    <row r="226" spans="1:5" x14ac:dyDescent="0.25">
      <c r="A226">
        <f t="shared" si="3"/>
        <v>7</v>
      </c>
      <c r="B226">
        <v>21</v>
      </c>
      <c r="C226" s="1">
        <v>18517</v>
      </c>
      <c r="D226" s="4" t="str">
        <f>VLOOKUP('Flow2 '!A226,'ALokasi Pelabuhan '!$A:$C,3,TRUE)</f>
        <v>P5</v>
      </c>
      <c r="E226" s="4" t="str">
        <f>VLOOKUP('Flow2 '!B226,'ALokasi Pelabuhan '!$A:$C,3,TRUE)</f>
        <v>P20</v>
      </c>
    </row>
    <row r="227" spans="1:5" x14ac:dyDescent="0.25">
      <c r="A227">
        <f t="shared" si="3"/>
        <v>7</v>
      </c>
      <c r="B227">
        <v>22</v>
      </c>
      <c r="C227" s="1">
        <v>23111</v>
      </c>
      <c r="D227" s="4" t="str">
        <f>VLOOKUP('Flow2 '!A227,'ALokasi Pelabuhan '!$A:$C,3,TRUE)</f>
        <v>P5</v>
      </c>
      <c r="E227" s="4" t="str">
        <f>VLOOKUP('Flow2 '!B227,'ALokasi Pelabuhan '!$A:$C,3,TRUE)</f>
        <v>P20</v>
      </c>
    </row>
    <row r="228" spans="1:5" x14ac:dyDescent="0.25">
      <c r="A228">
        <f t="shared" si="3"/>
        <v>7</v>
      </c>
      <c r="B228">
        <v>23</v>
      </c>
      <c r="C228" s="1">
        <v>24678</v>
      </c>
      <c r="D228" s="4" t="str">
        <f>VLOOKUP('Flow2 '!A228,'ALokasi Pelabuhan '!$A:$C,3,TRUE)</f>
        <v>P5</v>
      </c>
      <c r="E228" s="4" t="str">
        <f>VLOOKUP('Flow2 '!B228,'ALokasi Pelabuhan '!$A:$C,3,TRUE)</f>
        <v>P24</v>
      </c>
    </row>
    <row r="229" spans="1:5" x14ac:dyDescent="0.25">
      <c r="A229">
        <f t="shared" si="3"/>
        <v>7</v>
      </c>
      <c r="B229">
        <v>24</v>
      </c>
      <c r="C229" s="1">
        <v>2676</v>
      </c>
      <c r="D229" s="4" t="str">
        <f>VLOOKUP('Flow2 '!A229,'ALokasi Pelabuhan '!$A:$C,3,TRUE)</f>
        <v>P5</v>
      </c>
      <c r="E229" s="4" t="str">
        <f>VLOOKUP('Flow2 '!B229,'ALokasi Pelabuhan '!$A:$C,3,TRUE)</f>
        <v>P23</v>
      </c>
    </row>
    <row r="230" spans="1:5" x14ac:dyDescent="0.25">
      <c r="A230">
        <f t="shared" si="3"/>
        <v>7</v>
      </c>
      <c r="B230">
        <v>25</v>
      </c>
      <c r="C230" s="1">
        <v>9201</v>
      </c>
      <c r="D230" s="4" t="str">
        <f>VLOOKUP('Flow2 '!A230,'ALokasi Pelabuhan '!$A:$C,3,TRUE)</f>
        <v>P5</v>
      </c>
      <c r="E230" s="4" t="str">
        <f>VLOOKUP('Flow2 '!B230,'ALokasi Pelabuhan '!$A:$C,3,TRUE)</f>
        <v>P2</v>
      </c>
    </row>
    <row r="231" spans="1:5" x14ac:dyDescent="0.25">
      <c r="A231">
        <f t="shared" si="3"/>
        <v>7</v>
      </c>
      <c r="B231">
        <v>26</v>
      </c>
      <c r="C231" s="1">
        <v>12978</v>
      </c>
      <c r="D231" s="4" t="str">
        <f>VLOOKUP('Flow2 '!A231,'ALokasi Pelabuhan '!$A:$C,3,TRUE)</f>
        <v>P5</v>
      </c>
      <c r="E231" s="4" t="str">
        <f>VLOOKUP('Flow2 '!B231,'ALokasi Pelabuhan '!$A:$C,3,TRUE)</f>
        <v>P17</v>
      </c>
    </row>
    <row r="232" spans="1:5" x14ac:dyDescent="0.25">
      <c r="A232">
        <f t="shared" si="3"/>
        <v>7</v>
      </c>
      <c r="B232">
        <v>27</v>
      </c>
      <c r="C232" s="1">
        <v>37154</v>
      </c>
      <c r="D232" s="4" t="str">
        <f>VLOOKUP('Flow2 '!A232,'ALokasi Pelabuhan '!$A:$C,3,TRUE)</f>
        <v>P5</v>
      </c>
      <c r="E232" s="4" t="str">
        <f>VLOOKUP('Flow2 '!B232,'ALokasi Pelabuhan '!$A:$C,3,TRUE)</f>
        <v>P17</v>
      </c>
    </row>
    <row r="233" spans="1:5" x14ac:dyDescent="0.25">
      <c r="A233">
        <f t="shared" si="3"/>
        <v>7</v>
      </c>
      <c r="B233">
        <v>28</v>
      </c>
      <c r="C233" s="1">
        <v>11519</v>
      </c>
      <c r="D233" s="4" t="str">
        <f>VLOOKUP('Flow2 '!A233,'ALokasi Pelabuhan '!$A:$C,3,TRUE)</f>
        <v>P5</v>
      </c>
      <c r="E233" s="4" t="str">
        <f>VLOOKUP('Flow2 '!B233,'ALokasi Pelabuhan '!$A:$C,3,TRUE)</f>
        <v>P16</v>
      </c>
    </row>
    <row r="234" spans="1:5" x14ac:dyDescent="0.25">
      <c r="A234">
        <f t="shared" si="3"/>
        <v>7</v>
      </c>
      <c r="B234">
        <v>29</v>
      </c>
      <c r="C234" s="1">
        <v>4097</v>
      </c>
      <c r="D234" s="4" t="str">
        <f>VLOOKUP('Flow2 '!A234,'ALokasi Pelabuhan '!$A:$C,3,TRUE)</f>
        <v>P5</v>
      </c>
      <c r="E234" s="4" t="str">
        <f>VLOOKUP('Flow2 '!B234,'ALokasi Pelabuhan '!$A:$C,3,TRUE)</f>
        <v>P18</v>
      </c>
    </row>
    <row r="235" spans="1:5" x14ac:dyDescent="0.25">
      <c r="A235">
        <f t="shared" si="3"/>
        <v>7</v>
      </c>
      <c r="B235">
        <v>30</v>
      </c>
      <c r="C235" s="1">
        <v>6492</v>
      </c>
      <c r="D235" s="4" t="str">
        <f>VLOOKUP('Flow2 '!A235,'ALokasi Pelabuhan '!$A:$C,3,TRUE)</f>
        <v>P5</v>
      </c>
      <c r="E235" s="4" t="str">
        <f>VLOOKUP('Flow2 '!B235,'ALokasi Pelabuhan '!$A:$C,3,TRUE)</f>
        <v>P19</v>
      </c>
    </row>
    <row r="236" spans="1:5" x14ac:dyDescent="0.25">
      <c r="A236">
        <f t="shared" si="3"/>
        <v>7</v>
      </c>
      <c r="B236">
        <v>31</v>
      </c>
      <c r="C236" s="1">
        <v>8872</v>
      </c>
      <c r="D236" s="4" t="str">
        <f>VLOOKUP('Flow2 '!A236,'ALokasi Pelabuhan '!$A:$C,3,TRUE)</f>
        <v>P5</v>
      </c>
      <c r="E236" s="4" t="str">
        <f>VLOOKUP('Flow2 '!B236,'ALokasi Pelabuhan '!$A:$C,3,TRUE)</f>
        <v>P4</v>
      </c>
    </row>
    <row r="237" spans="1:5" x14ac:dyDescent="0.25">
      <c r="A237">
        <f t="shared" si="3"/>
        <v>7</v>
      </c>
      <c r="B237">
        <v>32</v>
      </c>
      <c r="C237" s="1">
        <v>5227</v>
      </c>
      <c r="D237" s="4" t="str">
        <f>VLOOKUP('Flow2 '!A237,'ALokasi Pelabuhan '!$A:$C,3,TRUE)</f>
        <v>P5</v>
      </c>
      <c r="E237" s="4" t="str">
        <f>VLOOKUP('Flow2 '!B237,'ALokasi Pelabuhan '!$A:$C,3,TRUE)</f>
        <v>P6</v>
      </c>
    </row>
    <row r="238" spans="1:5" x14ac:dyDescent="0.25">
      <c r="A238">
        <f t="shared" si="3"/>
        <v>7</v>
      </c>
      <c r="B238">
        <v>33</v>
      </c>
      <c r="C238" s="1">
        <v>2141.0331861590134</v>
      </c>
      <c r="D238" s="4" t="str">
        <f>VLOOKUP('Flow2 '!A238,'ALokasi Pelabuhan '!$A:$C,3,TRUE)</f>
        <v>P5</v>
      </c>
      <c r="E238" s="4" t="str">
        <f>VLOOKUP('Flow2 '!B238,'ALokasi Pelabuhan '!$A:$C,3,TRUE)</f>
        <v>P2</v>
      </c>
    </row>
    <row r="239" spans="1:5" x14ac:dyDescent="0.25">
      <c r="A239">
        <f t="shared" si="3"/>
        <v>7</v>
      </c>
      <c r="B239">
        <v>34</v>
      </c>
      <c r="C239" s="1">
        <v>7686.9668138409888</v>
      </c>
      <c r="D239" s="4" t="str">
        <f>VLOOKUP('Flow2 '!A239,'ALokasi Pelabuhan '!$A:$C,3,TRUE)</f>
        <v>P5</v>
      </c>
      <c r="E239" s="4" t="str">
        <f>VLOOKUP('Flow2 '!B239,'ALokasi Pelabuhan '!$A:$C,3,TRUE)</f>
        <v>P9</v>
      </c>
    </row>
    <row r="240" spans="1:5" x14ac:dyDescent="0.25">
      <c r="A240">
        <f t="shared" si="3"/>
        <v>8</v>
      </c>
      <c r="B240">
        <v>1</v>
      </c>
      <c r="C240" s="1">
        <v>147041</v>
      </c>
      <c r="D240" s="4" t="str">
        <f>VLOOKUP('Flow2 '!A240,'ALokasi Pelabuhan '!$A:$C,3,TRUE)</f>
        <v>P8</v>
      </c>
      <c r="E240" s="4" t="str">
        <f>VLOOKUP('Flow2 '!B240,'ALokasi Pelabuhan '!$A:$C,3,TRUE)</f>
        <v>P1</v>
      </c>
    </row>
    <row r="241" spans="1:5" x14ac:dyDescent="0.25">
      <c r="A241">
        <f t="shared" si="3"/>
        <v>8</v>
      </c>
      <c r="B241">
        <v>2</v>
      </c>
      <c r="C241" s="1">
        <v>342746</v>
      </c>
      <c r="D241" s="4" t="str">
        <f>VLOOKUP('Flow2 '!A241,'ALokasi Pelabuhan '!$A:$C,3,TRUE)</f>
        <v>P8</v>
      </c>
      <c r="E241" s="4" t="str">
        <f>VLOOKUP('Flow2 '!B241,'ALokasi Pelabuhan '!$A:$C,3,TRUE)</f>
        <v>P10</v>
      </c>
    </row>
    <row r="242" spans="1:5" x14ac:dyDescent="0.25">
      <c r="A242">
        <f t="shared" si="3"/>
        <v>8</v>
      </c>
      <c r="B242">
        <v>3</v>
      </c>
      <c r="C242" s="1">
        <v>199462</v>
      </c>
      <c r="D242" s="4" t="str">
        <f>VLOOKUP('Flow2 '!A242,'ALokasi Pelabuhan '!$A:$C,3,TRUE)</f>
        <v>P8</v>
      </c>
      <c r="E242" s="4" t="str">
        <f>VLOOKUP('Flow2 '!B242,'ALokasi Pelabuhan '!$A:$C,3,TRUE)</f>
        <v>P8</v>
      </c>
    </row>
    <row r="243" spans="1:5" x14ac:dyDescent="0.25">
      <c r="A243">
        <f t="shared" si="3"/>
        <v>8</v>
      </c>
      <c r="B243">
        <v>4</v>
      </c>
      <c r="C243" s="1">
        <v>266545</v>
      </c>
      <c r="D243" s="4" t="str">
        <f>VLOOKUP('Flow2 '!A243,'ALokasi Pelabuhan '!$A:$C,3,TRUE)</f>
        <v>P8</v>
      </c>
      <c r="E243" s="4" t="str">
        <f>VLOOKUP('Flow2 '!B243,'ALokasi Pelabuhan '!$A:$C,3,TRUE)</f>
        <v>P4</v>
      </c>
    </row>
    <row r="244" spans="1:5" x14ac:dyDescent="0.25">
      <c r="A244">
        <f t="shared" si="3"/>
        <v>8</v>
      </c>
      <c r="B244">
        <v>5</v>
      </c>
      <c r="C244" s="1">
        <v>187504</v>
      </c>
      <c r="D244" s="4" t="str">
        <f>VLOOKUP('Flow2 '!A244,'ALokasi Pelabuhan '!$A:$C,3,TRUE)</f>
        <v>P8</v>
      </c>
      <c r="E244" s="4" t="str">
        <f>VLOOKUP('Flow2 '!B244,'ALokasi Pelabuhan '!$A:$C,3,TRUE)</f>
        <v>P19</v>
      </c>
    </row>
    <row r="245" spans="1:5" x14ac:dyDescent="0.25">
      <c r="A245">
        <f t="shared" si="3"/>
        <v>8</v>
      </c>
      <c r="B245">
        <v>6</v>
      </c>
      <c r="C245" s="1">
        <v>927265</v>
      </c>
      <c r="D245" s="4" t="str">
        <f>VLOOKUP('Flow2 '!A245,'ALokasi Pelabuhan '!$A:$C,3,TRUE)</f>
        <v>P8</v>
      </c>
      <c r="E245" s="4" t="str">
        <f>VLOOKUP('Flow2 '!B245,'ALokasi Pelabuhan '!$A:$C,3,TRUE)</f>
        <v>P8</v>
      </c>
    </row>
    <row r="246" spans="1:5" x14ac:dyDescent="0.25">
      <c r="A246">
        <f t="shared" si="3"/>
        <v>8</v>
      </c>
      <c r="B246">
        <v>7</v>
      </c>
      <c r="C246" s="1">
        <v>147414</v>
      </c>
      <c r="D246" s="4" t="str">
        <f>VLOOKUP('Flow2 '!A246,'ALokasi Pelabuhan '!$A:$C,3,TRUE)</f>
        <v>P8</v>
      </c>
      <c r="E246" s="4" t="str">
        <f>VLOOKUP('Flow2 '!B246,'ALokasi Pelabuhan '!$A:$C,3,TRUE)</f>
        <v>P5</v>
      </c>
    </row>
    <row r="247" spans="1:5" x14ac:dyDescent="0.25">
      <c r="A247">
        <f t="shared" si="3"/>
        <v>8</v>
      </c>
      <c r="B247">
        <v>8</v>
      </c>
      <c r="C247" s="1">
        <v>4786562</v>
      </c>
      <c r="D247" s="4" t="str">
        <f>VLOOKUP('Flow2 '!A247,'ALokasi Pelabuhan '!$A:$C,3,TRUE)</f>
        <v>P8</v>
      </c>
      <c r="E247" s="4" t="str">
        <f>VLOOKUP('Flow2 '!B247,'ALokasi Pelabuhan '!$A:$C,3,TRUE)</f>
        <v>P8</v>
      </c>
    </row>
    <row r="248" spans="1:5" x14ac:dyDescent="0.25">
      <c r="A248">
        <f t="shared" si="3"/>
        <v>8</v>
      </c>
      <c r="B248">
        <v>9</v>
      </c>
      <c r="C248" s="1">
        <v>122135</v>
      </c>
      <c r="D248" s="4" t="str">
        <f>VLOOKUP('Flow2 '!A248,'ALokasi Pelabuhan '!$A:$C,3,TRUE)</f>
        <v>P8</v>
      </c>
      <c r="E248" s="4" t="str">
        <f>VLOOKUP('Flow2 '!B248,'ALokasi Pelabuhan '!$A:$C,3,TRUE)</f>
        <v>P9</v>
      </c>
    </row>
    <row r="249" spans="1:5" x14ac:dyDescent="0.25">
      <c r="A249">
        <f t="shared" si="3"/>
        <v>8</v>
      </c>
      <c r="B249">
        <v>10</v>
      </c>
      <c r="C249" s="1">
        <v>87503</v>
      </c>
      <c r="D249" s="4" t="str">
        <f>VLOOKUP('Flow2 '!A249,'ALokasi Pelabuhan '!$A:$C,3,TRUE)</f>
        <v>P8</v>
      </c>
      <c r="E249" s="4" t="str">
        <f>VLOOKUP('Flow2 '!B249,'ALokasi Pelabuhan '!$A:$C,3,TRUE)</f>
        <v>P10</v>
      </c>
    </row>
    <row r="250" spans="1:5" x14ac:dyDescent="0.25">
      <c r="A250">
        <f t="shared" si="3"/>
        <v>8</v>
      </c>
      <c r="B250">
        <v>11</v>
      </c>
      <c r="C250" s="1">
        <v>961942</v>
      </c>
      <c r="D250" s="4" t="str">
        <f>VLOOKUP('Flow2 '!A250,'ALokasi Pelabuhan '!$A:$C,3,TRUE)</f>
        <v>P8</v>
      </c>
      <c r="E250" s="4" t="str">
        <f>VLOOKUP('Flow2 '!B250,'ALokasi Pelabuhan '!$A:$C,3,TRUE)</f>
        <v>P11</v>
      </c>
    </row>
    <row r="251" spans="1:5" x14ac:dyDescent="0.25">
      <c r="A251">
        <f t="shared" si="3"/>
        <v>8</v>
      </c>
      <c r="B251">
        <v>12</v>
      </c>
      <c r="C251" s="1">
        <v>3446333</v>
      </c>
      <c r="D251" s="4" t="str">
        <f>VLOOKUP('Flow2 '!A251,'ALokasi Pelabuhan '!$A:$C,3,TRUE)</f>
        <v>P8</v>
      </c>
      <c r="E251" s="4" t="str">
        <f>VLOOKUP('Flow2 '!B251,'ALokasi Pelabuhan '!$A:$C,3,TRUE)</f>
        <v>P13</v>
      </c>
    </row>
    <row r="252" spans="1:5" x14ac:dyDescent="0.25">
      <c r="A252">
        <f t="shared" si="3"/>
        <v>8</v>
      </c>
      <c r="B252">
        <v>13</v>
      </c>
      <c r="C252" s="1">
        <v>1376139</v>
      </c>
      <c r="D252" s="4" t="str">
        <f>VLOOKUP('Flow2 '!A252,'ALokasi Pelabuhan '!$A:$C,3,TRUE)</f>
        <v>P8</v>
      </c>
      <c r="E252" s="4" t="str">
        <f>VLOOKUP('Flow2 '!B252,'ALokasi Pelabuhan '!$A:$C,3,TRUE)</f>
        <v>P12</v>
      </c>
    </row>
    <row r="253" spans="1:5" x14ac:dyDescent="0.25">
      <c r="A253">
        <f t="shared" si="3"/>
        <v>8</v>
      </c>
      <c r="B253">
        <v>14</v>
      </c>
      <c r="C253" s="1">
        <v>139303</v>
      </c>
      <c r="D253" s="4" t="str">
        <f>VLOOKUP('Flow2 '!A253,'ALokasi Pelabuhan '!$A:$C,3,TRUE)</f>
        <v>P8</v>
      </c>
      <c r="E253" s="4" t="str">
        <f>VLOOKUP('Flow2 '!B253,'ALokasi Pelabuhan '!$A:$C,3,TRUE)</f>
        <v>P14</v>
      </c>
    </row>
    <row r="254" spans="1:5" x14ac:dyDescent="0.25">
      <c r="A254">
        <f t="shared" si="3"/>
        <v>8</v>
      </c>
      <c r="B254">
        <v>15</v>
      </c>
      <c r="C254" s="1">
        <v>1094842</v>
      </c>
      <c r="D254" s="4" t="str">
        <f>VLOOKUP('Flow2 '!A254,'ALokasi Pelabuhan '!$A:$C,3,TRUE)</f>
        <v>P8</v>
      </c>
      <c r="E254" s="4" t="str">
        <f>VLOOKUP('Flow2 '!B254,'ALokasi Pelabuhan '!$A:$C,3,TRUE)</f>
        <v>P15</v>
      </c>
    </row>
    <row r="255" spans="1:5" x14ac:dyDescent="0.25">
      <c r="A255">
        <f t="shared" si="3"/>
        <v>8</v>
      </c>
      <c r="B255">
        <v>16</v>
      </c>
      <c r="C255" s="1">
        <v>1405577</v>
      </c>
      <c r="D255" s="4" t="str">
        <f>VLOOKUP('Flow2 '!A255,'ALokasi Pelabuhan '!$A:$C,3,TRUE)</f>
        <v>P8</v>
      </c>
      <c r="E255" s="4" t="str">
        <f>VLOOKUP('Flow2 '!B255,'ALokasi Pelabuhan '!$A:$C,3,TRUE)</f>
        <v>P6</v>
      </c>
    </row>
    <row r="256" spans="1:5" x14ac:dyDescent="0.25">
      <c r="A256">
        <f t="shared" si="3"/>
        <v>8</v>
      </c>
      <c r="B256">
        <v>17</v>
      </c>
      <c r="C256" s="1">
        <v>98975</v>
      </c>
      <c r="D256" s="4" t="str">
        <f>VLOOKUP('Flow2 '!A256,'ALokasi Pelabuhan '!$A:$C,3,TRUE)</f>
        <v>P8</v>
      </c>
      <c r="E256" s="4" t="str">
        <f>VLOOKUP('Flow2 '!B256,'ALokasi Pelabuhan '!$A:$C,3,TRUE)</f>
        <v>P3</v>
      </c>
    </row>
    <row r="257" spans="1:5" x14ac:dyDescent="0.25">
      <c r="A257">
        <f t="shared" si="3"/>
        <v>8</v>
      </c>
      <c r="B257">
        <v>18</v>
      </c>
      <c r="C257" s="1">
        <v>114316</v>
      </c>
      <c r="D257" s="4" t="str">
        <f>VLOOKUP('Flow2 '!A257,'ALokasi Pelabuhan '!$A:$C,3,TRUE)</f>
        <v>P8</v>
      </c>
      <c r="E257" s="4" t="str">
        <f>VLOOKUP('Flow2 '!B257,'ALokasi Pelabuhan '!$A:$C,3,TRUE)</f>
        <v>P7</v>
      </c>
    </row>
    <row r="258" spans="1:5" x14ac:dyDescent="0.25">
      <c r="A258">
        <f t="shared" si="3"/>
        <v>8</v>
      </c>
      <c r="B258">
        <v>19</v>
      </c>
      <c r="C258" s="1">
        <v>120183</v>
      </c>
      <c r="D258" s="4" t="str">
        <f>VLOOKUP('Flow2 '!A258,'ALokasi Pelabuhan '!$A:$C,3,TRUE)</f>
        <v>P8</v>
      </c>
      <c r="E258" s="4" t="str">
        <f>VLOOKUP('Flow2 '!B258,'ALokasi Pelabuhan '!$A:$C,3,TRUE)</f>
        <v>P22</v>
      </c>
    </row>
    <row r="259" spans="1:5" x14ac:dyDescent="0.25">
      <c r="A259">
        <f t="shared" ref="A259:A322" si="4">INT((ROW()-ROW($A$2))/34)+1</f>
        <v>8</v>
      </c>
      <c r="B259">
        <v>20</v>
      </c>
      <c r="C259" s="1">
        <v>197309</v>
      </c>
      <c r="D259" s="4" t="str">
        <f>VLOOKUP('Flow2 '!A259,'ALokasi Pelabuhan '!$A:$C,3,TRUE)</f>
        <v>P8</v>
      </c>
      <c r="E259" s="4" t="str">
        <f>VLOOKUP('Flow2 '!B259,'ALokasi Pelabuhan '!$A:$C,3,TRUE)</f>
        <v>P21</v>
      </c>
    </row>
    <row r="260" spans="1:5" x14ac:dyDescent="0.25">
      <c r="A260">
        <f t="shared" si="4"/>
        <v>8</v>
      </c>
      <c r="B260">
        <v>21</v>
      </c>
      <c r="C260" s="1">
        <v>92345</v>
      </c>
      <c r="D260" s="4" t="str">
        <f>VLOOKUP('Flow2 '!A260,'ALokasi Pelabuhan '!$A:$C,3,TRUE)</f>
        <v>P8</v>
      </c>
      <c r="E260" s="4" t="str">
        <f>VLOOKUP('Flow2 '!B260,'ALokasi Pelabuhan '!$A:$C,3,TRUE)</f>
        <v>P20</v>
      </c>
    </row>
    <row r="261" spans="1:5" x14ac:dyDescent="0.25">
      <c r="A261">
        <f t="shared" si="4"/>
        <v>8</v>
      </c>
      <c r="B261">
        <v>22</v>
      </c>
      <c r="C261" s="1">
        <v>112172</v>
      </c>
      <c r="D261" s="4" t="str">
        <f>VLOOKUP('Flow2 '!A261,'ALokasi Pelabuhan '!$A:$C,3,TRUE)</f>
        <v>P8</v>
      </c>
      <c r="E261" s="4" t="str">
        <f>VLOOKUP('Flow2 '!B261,'ALokasi Pelabuhan '!$A:$C,3,TRUE)</f>
        <v>P20</v>
      </c>
    </row>
    <row r="262" spans="1:5" x14ac:dyDescent="0.25">
      <c r="A262">
        <f t="shared" si="4"/>
        <v>8</v>
      </c>
      <c r="B262">
        <v>23</v>
      </c>
      <c r="C262" s="1">
        <v>75321</v>
      </c>
      <c r="D262" s="4" t="str">
        <f>VLOOKUP('Flow2 '!A262,'ALokasi Pelabuhan '!$A:$C,3,TRUE)</f>
        <v>P8</v>
      </c>
      <c r="E262" s="4" t="str">
        <f>VLOOKUP('Flow2 '!B262,'ALokasi Pelabuhan '!$A:$C,3,TRUE)</f>
        <v>P24</v>
      </c>
    </row>
    <row r="263" spans="1:5" x14ac:dyDescent="0.25">
      <c r="A263">
        <f t="shared" si="4"/>
        <v>8</v>
      </c>
      <c r="B263">
        <v>24</v>
      </c>
      <c r="C263" s="1">
        <v>11302</v>
      </c>
      <c r="D263" s="4" t="str">
        <f>VLOOKUP('Flow2 '!A263,'ALokasi Pelabuhan '!$A:$C,3,TRUE)</f>
        <v>P8</v>
      </c>
      <c r="E263" s="4" t="str">
        <f>VLOOKUP('Flow2 '!B263,'ALokasi Pelabuhan '!$A:$C,3,TRUE)</f>
        <v>P23</v>
      </c>
    </row>
    <row r="264" spans="1:5" x14ac:dyDescent="0.25">
      <c r="A264">
        <f t="shared" si="4"/>
        <v>8</v>
      </c>
      <c r="B264">
        <v>25</v>
      </c>
      <c r="C264" s="1">
        <v>39990</v>
      </c>
      <c r="D264" s="4" t="str">
        <f>VLOOKUP('Flow2 '!A264,'ALokasi Pelabuhan '!$A:$C,3,TRUE)</f>
        <v>P8</v>
      </c>
      <c r="E264" s="4" t="str">
        <f>VLOOKUP('Flow2 '!B264,'ALokasi Pelabuhan '!$A:$C,3,TRUE)</f>
        <v>P2</v>
      </c>
    </row>
    <row r="265" spans="1:5" x14ac:dyDescent="0.25">
      <c r="A265">
        <f t="shared" si="4"/>
        <v>8</v>
      </c>
      <c r="B265">
        <v>26</v>
      </c>
      <c r="C265" s="1">
        <v>56877</v>
      </c>
      <c r="D265" s="4" t="str">
        <f>VLOOKUP('Flow2 '!A265,'ALokasi Pelabuhan '!$A:$C,3,TRUE)</f>
        <v>P8</v>
      </c>
      <c r="E265" s="4" t="str">
        <f>VLOOKUP('Flow2 '!B265,'ALokasi Pelabuhan '!$A:$C,3,TRUE)</f>
        <v>P17</v>
      </c>
    </row>
    <row r="266" spans="1:5" x14ac:dyDescent="0.25">
      <c r="A266">
        <f t="shared" si="4"/>
        <v>8</v>
      </c>
      <c r="B266">
        <v>27</v>
      </c>
      <c r="C266" s="1">
        <v>163990</v>
      </c>
      <c r="D266" s="4" t="str">
        <f>VLOOKUP('Flow2 '!A266,'ALokasi Pelabuhan '!$A:$C,3,TRUE)</f>
        <v>P8</v>
      </c>
      <c r="E266" s="4" t="str">
        <f>VLOOKUP('Flow2 '!B266,'ALokasi Pelabuhan '!$A:$C,3,TRUE)</f>
        <v>P17</v>
      </c>
    </row>
    <row r="267" spans="1:5" x14ac:dyDescent="0.25">
      <c r="A267">
        <f t="shared" si="4"/>
        <v>8</v>
      </c>
      <c r="B267">
        <v>28</v>
      </c>
      <c r="C267" s="1">
        <v>50495</v>
      </c>
      <c r="D267" s="4" t="str">
        <f>VLOOKUP('Flow2 '!A267,'ALokasi Pelabuhan '!$A:$C,3,TRUE)</f>
        <v>P8</v>
      </c>
      <c r="E267" s="4" t="str">
        <f>VLOOKUP('Flow2 '!B267,'ALokasi Pelabuhan '!$A:$C,3,TRUE)</f>
        <v>P16</v>
      </c>
    </row>
    <row r="268" spans="1:5" x14ac:dyDescent="0.25">
      <c r="A268">
        <f t="shared" si="4"/>
        <v>8</v>
      </c>
      <c r="B268">
        <v>29</v>
      </c>
      <c r="C268" s="1">
        <v>17818</v>
      </c>
      <c r="D268" s="4" t="str">
        <f>VLOOKUP('Flow2 '!A268,'ALokasi Pelabuhan '!$A:$C,3,TRUE)</f>
        <v>P8</v>
      </c>
      <c r="E268" s="4" t="str">
        <f>VLOOKUP('Flow2 '!B268,'ALokasi Pelabuhan '!$A:$C,3,TRUE)</f>
        <v>P18</v>
      </c>
    </row>
    <row r="269" spans="1:5" x14ac:dyDescent="0.25">
      <c r="A269">
        <f t="shared" si="4"/>
        <v>8</v>
      </c>
      <c r="B269">
        <v>30</v>
      </c>
      <c r="C269" s="1">
        <v>29153</v>
      </c>
      <c r="D269" s="4" t="str">
        <f>VLOOKUP('Flow2 '!A269,'ALokasi Pelabuhan '!$A:$C,3,TRUE)</f>
        <v>P8</v>
      </c>
      <c r="E269" s="4" t="str">
        <f>VLOOKUP('Flow2 '!B269,'ALokasi Pelabuhan '!$A:$C,3,TRUE)</f>
        <v>P19</v>
      </c>
    </row>
    <row r="270" spans="1:5" x14ac:dyDescent="0.25">
      <c r="A270">
        <f t="shared" si="4"/>
        <v>8</v>
      </c>
      <c r="B270">
        <v>31</v>
      </c>
      <c r="C270" s="1">
        <v>38533</v>
      </c>
      <c r="D270" s="4" t="str">
        <f>VLOOKUP('Flow2 '!A270,'ALokasi Pelabuhan '!$A:$C,3,TRUE)</f>
        <v>P8</v>
      </c>
      <c r="E270" s="4" t="str">
        <f>VLOOKUP('Flow2 '!B270,'ALokasi Pelabuhan '!$A:$C,3,TRUE)</f>
        <v>P4</v>
      </c>
    </row>
    <row r="271" spans="1:5" x14ac:dyDescent="0.25">
      <c r="A271">
        <f t="shared" si="4"/>
        <v>8</v>
      </c>
      <c r="B271">
        <v>32</v>
      </c>
      <c r="C271" s="1">
        <v>22883</v>
      </c>
      <c r="D271" s="4" t="str">
        <f>VLOOKUP('Flow2 '!A271,'ALokasi Pelabuhan '!$A:$C,3,TRUE)</f>
        <v>P8</v>
      </c>
      <c r="E271" s="4" t="str">
        <f>VLOOKUP('Flow2 '!B271,'ALokasi Pelabuhan '!$A:$C,3,TRUE)</f>
        <v>P6</v>
      </c>
    </row>
    <row r="272" spans="1:5" x14ac:dyDescent="0.25">
      <c r="A272">
        <f t="shared" si="4"/>
        <v>8</v>
      </c>
      <c r="B272">
        <v>33</v>
      </c>
      <c r="C272" s="1">
        <v>8676.7613727642802</v>
      </c>
      <c r="D272" s="4" t="str">
        <f>VLOOKUP('Flow2 '!A272,'ALokasi Pelabuhan '!$A:$C,3,TRUE)</f>
        <v>P8</v>
      </c>
      <c r="E272" s="4" t="str">
        <f>VLOOKUP('Flow2 '!B272,'ALokasi Pelabuhan '!$A:$C,3,TRUE)</f>
        <v>P2</v>
      </c>
    </row>
    <row r="273" spans="1:5" x14ac:dyDescent="0.25">
      <c r="A273">
        <f t="shared" si="4"/>
        <v>8</v>
      </c>
      <c r="B273">
        <v>34</v>
      </c>
      <c r="C273" s="1">
        <v>31152.238627235729</v>
      </c>
      <c r="D273" s="4" t="str">
        <f>VLOOKUP('Flow2 '!A273,'ALokasi Pelabuhan '!$A:$C,3,TRUE)</f>
        <v>P8</v>
      </c>
      <c r="E273" s="4" t="str">
        <f>VLOOKUP('Flow2 '!B273,'ALokasi Pelabuhan '!$A:$C,3,TRUE)</f>
        <v>P9</v>
      </c>
    </row>
    <row r="274" spans="1:5" x14ac:dyDescent="0.25">
      <c r="A274">
        <f t="shared" si="4"/>
        <v>9</v>
      </c>
      <c r="B274">
        <v>1</v>
      </c>
      <c r="C274" s="1">
        <v>5122</v>
      </c>
      <c r="D274" s="4" t="str">
        <f>VLOOKUP('Flow2 '!A274,'ALokasi Pelabuhan '!$A:$C,3,TRUE)</f>
        <v>P9</v>
      </c>
      <c r="E274" s="4" t="str">
        <f>VLOOKUP('Flow2 '!B274,'ALokasi Pelabuhan '!$A:$C,3,TRUE)</f>
        <v>P1</v>
      </c>
    </row>
    <row r="275" spans="1:5" x14ac:dyDescent="0.25">
      <c r="A275">
        <f t="shared" si="4"/>
        <v>9</v>
      </c>
      <c r="B275">
        <v>2</v>
      </c>
      <c r="C275" s="1">
        <v>17139</v>
      </c>
      <c r="D275" s="4" t="str">
        <f>VLOOKUP('Flow2 '!A275,'ALokasi Pelabuhan '!$A:$C,3,TRUE)</f>
        <v>P9</v>
      </c>
      <c r="E275" s="4" t="str">
        <f>VLOOKUP('Flow2 '!B275,'ALokasi Pelabuhan '!$A:$C,3,TRUE)</f>
        <v>P10</v>
      </c>
    </row>
    <row r="276" spans="1:5" x14ac:dyDescent="0.25">
      <c r="A276">
        <f t="shared" si="4"/>
        <v>9</v>
      </c>
      <c r="B276">
        <v>3</v>
      </c>
      <c r="C276" s="1">
        <v>9476</v>
      </c>
      <c r="D276" s="4" t="str">
        <f>VLOOKUP('Flow2 '!A276,'ALokasi Pelabuhan '!$A:$C,3,TRUE)</f>
        <v>P9</v>
      </c>
      <c r="E276" s="4" t="str">
        <f>VLOOKUP('Flow2 '!B276,'ALokasi Pelabuhan '!$A:$C,3,TRUE)</f>
        <v>P8</v>
      </c>
    </row>
    <row r="277" spans="1:5" x14ac:dyDescent="0.25">
      <c r="A277">
        <f t="shared" si="4"/>
        <v>9</v>
      </c>
      <c r="B277">
        <v>4</v>
      </c>
      <c r="C277" s="1">
        <v>16593</v>
      </c>
      <c r="D277" s="4" t="str">
        <f>VLOOKUP('Flow2 '!A277,'ALokasi Pelabuhan '!$A:$C,3,TRUE)</f>
        <v>P9</v>
      </c>
      <c r="E277" s="4" t="str">
        <f>VLOOKUP('Flow2 '!B277,'ALokasi Pelabuhan '!$A:$C,3,TRUE)</f>
        <v>P4</v>
      </c>
    </row>
    <row r="278" spans="1:5" x14ac:dyDescent="0.25">
      <c r="A278">
        <f t="shared" si="4"/>
        <v>9</v>
      </c>
      <c r="B278">
        <v>5</v>
      </c>
      <c r="C278" s="1">
        <v>20312</v>
      </c>
      <c r="D278" s="4" t="str">
        <f>VLOOKUP('Flow2 '!A278,'ALokasi Pelabuhan '!$A:$C,3,TRUE)</f>
        <v>P9</v>
      </c>
      <c r="E278" s="4" t="str">
        <f>VLOOKUP('Flow2 '!B278,'ALokasi Pelabuhan '!$A:$C,3,TRUE)</f>
        <v>P19</v>
      </c>
    </row>
    <row r="279" spans="1:5" x14ac:dyDescent="0.25">
      <c r="A279">
        <f t="shared" si="4"/>
        <v>9</v>
      </c>
      <c r="B279">
        <v>6</v>
      </c>
      <c r="C279" s="1">
        <v>38180</v>
      </c>
      <c r="D279" s="4" t="str">
        <f>VLOOKUP('Flow2 '!A279,'ALokasi Pelabuhan '!$A:$C,3,TRUE)</f>
        <v>P9</v>
      </c>
      <c r="E279" s="4" t="str">
        <f>VLOOKUP('Flow2 '!B279,'ALokasi Pelabuhan '!$A:$C,3,TRUE)</f>
        <v>P8</v>
      </c>
    </row>
    <row r="280" spans="1:5" x14ac:dyDescent="0.25">
      <c r="A280">
        <f t="shared" si="4"/>
        <v>9</v>
      </c>
      <c r="B280">
        <v>7</v>
      </c>
      <c r="C280" s="1">
        <v>4890</v>
      </c>
      <c r="D280" s="4" t="str">
        <f>VLOOKUP('Flow2 '!A280,'ALokasi Pelabuhan '!$A:$C,3,TRUE)</f>
        <v>P9</v>
      </c>
      <c r="E280" s="4" t="str">
        <f>VLOOKUP('Flow2 '!B280,'ALokasi Pelabuhan '!$A:$C,3,TRUE)</f>
        <v>P5</v>
      </c>
    </row>
    <row r="281" spans="1:5" x14ac:dyDescent="0.25">
      <c r="A281">
        <f t="shared" si="4"/>
        <v>9</v>
      </c>
      <c r="B281">
        <v>8</v>
      </c>
      <c r="C281" s="1">
        <v>27848</v>
      </c>
      <c r="D281" s="4" t="str">
        <f>VLOOKUP('Flow2 '!A281,'ALokasi Pelabuhan '!$A:$C,3,TRUE)</f>
        <v>P9</v>
      </c>
      <c r="E281" s="4" t="str">
        <f>VLOOKUP('Flow2 '!B281,'ALokasi Pelabuhan '!$A:$C,3,TRUE)</f>
        <v>P8</v>
      </c>
    </row>
    <row r="282" spans="1:5" x14ac:dyDescent="0.25">
      <c r="A282">
        <f t="shared" si="4"/>
        <v>9</v>
      </c>
      <c r="B282">
        <v>9</v>
      </c>
      <c r="C282" s="1">
        <v>45695</v>
      </c>
      <c r="D282" s="4" t="str">
        <f>VLOOKUP('Flow2 '!A282,'ALokasi Pelabuhan '!$A:$C,3,TRUE)</f>
        <v>P9</v>
      </c>
      <c r="E282" s="4" t="str">
        <f>VLOOKUP('Flow2 '!B282,'ALokasi Pelabuhan '!$A:$C,3,TRUE)</f>
        <v>P9</v>
      </c>
    </row>
    <row r="283" spans="1:5" x14ac:dyDescent="0.25">
      <c r="A283">
        <f t="shared" si="4"/>
        <v>9</v>
      </c>
      <c r="B283">
        <v>10</v>
      </c>
      <c r="C283" s="1">
        <v>5497</v>
      </c>
      <c r="D283" s="4" t="str">
        <f>VLOOKUP('Flow2 '!A283,'ALokasi Pelabuhan '!$A:$C,3,TRUE)</f>
        <v>P9</v>
      </c>
      <c r="E283" s="4" t="str">
        <f>VLOOKUP('Flow2 '!B283,'ALokasi Pelabuhan '!$A:$C,3,TRUE)</f>
        <v>P10</v>
      </c>
    </row>
    <row r="284" spans="1:5" x14ac:dyDescent="0.25">
      <c r="A284">
        <f t="shared" si="4"/>
        <v>9</v>
      </c>
      <c r="B284">
        <v>11</v>
      </c>
      <c r="C284" s="1">
        <v>43244</v>
      </c>
      <c r="D284" s="4" t="str">
        <f>VLOOKUP('Flow2 '!A284,'ALokasi Pelabuhan '!$A:$C,3,TRUE)</f>
        <v>P9</v>
      </c>
      <c r="E284" s="4" t="str">
        <f>VLOOKUP('Flow2 '!B284,'ALokasi Pelabuhan '!$A:$C,3,TRUE)</f>
        <v>P11</v>
      </c>
    </row>
    <row r="285" spans="1:5" x14ac:dyDescent="0.25">
      <c r="A285">
        <f t="shared" si="4"/>
        <v>9</v>
      </c>
      <c r="B285">
        <v>12</v>
      </c>
      <c r="C285" s="1">
        <v>136848</v>
      </c>
      <c r="D285" s="4" t="str">
        <f>VLOOKUP('Flow2 '!A285,'ALokasi Pelabuhan '!$A:$C,3,TRUE)</f>
        <v>P9</v>
      </c>
      <c r="E285" s="4" t="str">
        <f>VLOOKUP('Flow2 '!B285,'ALokasi Pelabuhan '!$A:$C,3,TRUE)</f>
        <v>P13</v>
      </c>
    </row>
    <row r="286" spans="1:5" x14ac:dyDescent="0.25">
      <c r="A286">
        <f t="shared" si="4"/>
        <v>9</v>
      </c>
      <c r="B286">
        <v>13</v>
      </c>
      <c r="C286" s="1">
        <v>64377</v>
      </c>
      <c r="D286" s="4" t="str">
        <f>VLOOKUP('Flow2 '!A286,'ALokasi Pelabuhan '!$A:$C,3,TRUE)</f>
        <v>P9</v>
      </c>
      <c r="E286" s="4" t="str">
        <f>VLOOKUP('Flow2 '!B286,'ALokasi Pelabuhan '!$A:$C,3,TRUE)</f>
        <v>P12</v>
      </c>
    </row>
    <row r="287" spans="1:5" x14ac:dyDescent="0.25">
      <c r="A287">
        <f t="shared" si="4"/>
        <v>9</v>
      </c>
      <c r="B287">
        <v>14</v>
      </c>
      <c r="C287" s="1">
        <v>6170</v>
      </c>
      <c r="D287" s="4" t="str">
        <f>VLOOKUP('Flow2 '!A287,'ALokasi Pelabuhan '!$A:$C,3,TRUE)</f>
        <v>P9</v>
      </c>
      <c r="E287" s="4" t="str">
        <f>VLOOKUP('Flow2 '!B287,'ALokasi Pelabuhan '!$A:$C,3,TRUE)</f>
        <v>P14</v>
      </c>
    </row>
    <row r="288" spans="1:5" x14ac:dyDescent="0.25">
      <c r="A288">
        <f t="shared" si="4"/>
        <v>9</v>
      </c>
      <c r="B288">
        <v>15</v>
      </c>
      <c r="C288" s="1">
        <v>66113</v>
      </c>
      <c r="D288" s="4" t="str">
        <f>VLOOKUP('Flow2 '!A288,'ALokasi Pelabuhan '!$A:$C,3,TRUE)</f>
        <v>P9</v>
      </c>
      <c r="E288" s="4" t="str">
        <f>VLOOKUP('Flow2 '!B288,'ALokasi Pelabuhan '!$A:$C,3,TRUE)</f>
        <v>P15</v>
      </c>
    </row>
    <row r="289" spans="1:5" x14ac:dyDescent="0.25">
      <c r="A289">
        <f t="shared" si="4"/>
        <v>9</v>
      </c>
      <c r="B289">
        <v>16</v>
      </c>
      <c r="C289" s="1">
        <v>48876</v>
      </c>
      <c r="D289" s="4" t="str">
        <f>VLOOKUP('Flow2 '!A289,'ALokasi Pelabuhan '!$A:$C,3,TRUE)</f>
        <v>P9</v>
      </c>
      <c r="E289" s="4" t="str">
        <f>VLOOKUP('Flow2 '!B289,'ALokasi Pelabuhan '!$A:$C,3,TRUE)</f>
        <v>P6</v>
      </c>
    </row>
    <row r="290" spans="1:5" x14ac:dyDescent="0.25">
      <c r="A290">
        <f t="shared" si="4"/>
        <v>9</v>
      </c>
      <c r="B290">
        <v>17</v>
      </c>
      <c r="C290" s="1">
        <v>4498</v>
      </c>
      <c r="D290" s="4" t="str">
        <f>VLOOKUP('Flow2 '!A290,'ALokasi Pelabuhan '!$A:$C,3,TRUE)</f>
        <v>P9</v>
      </c>
      <c r="E290" s="4" t="str">
        <f>VLOOKUP('Flow2 '!B290,'ALokasi Pelabuhan '!$A:$C,3,TRUE)</f>
        <v>P3</v>
      </c>
    </row>
    <row r="291" spans="1:5" x14ac:dyDescent="0.25">
      <c r="A291">
        <f t="shared" si="4"/>
        <v>9</v>
      </c>
      <c r="B291">
        <v>18</v>
      </c>
      <c r="C291" s="1">
        <v>4691</v>
      </c>
      <c r="D291" s="4" t="str">
        <f>VLOOKUP('Flow2 '!A291,'ALokasi Pelabuhan '!$A:$C,3,TRUE)</f>
        <v>P9</v>
      </c>
      <c r="E291" s="4" t="str">
        <f>VLOOKUP('Flow2 '!B291,'ALokasi Pelabuhan '!$A:$C,3,TRUE)</f>
        <v>P7</v>
      </c>
    </row>
    <row r="292" spans="1:5" x14ac:dyDescent="0.25">
      <c r="A292">
        <f t="shared" si="4"/>
        <v>9</v>
      </c>
      <c r="B292">
        <v>19</v>
      </c>
      <c r="C292" s="1">
        <v>3627</v>
      </c>
      <c r="D292" s="4" t="str">
        <f>VLOOKUP('Flow2 '!A292,'ALokasi Pelabuhan '!$A:$C,3,TRUE)</f>
        <v>P9</v>
      </c>
      <c r="E292" s="4" t="str">
        <f>VLOOKUP('Flow2 '!B292,'ALokasi Pelabuhan '!$A:$C,3,TRUE)</f>
        <v>P22</v>
      </c>
    </row>
    <row r="293" spans="1:5" x14ac:dyDescent="0.25">
      <c r="A293">
        <f t="shared" si="4"/>
        <v>9</v>
      </c>
      <c r="B293">
        <v>20</v>
      </c>
      <c r="C293" s="1">
        <v>12754</v>
      </c>
      <c r="D293" s="4" t="str">
        <f>VLOOKUP('Flow2 '!A293,'ALokasi Pelabuhan '!$A:$C,3,TRUE)</f>
        <v>P9</v>
      </c>
      <c r="E293" s="4" t="str">
        <f>VLOOKUP('Flow2 '!B293,'ALokasi Pelabuhan '!$A:$C,3,TRUE)</f>
        <v>P21</v>
      </c>
    </row>
    <row r="294" spans="1:5" x14ac:dyDescent="0.25">
      <c r="A294">
        <f t="shared" si="4"/>
        <v>9</v>
      </c>
      <c r="B294">
        <v>21</v>
      </c>
      <c r="C294" s="1">
        <v>4404</v>
      </c>
      <c r="D294" s="4" t="str">
        <f>VLOOKUP('Flow2 '!A294,'ALokasi Pelabuhan '!$A:$C,3,TRUE)</f>
        <v>P9</v>
      </c>
      <c r="E294" s="4" t="str">
        <f>VLOOKUP('Flow2 '!B294,'ALokasi Pelabuhan '!$A:$C,3,TRUE)</f>
        <v>P20</v>
      </c>
    </row>
    <row r="295" spans="1:5" x14ac:dyDescent="0.25">
      <c r="A295">
        <f t="shared" si="4"/>
        <v>9</v>
      </c>
      <c r="B295">
        <v>22</v>
      </c>
      <c r="C295" s="1">
        <v>5387</v>
      </c>
      <c r="D295" s="4" t="str">
        <f>VLOOKUP('Flow2 '!A295,'ALokasi Pelabuhan '!$A:$C,3,TRUE)</f>
        <v>P9</v>
      </c>
      <c r="E295" s="4" t="str">
        <f>VLOOKUP('Flow2 '!B295,'ALokasi Pelabuhan '!$A:$C,3,TRUE)</f>
        <v>P20</v>
      </c>
    </row>
    <row r="296" spans="1:5" x14ac:dyDescent="0.25">
      <c r="A296">
        <f t="shared" si="4"/>
        <v>9</v>
      </c>
      <c r="B296">
        <v>23</v>
      </c>
      <c r="C296" s="1">
        <v>3425</v>
      </c>
      <c r="D296" s="4" t="str">
        <f>VLOOKUP('Flow2 '!A296,'ALokasi Pelabuhan '!$A:$C,3,TRUE)</f>
        <v>P9</v>
      </c>
      <c r="E296" s="4" t="str">
        <f>VLOOKUP('Flow2 '!B296,'ALokasi Pelabuhan '!$A:$C,3,TRUE)</f>
        <v>P24</v>
      </c>
    </row>
    <row r="297" spans="1:5" x14ac:dyDescent="0.25">
      <c r="A297">
        <f t="shared" si="4"/>
        <v>9</v>
      </c>
      <c r="B297">
        <v>24</v>
      </c>
      <c r="C297" s="1">
        <v>427</v>
      </c>
      <c r="D297" s="4" t="str">
        <f>VLOOKUP('Flow2 '!A297,'ALokasi Pelabuhan '!$A:$C,3,TRUE)</f>
        <v>P9</v>
      </c>
      <c r="E297" s="4" t="str">
        <f>VLOOKUP('Flow2 '!B297,'ALokasi Pelabuhan '!$A:$C,3,TRUE)</f>
        <v>P23</v>
      </c>
    </row>
    <row r="298" spans="1:5" x14ac:dyDescent="0.25">
      <c r="A298">
        <f t="shared" si="4"/>
        <v>9</v>
      </c>
      <c r="B298">
        <v>25</v>
      </c>
      <c r="C298" s="1">
        <v>1518</v>
      </c>
      <c r="D298" s="4" t="str">
        <f>VLOOKUP('Flow2 '!A298,'ALokasi Pelabuhan '!$A:$C,3,TRUE)</f>
        <v>P9</v>
      </c>
      <c r="E298" s="4" t="str">
        <f>VLOOKUP('Flow2 '!B298,'ALokasi Pelabuhan '!$A:$C,3,TRUE)</f>
        <v>P2</v>
      </c>
    </row>
    <row r="299" spans="1:5" x14ac:dyDescent="0.25">
      <c r="A299">
        <f t="shared" si="4"/>
        <v>9</v>
      </c>
      <c r="B299">
        <v>26</v>
      </c>
      <c r="C299" s="1">
        <v>2301</v>
      </c>
      <c r="D299" s="4" t="str">
        <f>VLOOKUP('Flow2 '!A299,'ALokasi Pelabuhan '!$A:$C,3,TRUE)</f>
        <v>P9</v>
      </c>
      <c r="E299" s="4" t="str">
        <f>VLOOKUP('Flow2 '!B299,'ALokasi Pelabuhan '!$A:$C,3,TRUE)</f>
        <v>P17</v>
      </c>
    </row>
    <row r="300" spans="1:5" x14ac:dyDescent="0.25">
      <c r="A300">
        <f t="shared" si="4"/>
        <v>9</v>
      </c>
      <c r="B300">
        <v>27</v>
      </c>
      <c r="C300" s="1">
        <v>7116</v>
      </c>
      <c r="D300" s="4" t="str">
        <f>VLOOKUP('Flow2 '!A300,'ALokasi Pelabuhan '!$A:$C,3,TRUE)</f>
        <v>P9</v>
      </c>
      <c r="E300" s="4" t="str">
        <f>VLOOKUP('Flow2 '!B300,'ALokasi Pelabuhan '!$A:$C,3,TRUE)</f>
        <v>P17</v>
      </c>
    </row>
    <row r="301" spans="1:5" x14ac:dyDescent="0.25">
      <c r="A301">
        <f t="shared" si="4"/>
        <v>9</v>
      </c>
      <c r="B301">
        <v>28</v>
      </c>
      <c r="C301" s="1">
        <v>1827</v>
      </c>
      <c r="D301" s="4" t="str">
        <f>VLOOKUP('Flow2 '!A301,'ALokasi Pelabuhan '!$A:$C,3,TRUE)</f>
        <v>P9</v>
      </c>
      <c r="E301" s="4" t="str">
        <f>VLOOKUP('Flow2 '!B301,'ALokasi Pelabuhan '!$A:$C,3,TRUE)</f>
        <v>P16</v>
      </c>
    </row>
    <row r="302" spans="1:5" x14ac:dyDescent="0.25">
      <c r="A302">
        <f t="shared" si="4"/>
        <v>9</v>
      </c>
      <c r="B302">
        <v>29</v>
      </c>
      <c r="C302" s="1">
        <v>688</v>
      </c>
      <c r="D302" s="4" t="str">
        <f>VLOOKUP('Flow2 '!A302,'ALokasi Pelabuhan '!$A:$C,3,TRUE)</f>
        <v>P9</v>
      </c>
      <c r="E302" s="4" t="str">
        <f>VLOOKUP('Flow2 '!B302,'ALokasi Pelabuhan '!$A:$C,3,TRUE)</f>
        <v>P18</v>
      </c>
    </row>
    <row r="303" spans="1:5" x14ac:dyDescent="0.25">
      <c r="A303">
        <f t="shared" si="4"/>
        <v>9</v>
      </c>
      <c r="B303">
        <v>30</v>
      </c>
      <c r="C303" s="1">
        <v>1135</v>
      </c>
      <c r="D303" s="4" t="str">
        <f>VLOOKUP('Flow2 '!A303,'ALokasi Pelabuhan '!$A:$C,3,TRUE)</f>
        <v>P9</v>
      </c>
      <c r="E303" s="4" t="str">
        <f>VLOOKUP('Flow2 '!B303,'ALokasi Pelabuhan '!$A:$C,3,TRUE)</f>
        <v>P19</v>
      </c>
    </row>
    <row r="304" spans="1:5" x14ac:dyDescent="0.25">
      <c r="A304">
        <f t="shared" si="4"/>
        <v>9</v>
      </c>
      <c r="B304">
        <v>31</v>
      </c>
      <c r="C304" s="1">
        <v>921</v>
      </c>
      <c r="D304" s="4" t="str">
        <f>VLOOKUP('Flow2 '!A304,'ALokasi Pelabuhan '!$A:$C,3,TRUE)</f>
        <v>P9</v>
      </c>
      <c r="E304" s="4" t="str">
        <f>VLOOKUP('Flow2 '!B304,'ALokasi Pelabuhan '!$A:$C,3,TRUE)</f>
        <v>P4</v>
      </c>
    </row>
    <row r="305" spans="1:5" x14ac:dyDescent="0.25">
      <c r="A305">
        <f t="shared" si="4"/>
        <v>9</v>
      </c>
      <c r="B305">
        <v>32</v>
      </c>
      <c r="C305" s="1">
        <v>642</v>
      </c>
      <c r="D305" s="4" t="str">
        <f>VLOOKUP('Flow2 '!A305,'ALokasi Pelabuhan '!$A:$C,3,TRUE)</f>
        <v>P9</v>
      </c>
      <c r="E305" s="4" t="str">
        <f>VLOOKUP('Flow2 '!B305,'ALokasi Pelabuhan '!$A:$C,3,TRUE)</f>
        <v>P6</v>
      </c>
    </row>
    <row r="306" spans="1:5" x14ac:dyDescent="0.25">
      <c r="A306">
        <f t="shared" si="4"/>
        <v>9</v>
      </c>
      <c r="B306">
        <v>33</v>
      </c>
      <c r="C306" s="1">
        <v>168.83401702006873</v>
      </c>
      <c r="D306" s="4" t="str">
        <f>VLOOKUP('Flow2 '!A306,'ALokasi Pelabuhan '!$A:$C,3,TRUE)</f>
        <v>P9</v>
      </c>
      <c r="E306" s="4" t="str">
        <f>VLOOKUP('Flow2 '!B306,'ALokasi Pelabuhan '!$A:$C,3,TRUE)</f>
        <v>P2</v>
      </c>
    </row>
    <row r="307" spans="1:5" x14ac:dyDescent="0.25">
      <c r="A307">
        <f t="shared" si="4"/>
        <v>9</v>
      </c>
      <c r="B307">
        <v>34</v>
      </c>
      <c r="C307" s="1">
        <v>606.16598297993153</v>
      </c>
      <c r="D307" s="4" t="str">
        <f>VLOOKUP('Flow2 '!A307,'ALokasi Pelabuhan '!$A:$C,3,TRUE)</f>
        <v>P9</v>
      </c>
      <c r="E307" s="4" t="str">
        <f>VLOOKUP('Flow2 '!B307,'ALokasi Pelabuhan '!$A:$C,3,TRUE)</f>
        <v>P9</v>
      </c>
    </row>
    <row r="308" spans="1:5" x14ac:dyDescent="0.25">
      <c r="A308">
        <f t="shared" si="4"/>
        <v>10</v>
      </c>
      <c r="B308">
        <v>1</v>
      </c>
      <c r="C308" s="1">
        <v>23441</v>
      </c>
      <c r="D308" s="4" t="str">
        <f>VLOOKUP('Flow2 '!A308,'ALokasi Pelabuhan '!$A:$C,3,TRUE)</f>
        <v>P10</v>
      </c>
      <c r="E308" s="4" t="str">
        <f>VLOOKUP('Flow2 '!B308,'ALokasi Pelabuhan '!$A:$C,3,TRUE)</f>
        <v>P1</v>
      </c>
    </row>
    <row r="309" spans="1:5" x14ac:dyDescent="0.25">
      <c r="A309">
        <f t="shared" si="4"/>
        <v>10</v>
      </c>
      <c r="B309">
        <v>2</v>
      </c>
      <c r="C309" s="1">
        <v>93004</v>
      </c>
      <c r="D309" s="4" t="str">
        <f>VLOOKUP('Flow2 '!A309,'ALokasi Pelabuhan '!$A:$C,3,TRUE)</f>
        <v>P10</v>
      </c>
      <c r="E309" s="4" t="str">
        <f>VLOOKUP('Flow2 '!B309,'ALokasi Pelabuhan '!$A:$C,3,TRUE)</f>
        <v>P10</v>
      </c>
    </row>
    <row r="310" spans="1:5" x14ac:dyDescent="0.25">
      <c r="A310">
        <f t="shared" si="4"/>
        <v>10</v>
      </c>
      <c r="B310">
        <v>3</v>
      </c>
      <c r="C310" s="1">
        <v>46901</v>
      </c>
      <c r="D310" s="4" t="str">
        <f>VLOOKUP('Flow2 '!A310,'ALokasi Pelabuhan '!$A:$C,3,TRUE)</f>
        <v>P10</v>
      </c>
      <c r="E310" s="4" t="str">
        <f>VLOOKUP('Flow2 '!B310,'ALokasi Pelabuhan '!$A:$C,3,TRUE)</f>
        <v>P8</v>
      </c>
    </row>
    <row r="311" spans="1:5" x14ac:dyDescent="0.25">
      <c r="A311">
        <f t="shared" si="4"/>
        <v>10</v>
      </c>
      <c r="B311">
        <v>4</v>
      </c>
      <c r="C311" s="1">
        <v>107388</v>
      </c>
      <c r="D311" s="4" t="str">
        <f>VLOOKUP('Flow2 '!A311,'ALokasi Pelabuhan '!$A:$C,3,TRUE)</f>
        <v>P10</v>
      </c>
      <c r="E311" s="4" t="str">
        <f>VLOOKUP('Flow2 '!B311,'ALokasi Pelabuhan '!$A:$C,3,TRUE)</f>
        <v>P4</v>
      </c>
    </row>
    <row r="312" spans="1:5" x14ac:dyDescent="0.25">
      <c r="A312">
        <f t="shared" si="4"/>
        <v>10</v>
      </c>
      <c r="B312">
        <v>5</v>
      </c>
      <c r="C312" s="1">
        <v>73255</v>
      </c>
      <c r="D312" s="4" t="str">
        <f>VLOOKUP('Flow2 '!A312,'ALokasi Pelabuhan '!$A:$C,3,TRUE)</f>
        <v>P10</v>
      </c>
      <c r="E312" s="4" t="str">
        <f>VLOOKUP('Flow2 '!B312,'ALokasi Pelabuhan '!$A:$C,3,TRUE)</f>
        <v>P19</v>
      </c>
    </row>
    <row r="313" spans="1:5" x14ac:dyDescent="0.25">
      <c r="A313">
        <f t="shared" si="4"/>
        <v>10</v>
      </c>
      <c r="B313">
        <v>6</v>
      </c>
      <c r="C313" s="1">
        <v>68159</v>
      </c>
      <c r="D313" s="4" t="str">
        <f>VLOOKUP('Flow2 '!A313,'ALokasi Pelabuhan '!$A:$C,3,TRUE)</f>
        <v>P10</v>
      </c>
      <c r="E313" s="4" t="str">
        <f>VLOOKUP('Flow2 '!B313,'ALokasi Pelabuhan '!$A:$C,3,TRUE)</f>
        <v>P8</v>
      </c>
    </row>
    <row r="314" spans="1:5" x14ac:dyDescent="0.25">
      <c r="A314">
        <f t="shared" si="4"/>
        <v>10</v>
      </c>
      <c r="B314">
        <v>7</v>
      </c>
      <c r="C314" s="1">
        <v>13745</v>
      </c>
      <c r="D314" s="4" t="str">
        <f>VLOOKUP('Flow2 '!A314,'ALokasi Pelabuhan '!$A:$C,3,TRUE)</f>
        <v>P10</v>
      </c>
      <c r="E314" s="4" t="str">
        <f>VLOOKUP('Flow2 '!B314,'ALokasi Pelabuhan '!$A:$C,3,TRUE)</f>
        <v>P5</v>
      </c>
    </row>
    <row r="315" spans="1:5" x14ac:dyDescent="0.25">
      <c r="A315">
        <f t="shared" si="4"/>
        <v>10</v>
      </c>
      <c r="B315">
        <v>8</v>
      </c>
      <c r="C315" s="1">
        <v>63695</v>
      </c>
      <c r="D315" s="4" t="str">
        <f>VLOOKUP('Flow2 '!A315,'ALokasi Pelabuhan '!$A:$C,3,TRUE)</f>
        <v>P10</v>
      </c>
      <c r="E315" s="4" t="str">
        <f>VLOOKUP('Flow2 '!B315,'ALokasi Pelabuhan '!$A:$C,3,TRUE)</f>
        <v>P8</v>
      </c>
    </row>
    <row r="316" spans="1:5" x14ac:dyDescent="0.25">
      <c r="A316">
        <f t="shared" si="4"/>
        <v>10</v>
      </c>
      <c r="B316">
        <v>9</v>
      </c>
      <c r="C316" s="1">
        <v>13476</v>
      </c>
      <c r="D316" s="4" t="str">
        <f>VLOOKUP('Flow2 '!A316,'ALokasi Pelabuhan '!$A:$C,3,TRUE)</f>
        <v>P10</v>
      </c>
      <c r="E316" s="4" t="str">
        <f>VLOOKUP('Flow2 '!B316,'ALokasi Pelabuhan '!$A:$C,3,TRUE)</f>
        <v>P9</v>
      </c>
    </row>
    <row r="317" spans="1:5" x14ac:dyDescent="0.25">
      <c r="A317">
        <f t="shared" si="4"/>
        <v>10</v>
      </c>
      <c r="B317">
        <v>10</v>
      </c>
      <c r="C317" s="1">
        <v>87101</v>
      </c>
      <c r="D317" s="4" t="str">
        <f>VLOOKUP('Flow2 '!A317,'ALokasi Pelabuhan '!$A:$C,3,TRUE)</f>
        <v>P10</v>
      </c>
      <c r="E317" s="4" t="str">
        <f>VLOOKUP('Flow2 '!B317,'ALokasi Pelabuhan '!$A:$C,3,TRUE)</f>
        <v>P10</v>
      </c>
    </row>
    <row r="318" spans="1:5" x14ac:dyDescent="0.25">
      <c r="A318">
        <f t="shared" si="4"/>
        <v>10</v>
      </c>
      <c r="B318">
        <v>11</v>
      </c>
      <c r="C318" s="1">
        <v>70011</v>
      </c>
      <c r="D318" s="4" t="str">
        <f>VLOOKUP('Flow2 '!A318,'ALokasi Pelabuhan '!$A:$C,3,TRUE)</f>
        <v>P10</v>
      </c>
      <c r="E318" s="4" t="str">
        <f>VLOOKUP('Flow2 '!B318,'ALokasi Pelabuhan '!$A:$C,3,TRUE)</f>
        <v>P11</v>
      </c>
    </row>
    <row r="319" spans="1:5" x14ac:dyDescent="0.25">
      <c r="A319">
        <f t="shared" si="4"/>
        <v>10</v>
      </c>
      <c r="B319">
        <v>12</v>
      </c>
      <c r="C319" s="1">
        <v>237918</v>
      </c>
      <c r="D319" s="4" t="str">
        <f>VLOOKUP('Flow2 '!A319,'ALokasi Pelabuhan '!$A:$C,3,TRUE)</f>
        <v>P10</v>
      </c>
      <c r="E319" s="4" t="str">
        <f>VLOOKUP('Flow2 '!B319,'ALokasi Pelabuhan '!$A:$C,3,TRUE)</f>
        <v>P13</v>
      </c>
    </row>
    <row r="320" spans="1:5" x14ac:dyDescent="0.25">
      <c r="A320">
        <f t="shared" si="4"/>
        <v>10</v>
      </c>
      <c r="B320">
        <v>13</v>
      </c>
      <c r="C320" s="1">
        <v>127163</v>
      </c>
      <c r="D320" s="4" t="str">
        <f>VLOOKUP('Flow2 '!A320,'ALokasi Pelabuhan '!$A:$C,3,TRUE)</f>
        <v>P10</v>
      </c>
      <c r="E320" s="4" t="str">
        <f>VLOOKUP('Flow2 '!B320,'ALokasi Pelabuhan '!$A:$C,3,TRUE)</f>
        <v>P12</v>
      </c>
    </row>
    <row r="321" spans="1:5" x14ac:dyDescent="0.25">
      <c r="A321">
        <f t="shared" si="4"/>
        <v>10</v>
      </c>
      <c r="B321">
        <v>14</v>
      </c>
      <c r="C321" s="1">
        <v>12775</v>
      </c>
      <c r="D321" s="4" t="str">
        <f>VLOOKUP('Flow2 '!A321,'ALokasi Pelabuhan '!$A:$C,3,TRUE)</f>
        <v>P10</v>
      </c>
      <c r="E321" s="4" t="str">
        <f>VLOOKUP('Flow2 '!B321,'ALokasi Pelabuhan '!$A:$C,3,TRUE)</f>
        <v>P14</v>
      </c>
    </row>
    <row r="322" spans="1:5" x14ac:dyDescent="0.25">
      <c r="A322">
        <f t="shared" si="4"/>
        <v>10</v>
      </c>
      <c r="B322">
        <v>15</v>
      </c>
      <c r="C322" s="1">
        <v>144630</v>
      </c>
      <c r="D322" s="4" t="str">
        <f>VLOOKUP('Flow2 '!A322,'ALokasi Pelabuhan '!$A:$C,3,TRUE)</f>
        <v>P10</v>
      </c>
      <c r="E322" s="4" t="str">
        <f>VLOOKUP('Flow2 '!B322,'ALokasi Pelabuhan '!$A:$C,3,TRUE)</f>
        <v>P15</v>
      </c>
    </row>
    <row r="323" spans="1:5" x14ac:dyDescent="0.25">
      <c r="A323">
        <f t="shared" ref="A323:A386" si="5">INT((ROW()-ROW($A$2))/34)+1</f>
        <v>10</v>
      </c>
      <c r="B323">
        <v>16</v>
      </c>
      <c r="C323" s="1">
        <v>80361</v>
      </c>
      <c r="D323" s="4" t="str">
        <f>VLOOKUP('Flow2 '!A323,'ALokasi Pelabuhan '!$A:$C,3,TRUE)</f>
        <v>P10</v>
      </c>
      <c r="E323" s="4" t="str">
        <f>VLOOKUP('Flow2 '!B323,'ALokasi Pelabuhan '!$A:$C,3,TRUE)</f>
        <v>P6</v>
      </c>
    </row>
    <row r="324" spans="1:5" x14ac:dyDescent="0.25">
      <c r="A324">
        <f t="shared" si="5"/>
        <v>10</v>
      </c>
      <c r="B324">
        <v>17</v>
      </c>
      <c r="C324" s="1">
        <v>10896</v>
      </c>
      <c r="D324" s="4" t="str">
        <f>VLOOKUP('Flow2 '!A324,'ALokasi Pelabuhan '!$A:$C,3,TRUE)</f>
        <v>P10</v>
      </c>
      <c r="E324" s="4" t="str">
        <f>VLOOKUP('Flow2 '!B324,'ALokasi Pelabuhan '!$A:$C,3,TRUE)</f>
        <v>P3</v>
      </c>
    </row>
    <row r="325" spans="1:5" x14ac:dyDescent="0.25">
      <c r="A325">
        <f t="shared" si="5"/>
        <v>10</v>
      </c>
      <c r="B325">
        <v>18</v>
      </c>
      <c r="C325" s="1">
        <v>11649</v>
      </c>
      <c r="D325" s="4" t="str">
        <f>VLOOKUP('Flow2 '!A325,'ALokasi Pelabuhan '!$A:$C,3,TRUE)</f>
        <v>P10</v>
      </c>
      <c r="E325" s="4" t="str">
        <f>VLOOKUP('Flow2 '!B325,'ALokasi Pelabuhan '!$A:$C,3,TRUE)</f>
        <v>P7</v>
      </c>
    </row>
    <row r="326" spans="1:5" x14ac:dyDescent="0.25">
      <c r="A326">
        <f t="shared" si="5"/>
        <v>10</v>
      </c>
      <c r="B326">
        <v>19</v>
      </c>
      <c r="C326" s="1">
        <v>9410</v>
      </c>
      <c r="D326" s="4" t="str">
        <f>VLOOKUP('Flow2 '!A326,'ALokasi Pelabuhan '!$A:$C,3,TRUE)</f>
        <v>P10</v>
      </c>
      <c r="E326" s="4" t="str">
        <f>VLOOKUP('Flow2 '!B326,'ALokasi Pelabuhan '!$A:$C,3,TRUE)</f>
        <v>P22</v>
      </c>
    </row>
    <row r="327" spans="1:5" x14ac:dyDescent="0.25">
      <c r="A327">
        <f t="shared" si="5"/>
        <v>10</v>
      </c>
      <c r="B327">
        <v>20</v>
      </c>
      <c r="C327" s="1">
        <v>32259</v>
      </c>
      <c r="D327" s="4" t="str">
        <f>VLOOKUP('Flow2 '!A327,'ALokasi Pelabuhan '!$A:$C,3,TRUE)</f>
        <v>P10</v>
      </c>
      <c r="E327" s="4" t="str">
        <f>VLOOKUP('Flow2 '!B327,'ALokasi Pelabuhan '!$A:$C,3,TRUE)</f>
        <v>P21</v>
      </c>
    </row>
    <row r="328" spans="1:5" x14ac:dyDescent="0.25">
      <c r="A328">
        <f t="shared" si="5"/>
        <v>10</v>
      </c>
      <c r="B328">
        <v>21</v>
      </c>
      <c r="C328" s="1">
        <v>10008</v>
      </c>
      <c r="D328" s="4" t="str">
        <f>VLOOKUP('Flow2 '!A328,'ALokasi Pelabuhan '!$A:$C,3,TRUE)</f>
        <v>P10</v>
      </c>
      <c r="E328" s="4" t="str">
        <f>VLOOKUP('Flow2 '!B328,'ALokasi Pelabuhan '!$A:$C,3,TRUE)</f>
        <v>P20</v>
      </c>
    </row>
    <row r="329" spans="1:5" x14ac:dyDescent="0.25">
      <c r="A329">
        <f t="shared" si="5"/>
        <v>10</v>
      </c>
      <c r="B329">
        <v>22</v>
      </c>
      <c r="C329" s="1">
        <v>13229</v>
      </c>
      <c r="D329" s="4" t="str">
        <f>VLOOKUP('Flow2 '!A329,'ALokasi Pelabuhan '!$A:$C,3,TRUE)</f>
        <v>P10</v>
      </c>
      <c r="E329" s="4" t="str">
        <f>VLOOKUP('Flow2 '!B329,'ALokasi Pelabuhan '!$A:$C,3,TRUE)</f>
        <v>P20</v>
      </c>
    </row>
    <row r="330" spans="1:5" x14ac:dyDescent="0.25">
      <c r="A330">
        <f t="shared" si="5"/>
        <v>10</v>
      </c>
      <c r="B330">
        <v>23</v>
      </c>
      <c r="C330" s="1">
        <v>9502</v>
      </c>
      <c r="D330" s="4" t="str">
        <f>VLOOKUP('Flow2 '!A330,'ALokasi Pelabuhan '!$A:$C,3,TRUE)</f>
        <v>P10</v>
      </c>
      <c r="E330" s="4" t="str">
        <f>VLOOKUP('Flow2 '!B330,'ALokasi Pelabuhan '!$A:$C,3,TRUE)</f>
        <v>P24</v>
      </c>
    </row>
    <row r="331" spans="1:5" x14ac:dyDescent="0.25">
      <c r="A331">
        <f t="shared" si="5"/>
        <v>10</v>
      </c>
      <c r="B331">
        <v>24</v>
      </c>
      <c r="C331" s="1">
        <v>1291</v>
      </c>
      <c r="D331" s="4" t="str">
        <f>VLOOKUP('Flow2 '!A331,'ALokasi Pelabuhan '!$A:$C,3,TRUE)</f>
        <v>P10</v>
      </c>
      <c r="E331" s="4" t="str">
        <f>VLOOKUP('Flow2 '!B331,'ALokasi Pelabuhan '!$A:$C,3,TRUE)</f>
        <v>P23</v>
      </c>
    </row>
    <row r="332" spans="1:5" x14ac:dyDescent="0.25">
      <c r="A332">
        <f t="shared" si="5"/>
        <v>10</v>
      </c>
      <c r="B332">
        <v>25</v>
      </c>
      <c r="C332" s="1">
        <v>4568</v>
      </c>
      <c r="D332" s="4" t="str">
        <f>VLOOKUP('Flow2 '!A332,'ALokasi Pelabuhan '!$A:$C,3,TRUE)</f>
        <v>P10</v>
      </c>
      <c r="E332" s="4" t="str">
        <f>VLOOKUP('Flow2 '!B332,'ALokasi Pelabuhan '!$A:$C,3,TRUE)</f>
        <v>P2</v>
      </c>
    </row>
    <row r="333" spans="1:5" x14ac:dyDescent="0.25">
      <c r="A333">
        <f t="shared" si="5"/>
        <v>10</v>
      </c>
      <c r="B333">
        <v>26</v>
      </c>
      <c r="C333" s="1">
        <v>6648</v>
      </c>
      <c r="D333" s="4" t="str">
        <f>VLOOKUP('Flow2 '!A333,'ALokasi Pelabuhan '!$A:$C,3,TRUE)</f>
        <v>P10</v>
      </c>
      <c r="E333" s="4" t="str">
        <f>VLOOKUP('Flow2 '!B333,'ALokasi Pelabuhan '!$A:$C,3,TRUE)</f>
        <v>P17</v>
      </c>
    </row>
    <row r="334" spans="1:5" x14ac:dyDescent="0.25">
      <c r="A334">
        <f t="shared" si="5"/>
        <v>10</v>
      </c>
      <c r="B334">
        <v>27</v>
      </c>
      <c r="C334" s="1">
        <v>19424</v>
      </c>
      <c r="D334" s="4" t="str">
        <f>VLOOKUP('Flow2 '!A334,'ALokasi Pelabuhan '!$A:$C,3,TRUE)</f>
        <v>P10</v>
      </c>
      <c r="E334" s="4" t="str">
        <f>VLOOKUP('Flow2 '!B334,'ALokasi Pelabuhan '!$A:$C,3,TRUE)</f>
        <v>P17</v>
      </c>
    </row>
    <row r="335" spans="1:5" x14ac:dyDescent="0.25">
      <c r="A335">
        <f t="shared" si="5"/>
        <v>10</v>
      </c>
      <c r="B335">
        <v>28</v>
      </c>
      <c r="C335" s="1">
        <v>5049</v>
      </c>
      <c r="D335" s="4" t="str">
        <f>VLOOKUP('Flow2 '!A335,'ALokasi Pelabuhan '!$A:$C,3,TRUE)</f>
        <v>P10</v>
      </c>
      <c r="E335" s="4" t="str">
        <f>VLOOKUP('Flow2 '!B335,'ALokasi Pelabuhan '!$A:$C,3,TRUE)</f>
        <v>P16</v>
      </c>
    </row>
    <row r="336" spans="1:5" x14ac:dyDescent="0.25">
      <c r="A336">
        <f t="shared" si="5"/>
        <v>10</v>
      </c>
      <c r="B336">
        <v>29</v>
      </c>
      <c r="C336" s="1">
        <v>2053</v>
      </c>
      <c r="D336" s="4" t="str">
        <f>VLOOKUP('Flow2 '!A336,'ALokasi Pelabuhan '!$A:$C,3,TRUE)</f>
        <v>P10</v>
      </c>
      <c r="E336" s="4" t="str">
        <f>VLOOKUP('Flow2 '!B336,'ALokasi Pelabuhan '!$A:$C,3,TRUE)</f>
        <v>P18</v>
      </c>
    </row>
    <row r="337" spans="1:5" x14ac:dyDescent="0.25">
      <c r="A337">
        <f t="shared" si="5"/>
        <v>10</v>
      </c>
      <c r="B337">
        <v>30</v>
      </c>
      <c r="C337" s="1">
        <v>3084</v>
      </c>
      <c r="D337" s="4" t="str">
        <f>VLOOKUP('Flow2 '!A337,'ALokasi Pelabuhan '!$A:$C,3,TRUE)</f>
        <v>P10</v>
      </c>
      <c r="E337" s="4" t="str">
        <f>VLOOKUP('Flow2 '!B337,'ALokasi Pelabuhan '!$A:$C,3,TRUE)</f>
        <v>P19</v>
      </c>
    </row>
    <row r="338" spans="1:5" x14ac:dyDescent="0.25">
      <c r="A338">
        <f t="shared" si="5"/>
        <v>10</v>
      </c>
      <c r="B338">
        <v>31</v>
      </c>
      <c r="C338" s="1">
        <v>2525</v>
      </c>
      <c r="D338" s="4" t="str">
        <f>VLOOKUP('Flow2 '!A338,'ALokasi Pelabuhan '!$A:$C,3,TRUE)</f>
        <v>P10</v>
      </c>
      <c r="E338" s="4" t="str">
        <f>VLOOKUP('Flow2 '!B338,'ALokasi Pelabuhan '!$A:$C,3,TRUE)</f>
        <v>P4</v>
      </c>
    </row>
    <row r="339" spans="1:5" x14ac:dyDescent="0.25">
      <c r="A339">
        <f t="shared" si="5"/>
        <v>10</v>
      </c>
      <c r="B339">
        <v>32</v>
      </c>
      <c r="C339" s="1">
        <v>1908</v>
      </c>
      <c r="D339" s="4" t="str">
        <f>VLOOKUP('Flow2 '!A339,'ALokasi Pelabuhan '!$A:$C,3,TRUE)</f>
        <v>P10</v>
      </c>
      <c r="E339" s="4" t="str">
        <f>VLOOKUP('Flow2 '!B339,'ALokasi Pelabuhan '!$A:$C,3,TRUE)</f>
        <v>P6</v>
      </c>
    </row>
    <row r="340" spans="1:5" x14ac:dyDescent="0.25">
      <c r="A340">
        <f t="shared" si="5"/>
        <v>10</v>
      </c>
      <c r="B340">
        <v>33</v>
      </c>
      <c r="C340" s="1">
        <v>445.7218049329814</v>
      </c>
      <c r="D340" s="4" t="str">
        <f>VLOOKUP('Flow2 '!A340,'ALokasi Pelabuhan '!$A:$C,3,TRUE)</f>
        <v>P10</v>
      </c>
      <c r="E340" s="4" t="str">
        <f>VLOOKUP('Flow2 '!B340,'ALokasi Pelabuhan '!$A:$C,3,TRUE)</f>
        <v>P2</v>
      </c>
    </row>
    <row r="341" spans="1:5" x14ac:dyDescent="0.25">
      <c r="A341">
        <f t="shared" si="5"/>
        <v>10</v>
      </c>
      <c r="B341">
        <v>34</v>
      </c>
      <c r="C341" s="1">
        <v>1600.2781950670192</v>
      </c>
      <c r="D341" s="4" t="str">
        <f>VLOOKUP('Flow2 '!A341,'ALokasi Pelabuhan '!$A:$C,3,TRUE)</f>
        <v>P10</v>
      </c>
      <c r="E341" s="4" t="str">
        <f>VLOOKUP('Flow2 '!B341,'ALokasi Pelabuhan '!$A:$C,3,TRUE)</f>
        <v>P9</v>
      </c>
    </row>
    <row r="342" spans="1:5" x14ac:dyDescent="0.25">
      <c r="A342">
        <f t="shared" si="5"/>
        <v>11</v>
      </c>
      <c r="B342">
        <v>1</v>
      </c>
      <c r="C342" s="1">
        <v>2221</v>
      </c>
      <c r="D342" s="4" t="str">
        <f>VLOOKUP('Flow2 '!A342,'ALokasi Pelabuhan '!$A:$C,3,TRUE)</f>
        <v>P11</v>
      </c>
      <c r="E342" s="4" t="str">
        <f>VLOOKUP('Flow2 '!B342,'ALokasi Pelabuhan '!$A:$C,3,TRUE)</f>
        <v>P1</v>
      </c>
    </row>
    <row r="343" spans="1:5" x14ac:dyDescent="0.25">
      <c r="A343">
        <f t="shared" si="5"/>
        <v>11</v>
      </c>
      <c r="B343">
        <v>2</v>
      </c>
      <c r="C343" s="1">
        <v>6486</v>
      </c>
      <c r="D343" s="4" t="str">
        <f>VLOOKUP('Flow2 '!A343,'ALokasi Pelabuhan '!$A:$C,3,TRUE)</f>
        <v>P11</v>
      </c>
      <c r="E343" s="4" t="str">
        <f>VLOOKUP('Flow2 '!B343,'ALokasi Pelabuhan '!$A:$C,3,TRUE)</f>
        <v>P10</v>
      </c>
    </row>
    <row r="344" spans="1:5" x14ac:dyDescent="0.25">
      <c r="A344">
        <f t="shared" si="5"/>
        <v>11</v>
      </c>
      <c r="B344">
        <v>3</v>
      </c>
      <c r="C344" s="1">
        <v>2570</v>
      </c>
      <c r="D344" s="4" t="str">
        <f>VLOOKUP('Flow2 '!A344,'ALokasi Pelabuhan '!$A:$C,3,TRUE)</f>
        <v>P11</v>
      </c>
      <c r="E344" s="4" t="str">
        <f>VLOOKUP('Flow2 '!B344,'ALokasi Pelabuhan '!$A:$C,3,TRUE)</f>
        <v>P8</v>
      </c>
    </row>
    <row r="345" spans="1:5" x14ac:dyDescent="0.25">
      <c r="A345">
        <f t="shared" si="5"/>
        <v>11</v>
      </c>
      <c r="B345">
        <v>4</v>
      </c>
      <c r="C345" s="1">
        <v>7411</v>
      </c>
      <c r="D345" s="4" t="str">
        <f>VLOOKUP('Flow2 '!A345,'ALokasi Pelabuhan '!$A:$C,3,TRUE)</f>
        <v>P11</v>
      </c>
      <c r="E345" s="4" t="str">
        <f>VLOOKUP('Flow2 '!B345,'ALokasi Pelabuhan '!$A:$C,3,TRUE)</f>
        <v>P4</v>
      </c>
    </row>
    <row r="346" spans="1:5" x14ac:dyDescent="0.25">
      <c r="A346">
        <f t="shared" si="5"/>
        <v>11</v>
      </c>
      <c r="B346">
        <v>5</v>
      </c>
      <c r="C346" s="1">
        <v>10410</v>
      </c>
      <c r="D346" s="4" t="str">
        <f>VLOOKUP('Flow2 '!A346,'ALokasi Pelabuhan '!$A:$C,3,TRUE)</f>
        <v>P11</v>
      </c>
      <c r="E346" s="4" t="str">
        <f>VLOOKUP('Flow2 '!B346,'ALokasi Pelabuhan '!$A:$C,3,TRUE)</f>
        <v>P19</v>
      </c>
    </row>
    <row r="347" spans="1:5" x14ac:dyDescent="0.25">
      <c r="A347">
        <f t="shared" si="5"/>
        <v>11</v>
      </c>
      <c r="B347">
        <v>6</v>
      </c>
      <c r="C347" s="1">
        <v>12641</v>
      </c>
      <c r="D347" s="4" t="str">
        <f>VLOOKUP('Flow2 '!A347,'ALokasi Pelabuhan '!$A:$C,3,TRUE)</f>
        <v>P11</v>
      </c>
      <c r="E347" s="4" t="str">
        <f>VLOOKUP('Flow2 '!B347,'ALokasi Pelabuhan '!$A:$C,3,TRUE)</f>
        <v>P8</v>
      </c>
    </row>
    <row r="348" spans="1:5" x14ac:dyDescent="0.25">
      <c r="A348">
        <f t="shared" si="5"/>
        <v>11</v>
      </c>
      <c r="B348">
        <v>7</v>
      </c>
      <c r="C348" s="1">
        <v>2690</v>
      </c>
      <c r="D348" s="4" t="str">
        <f>VLOOKUP('Flow2 '!A348,'ALokasi Pelabuhan '!$A:$C,3,TRUE)</f>
        <v>P11</v>
      </c>
      <c r="E348" s="4" t="str">
        <f>VLOOKUP('Flow2 '!B348,'ALokasi Pelabuhan '!$A:$C,3,TRUE)</f>
        <v>P5</v>
      </c>
    </row>
    <row r="349" spans="1:5" x14ac:dyDescent="0.25">
      <c r="A349">
        <f t="shared" si="5"/>
        <v>11</v>
      </c>
      <c r="B349">
        <v>8</v>
      </c>
      <c r="C349" s="1">
        <v>25165</v>
      </c>
      <c r="D349" s="4" t="str">
        <f>VLOOKUP('Flow2 '!A349,'ALokasi Pelabuhan '!$A:$C,3,TRUE)</f>
        <v>P11</v>
      </c>
      <c r="E349" s="4" t="str">
        <f>VLOOKUP('Flow2 '!B349,'ALokasi Pelabuhan '!$A:$C,3,TRUE)</f>
        <v>P8</v>
      </c>
    </row>
    <row r="350" spans="1:5" x14ac:dyDescent="0.25">
      <c r="A350">
        <f t="shared" si="5"/>
        <v>11</v>
      </c>
      <c r="B350">
        <v>9</v>
      </c>
      <c r="C350" s="1">
        <v>2190</v>
      </c>
      <c r="D350" s="4" t="str">
        <f>VLOOKUP('Flow2 '!A350,'ALokasi Pelabuhan '!$A:$C,3,TRUE)</f>
        <v>P11</v>
      </c>
      <c r="E350" s="4" t="str">
        <f>VLOOKUP('Flow2 '!B350,'ALokasi Pelabuhan '!$A:$C,3,TRUE)</f>
        <v>P9</v>
      </c>
    </row>
    <row r="351" spans="1:5" x14ac:dyDescent="0.25">
      <c r="A351">
        <f t="shared" si="5"/>
        <v>11</v>
      </c>
      <c r="B351">
        <v>10</v>
      </c>
      <c r="C351" s="1">
        <v>3168</v>
      </c>
      <c r="D351" s="4" t="str">
        <f>VLOOKUP('Flow2 '!A351,'ALokasi Pelabuhan '!$A:$C,3,TRUE)</f>
        <v>P11</v>
      </c>
      <c r="E351" s="4" t="str">
        <f>VLOOKUP('Flow2 '!B351,'ALokasi Pelabuhan '!$A:$C,3,TRUE)</f>
        <v>P10</v>
      </c>
    </row>
    <row r="352" spans="1:5" x14ac:dyDescent="0.25">
      <c r="A352">
        <f t="shared" si="5"/>
        <v>11</v>
      </c>
      <c r="B352">
        <v>11</v>
      </c>
      <c r="C352" s="1">
        <v>1008910</v>
      </c>
      <c r="D352" s="4" t="str">
        <f>VLOOKUP('Flow2 '!A352,'ALokasi Pelabuhan '!$A:$C,3,TRUE)</f>
        <v>P11</v>
      </c>
      <c r="E352" s="4" t="str">
        <f>VLOOKUP('Flow2 '!B352,'ALokasi Pelabuhan '!$A:$C,3,TRUE)</f>
        <v>P11</v>
      </c>
    </row>
    <row r="353" spans="1:5" x14ac:dyDescent="0.25">
      <c r="A353">
        <f t="shared" si="5"/>
        <v>11</v>
      </c>
      <c r="B353">
        <v>12</v>
      </c>
      <c r="C353" s="1">
        <v>712058</v>
      </c>
      <c r="D353" s="4" t="str">
        <f>VLOOKUP('Flow2 '!A353,'ALokasi Pelabuhan '!$A:$C,3,TRUE)</f>
        <v>P11</v>
      </c>
      <c r="E353" s="4" t="str">
        <f>VLOOKUP('Flow2 '!B353,'ALokasi Pelabuhan '!$A:$C,3,TRUE)</f>
        <v>P13</v>
      </c>
    </row>
    <row r="354" spans="1:5" x14ac:dyDescent="0.25">
      <c r="A354">
        <f t="shared" si="5"/>
        <v>11</v>
      </c>
      <c r="B354">
        <v>13</v>
      </c>
      <c r="C354" s="1">
        <v>74919</v>
      </c>
      <c r="D354" s="4" t="str">
        <f>VLOOKUP('Flow2 '!A354,'ALokasi Pelabuhan '!$A:$C,3,TRUE)</f>
        <v>P11</v>
      </c>
      <c r="E354" s="4" t="str">
        <f>VLOOKUP('Flow2 '!B354,'ALokasi Pelabuhan '!$A:$C,3,TRUE)</f>
        <v>P12</v>
      </c>
    </row>
    <row r="355" spans="1:5" x14ac:dyDescent="0.25">
      <c r="A355">
        <f t="shared" si="5"/>
        <v>11</v>
      </c>
      <c r="B355">
        <v>14</v>
      </c>
      <c r="C355" s="1">
        <v>6708</v>
      </c>
      <c r="D355" s="4" t="str">
        <f>VLOOKUP('Flow2 '!A355,'ALokasi Pelabuhan '!$A:$C,3,TRUE)</f>
        <v>P11</v>
      </c>
      <c r="E355" s="4" t="str">
        <f>VLOOKUP('Flow2 '!B355,'ALokasi Pelabuhan '!$A:$C,3,TRUE)</f>
        <v>P14</v>
      </c>
    </row>
    <row r="356" spans="1:5" x14ac:dyDescent="0.25">
      <c r="A356">
        <f t="shared" si="5"/>
        <v>11</v>
      </c>
      <c r="B356">
        <v>15</v>
      </c>
      <c r="C356" s="1">
        <v>74548</v>
      </c>
      <c r="D356" s="4" t="str">
        <f>VLOOKUP('Flow2 '!A356,'ALokasi Pelabuhan '!$A:$C,3,TRUE)</f>
        <v>P11</v>
      </c>
      <c r="E356" s="4" t="str">
        <f>VLOOKUP('Flow2 '!B356,'ALokasi Pelabuhan '!$A:$C,3,TRUE)</f>
        <v>P15</v>
      </c>
    </row>
    <row r="357" spans="1:5" x14ac:dyDescent="0.25">
      <c r="A357">
        <f t="shared" si="5"/>
        <v>11</v>
      </c>
      <c r="B357">
        <v>16</v>
      </c>
      <c r="C357" s="1">
        <v>337905</v>
      </c>
      <c r="D357" s="4" t="str">
        <f>VLOOKUP('Flow2 '!A357,'ALokasi Pelabuhan '!$A:$C,3,TRUE)</f>
        <v>P11</v>
      </c>
      <c r="E357" s="4" t="str">
        <f>VLOOKUP('Flow2 '!B357,'ALokasi Pelabuhan '!$A:$C,3,TRUE)</f>
        <v>P6</v>
      </c>
    </row>
    <row r="358" spans="1:5" x14ac:dyDescent="0.25">
      <c r="A358">
        <f t="shared" si="5"/>
        <v>11</v>
      </c>
      <c r="B358">
        <v>17</v>
      </c>
      <c r="C358" s="1">
        <v>2899</v>
      </c>
      <c r="D358" s="4" t="str">
        <f>VLOOKUP('Flow2 '!A358,'ALokasi Pelabuhan '!$A:$C,3,TRUE)</f>
        <v>P11</v>
      </c>
      <c r="E358" s="4" t="str">
        <f>VLOOKUP('Flow2 '!B358,'ALokasi Pelabuhan '!$A:$C,3,TRUE)</f>
        <v>P3</v>
      </c>
    </row>
    <row r="359" spans="1:5" x14ac:dyDescent="0.25">
      <c r="A359">
        <f t="shared" si="5"/>
        <v>11</v>
      </c>
      <c r="B359">
        <v>18</v>
      </c>
      <c r="C359" s="1">
        <v>1789</v>
      </c>
      <c r="D359" s="4" t="str">
        <f>VLOOKUP('Flow2 '!A359,'ALokasi Pelabuhan '!$A:$C,3,TRUE)</f>
        <v>P11</v>
      </c>
      <c r="E359" s="4" t="str">
        <f>VLOOKUP('Flow2 '!B359,'ALokasi Pelabuhan '!$A:$C,3,TRUE)</f>
        <v>P7</v>
      </c>
    </row>
    <row r="360" spans="1:5" x14ac:dyDescent="0.25">
      <c r="A360">
        <f t="shared" si="5"/>
        <v>11</v>
      </c>
      <c r="B360">
        <v>19</v>
      </c>
      <c r="C360" s="1">
        <v>1563</v>
      </c>
      <c r="D360" s="4" t="str">
        <f>VLOOKUP('Flow2 '!A360,'ALokasi Pelabuhan '!$A:$C,3,TRUE)</f>
        <v>P11</v>
      </c>
      <c r="E360" s="4" t="str">
        <f>VLOOKUP('Flow2 '!B360,'ALokasi Pelabuhan '!$A:$C,3,TRUE)</f>
        <v>P22</v>
      </c>
    </row>
    <row r="361" spans="1:5" x14ac:dyDescent="0.25">
      <c r="A361">
        <f t="shared" si="5"/>
        <v>11</v>
      </c>
      <c r="B361">
        <v>20</v>
      </c>
      <c r="C361" s="1">
        <v>3268</v>
      </c>
      <c r="D361" s="4" t="str">
        <f>VLOOKUP('Flow2 '!A361,'ALokasi Pelabuhan '!$A:$C,3,TRUE)</f>
        <v>P11</v>
      </c>
      <c r="E361" s="4" t="str">
        <f>VLOOKUP('Flow2 '!B361,'ALokasi Pelabuhan '!$A:$C,3,TRUE)</f>
        <v>P21</v>
      </c>
    </row>
    <row r="362" spans="1:5" x14ac:dyDescent="0.25">
      <c r="A362">
        <f t="shared" si="5"/>
        <v>11</v>
      </c>
      <c r="B362">
        <v>21</v>
      </c>
      <c r="C362" s="1">
        <v>1741</v>
      </c>
      <c r="D362" s="4" t="str">
        <f>VLOOKUP('Flow2 '!A362,'ALokasi Pelabuhan '!$A:$C,3,TRUE)</f>
        <v>P11</v>
      </c>
      <c r="E362" s="4" t="str">
        <f>VLOOKUP('Flow2 '!B362,'ALokasi Pelabuhan '!$A:$C,3,TRUE)</f>
        <v>P20</v>
      </c>
    </row>
    <row r="363" spans="1:5" x14ac:dyDescent="0.25">
      <c r="A363">
        <f t="shared" si="5"/>
        <v>11</v>
      </c>
      <c r="B363">
        <v>22</v>
      </c>
      <c r="C363" s="1">
        <v>2425</v>
      </c>
      <c r="D363" s="4" t="str">
        <f>VLOOKUP('Flow2 '!A363,'ALokasi Pelabuhan '!$A:$C,3,TRUE)</f>
        <v>P11</v>
      </c>
      <c r="E363" s="4" t="str">
        <f>VLOOKUP('Flow2 '!B363,'ALokasi Pelabuhan '!$A:$C,3,TRUE)</f>
        <v>P20</v>
      </c>
    </row>
    <row r="364" spans="1:5" x14ac:dyDescent="0.25">
      <c r="A364">
        <f t="shared" si="5"/>
        <v>11</v>
      </c>
      <c r="B364">
        <v>23</v>
      </c>
      <c r="C364" s="1">
        <v>1424</v>
      </c>
      <c r="D364" s="4" t="str">
        <f>VLOOKUP('Flow2 '!A364,'ALokasi Pelabuhan '!$A:$C,3,TRUE)</f>
        <v>P11</v>
      </c>
      <c r="E364" s="4" t="str">
        <f>VLOOKUP('Flow2 '!B364,'ALokasi Pelabuhan '!$A:$C,3,TRUE)</f>
        <v>P24</v>
      </c>
    </row>
    <row r="365" spans="1:5" x14ac:dyDescent="0.25">
      <c r="A365">
        <f t="shared" si="5"/>
        <v>11</v>
      </c>
      <c r="B365">
        <v>24</v>
      </c>
      <c r="C365" s="1">
        <v>283</v>
      </c>
      <c r="D365" s="4" t="str">
        <f>VLOOKUP('Flow2 '!A365,'ALokasi Pelabuhan '!$A:$C,3,TRUE)</f>
        <v>P11</v>
      </c>
      <c r="E365" s="4" t="str">
        <f>VLOOKUP('Flow2 '!B365,'ALokasi Pelabuhan '!$A:$C,3,TRUE)</f>
        <v>P23</v>
      </c>
    </row>
    <row r="366" spans="1:5" x14ac:dyDescent="0.25">
      <c r="A366">
        <f t="shared" si="5"/>
        <v>11</v>
      </c>
      <c r="B366">
        <v>25</v>
      </c>
      <c r="C366" s="1">
        <v>662</v>
      </c>
      <c r="D366" s="4" t="str">
        <f>VLOOKUP('Flow2 '!A366,'ALokasi Pelabuhan '!$A:$C,3,TRUE)</f>
        <v>P11</v>
      </c>
      <c r="E366" s="4" t="str">
        <f>VLOOKUP('Flow2 '!B366,'ALokasi Pelabuhan '!$A:$C,3,TRUE)</f>
        <v>P2</v>
      </c>
    </row>
    <row r="367" spans="1:5" x14ac:dyDescent="0.25">
      <c r="A367">
        <f t="shared" si="5"/>
        <v>11</v>
      </c>
      <c r="B367">
        <v>26</v>
      </c>
      <c r="C367" s="1">
        <v>1275</v>
      </c>
      <c r="D367" s="4" t="str">
        <f>VLOOKUP('Flow2 '!A367,'ALokasi Pelabuhan '!$A:$C,3,TRUE)</f>
        <v>P11</v>
      </c>
      <c r="E367" s="4" t="str">
        <f>VLOOKUP('Flow2 '!B367,'ALokasi Pelabuhan '!$A:$C,3,TRUE)</f>
        <v>P17</v>
      </c>
    </row>
    <row r="368" spans="1:5" x14ac:dyDescent="0.25">
      <c r="A368">
        <f t="shared" si="5"/>
        <v>11</v>
      </c>
      <c r="B368">
        <v>27</v>
      </c>
      <c r="C368" s="1">
        <v>3408</v>
      </c>
      <c r="D368" s="4" t="str">
        <f>VLOOKUP('Flow2 '!A368,'ALokasi Pelabuhan '!$A:$C,3,TRUE)</f>
        <v>P11</v>
      </c>
      <c r="E368" s="4" t="str">
        <f>VLOOKUP('Flow2 '!B368,'ALokasi Pelabuhan '!$A:$C,3,TRUE)</f>
        <v>P17</v>
      </c>
    </row>
    <row r="369" spans="1:5" x14ac:dyDescent="0.25">
      <c r="A369">
        <f t="shared" si="5"/>
        <v>11</v>
      </c>
      <c r="B369">
        <v>28</v>
      </c>
      <c r="C369" s="1">
        <v>821</v>
      </c>
      <c r="D369" s="4" t="str">
        <f>VLOOKUP('Flow2 '!A369,'ALokasi Pelabuhan '!$A:$C,3,TRUE)</f>
        <v>P11</v>
      </c>
      <c r="E369" s="4" t="str">
        <f>VLOOKUP('Flow2 '!B369,'ALokasi Pelabuhan '!$A:$C,3,TRUE)</f>
        <v>P16</v>
      </c>
    </row>
    <row r="370" spans="1:5" x14ac:dyDescent="0.25">
      <c r="A370">
        <f t="shared" si="5"/>
        <v>11</v>
      </c>
      <c r="B370">
        <v>29</v>
      </c>
      <c r="C370" s="1">
        <v>206</v>
      </c>
      <c r="D370" s="4" t="str">
        <f>VLOOKUP('Flow2 '!A370,'ALokasi Pelabuhan '!$A:$C,3,TRUE)</f>
        <v>P11</v>
      </c>
      <c r="E370" s="4" t="str">
        <f>VLOOKUP('Flow2 '!B370,'ALokasi Pelabuhan '!$A:$C,3,TRUE)</f>
        <v>P18</v>
      </c>
    </row>
    <row r="371" spans="1:5" x14ac:dyDescent="0.25">
      <c r="A371">
        <f t="shared" si="5"/>
        <v>11</v>
      </c>
      <c r="B371">
        <v>30</v>
      </c>
      <c r="C371" s="1">
        <v>331</v>
      </c>
      <c r="D371" s="4" t="str">
        <f>VLOOKUP('Flow2 '!A371,'ALokasi Pelabuhan '!$A:$C,3,TRUE)</f>
        <v>P11</v>
      </c>
      <c r="E371" s="4" t="str">
        <f>VLOOKUP('Flow2 '!B371,'ALokasi Pelabuhan '!$A:$C,3,TRUE)</f>
        <v>P19</v>
      </c>
    </row>
    <row r="372" spans="1:5" x14ac:dyDescent="0.25">
      <c r="A372">
        <f t="shared" si="5"/>
        <v>11</v>
      </c>
      <c r="B372">
        <v>31</v>
      </c>
      <c r="C372" s="1">
        <v>263</v>
      </c>
      <c r="D372" s="4" t="str">
        <f>VLOOKUP('Flow2 '!A372,'ALokasi Pelabuhan '!$A:$C,3,TRUE)</f>
        <v>P11</v>
      </c>
      <c r="E372" s="4" t="str">
        <f>VLOOKUP('Flow2 '!B372,'ALokasi Pelabuhan '!$A:$C,3,TRUE)</f>
        <v>P4</v>
      </c>
    </row>
    <row r="373" spans="1:5" x14ac:dyDescent="0.25">
      <c r="A373">
        <f t="shared" si="5"/>
        <v>11</v>
      </c>
      <c r="B373">
        <v>32</v>
      </c>
      <c r="C373" s="1">
        <v>219</v>
      </c>
      <c r="D373" s="4" t="str">
        <f>VLOOKUP('Flow2 '!A373,'ALokasi Pelabuhan '!$A:$C,3,TRUE)</f>
        <v>P11</v>
      </c>
      <c r="E373" s="4" t="str">
        <f>VLOOKUP('Flow2 '!B373,'ALokasi Pelabuhan '!$A:$C,3,TRUE)</f>
        <v>P6</v>
      </c>
    </row>
    <row r="374" spans="1:5" x14ac:dyDescent="0.25">
      <c r="A374">
        <f t="shared" si="5"/>
        <v>11</v>
      </c>
      <c r="B374">
        <v>33</v>
      </c>
      <c r="C374" s="1">
        <v>45.095021320198995</v>
      </c>
      <c r="D374" s="4" t="str">
        <f>VLOOKUP('Flow2 '!A374,'ALokasi Pelabuhan '!$A:$C,3,TRUE)</f>
        <v>P11</v>
      </c>
      <c r="E374" s="4" t="str">
        <f>VLOOKUP('Flow2 '!B374,'ALokasi Pelabuhan '!$A:$C,3,TRUE)</f>
        <v>P2</v>
      </c>
    </row>
    <row r="375" spans="1:5" x14ac:dyDescent="0.25">
      <c r="A375">
        <f t="shared" si="5"/>
        <v>11</v>
      </c>
      <c r="B375">
        <v>34</v>
      </c>
      <c r="C375" s="1">
        <v>161.90497867980105</v>
      </c>
      <c r="D375" s="4" t="str">
        <f>VLOOKUP('Flow2 '!A375,'ALokasi Pelabuhan '!$A:$C,3,TRUE)</f>
        <v>P11</v>
      </c>
      <c r="E375" s="4" t="str">
        <f>VLOOKUP('Flow2 '!B375,'ALokasi Pelabuhan '!$A:$C,3,TRUE)</f>
        <v>P9</v>
      </c>
    </row>
    <row r="376" spans="1:5" x14ac:dyDescent="0.25">
      <c r="A376">
        <f t="shared" si="5"/>
        <v>12</v>
      </c>
      <c r="B376">
        <v>1</v>
      </c>
      <c r="C376" s="1">
        <v>404294</v>
      </c>
      <c r="D376" s="4" t="str">
        <f>VLOOKUP('Flow2 '!A376,'ALokasi Pelabuhan '!$A:$C,3,TRUE)</f>
        <v>P13</v>
      </c>
      <c r="E376" s="4" t="str">
        <f>VLOOKUP('Flow2 '!B376,'ALokasi Pelabuhan '!$A:$C,3,TRUE)</f>
        <v>P1</v>
      </c>
    </row>
    <row r="377" spans="1:5" x14ac:dyDescent="0.25">
      <c r="A377">
        <f t="shared" si="5"/>
        <v>12</v>
      </c>
      <c r="B377">
        <v>2</v>
      </c>
      <c r="C377" s="1">
        <v>503893</v>
      </c>
      <c r="D377" s="4" t="str">
        <f>VLOOKUP('Flow2 '!A377,'ALokasi Pelabuhan '!$A:$C,3,TRUE)</f>
        <v>P13</v>
      </c>
      <c r="E377" s="4" t="str">
        <f>VLOOKUP('Flow2 '!B377,'ALokasi Pelabuhan '!$A:$C,3,TRUE)</f>
        <v>P10</v>
      </c>
    </row>
    <row r="378" spans="1:5" x14ac:dyDescent="0.25">
      <c r="A378">
        <f t="shared" si="5"/>
        <v>12</v>
      </c>
      <c r="B378">
        <v>3</v>
      </c>
      <c r="C378" s="1">
        <v>268636</v>
      </c>
      <c r="D378" s="4" t="str">
        <f>VLOOKUP('Flow2 '!A378,'ALokasi Pelabuhan '!$A:$C,3,TRUE)</f>
        <v>P13</v>
      </c>
      <c r="E378" s="4" t="str">
        <f>VLOOKUP('Flow2 '!B378,'ALokasi Pelabuhan '!$A:$C,3,TRUE)</f>
        <v>P8</v>
      </c>
    </row>
    <row r="379" spans="1:5" x14ac:dyDescent="0.25">
      <c r="A379">
        <f t="shared" si="5"/>
        <v>12</v>
      </c>
      <c r="B379">
        <v>4</v>
      </c>
      <c r="C379" s="1">
        <v>338963</v>
      </c>
      <c r="D379" s="4" t="str">
        <f>VLOOKUP('Flow2 '!A379,'ALokasi Pelabuhan '!$A:$C,3,TRUE)</f>
        <v>P13</v>
      </c>
      <c r="E379" s="4" t="str">
        <f>VLOOKUP('Flow2 '!B379,'ALokasi Pelabuhan '!$A:$C,3,TRUE)</f>
        <v>P4</v>
      </c>
    </row>
    <row r="380" spans="1:5" x14ac:dyDescent="0.25">
      <c r="A380">
        <f t="shared" si="5"/>
        <v>12</v>
      </c>
      <c r="B380">
        <v>5</v>
      </c>
      <c r="C380" s="1">
        <v>291172</v>
      </c>
      <c r="D380" s="4" t="str">
        <f>VLOOKUP('Flow2 '!A380,'ALokasi Pelabuhan '!$A:$C,3,TRUE)</f>
        <v>P13</v>
      </c>
      <c r="E380" s="4" t="str">
        <f>VLOOKUP('Flow2 '!B380,'ALokasi Pelabuhan '!$A:$C,3,TRUE)</f>
        <v>P19</v>
      </c>
    </row>
    <row r="381" spans="1:5" x14ac:dyDescent="0.25">
      <c r="A381">
        <f t="shared" si="5"/>
        <v>12</v>
      </c>
      <c r="B381">
        <v>6</v>
      </c>
      <c r="C381" s="1">
        <v>708670</v>
      </c>
      <c r="D381" s="4" t="str">
        <f>VLOOKUP('Flow2 '!A381,'ALokasi Pelabuhan '!$A:$C,3,TRUE)</f>
        <v>P13</v>
      </c>
      <c r="E381" s="4" t="str">
        <f>VLOOKUP('Flow2 '!B381,'ALokasi Pelabuhan '!$A:$C,3,TRUE)</f>
        <v>P8</v>
      </c>
    </row>
    <row r="382" spans="1:5" x14ac:dyDescent="0.25">
      <c r="A382">
        <f t="shared" si="5"/>
        <v>12</v>
      </c>
      <c r="B382">
        <v>7</v>
      </c>
      <c r="C382" s="1">
        <v>142117</v>
      </c>
      <c r="D382" s="4" t="str">
        <f>VLOOKUP('Flow2 '!A382,'ALokasi Pelabuhan '!$A:$C,3,TRUE)</f>
        <v>P13</v>
      </c>
      <c r="E382" s="4" t="str">
        <f>VLOOKUP('Flow2 '!B382,'ALokasi Pelabuhan '!$A:$C,3,TRUE)</f>
        <v>P5</v>
      </c>
    </row>
    <row r="383" spans="1:5" x14ac:dyDescent="0.25">
      <c r="A383">
        <f t="shared" si="5"/>
        <v>12</v>
      </c>
      <c r="B383">
        <v>8</v>
      </c>
      <c r="C383" s="1">
        <v>994871</v>
      </c>
      <c r="D383" s="4" t="str">
        <f>VLOOKUP('Flow2 '!A383,'ALokasi Pelabuhan '!$A:$C,3,TRUE)</f>
        <v>P13</v>
      </c>
      <c r="E383" s="4" t="str">
        <f>VLOOKUP('Flow2 '!B383,'ALokasi Pelabuhan '!$A:$C,3,TRUE)</f>
        <v>P8</v>
      </c>
    </row>
    <row r="384" spans="1:5" x14ac:dyDescent="0.25">
      <c r="A384">
        <f t="shared" si="5"/>
        <v>12</v>
      </c>
      <c r="B384">
        <v>9</v>
      </c>
      <c r="C384" s="1">
        <v>151094</v>
      </c>
      <c r="D384" s="4" t="str">
        <f>VLOOKUP('Flow2 '!A384,'ALokasi Pelabuhan '!$A:$C,3,TRUE)</f>
        <v>P13</v>
      </c>
      <c r="E384" s="4" t="str">
        <f>VLOOKUP('Flow2 '!B384,'ALokasi Pelabuhan '!$A:$C,3,TRUE)</f>
        <v>P9</v>
      </c>
    </row>
    <row r="385" spans="1:5" x14ac:dyDescent="0.25">
      <c r="A385">
        <f t="shared" si="5"/>
        <v>12</v>
      </c>
      <c r="B385">
        <v>10</v>
      </c>
      <c r="C385" s="1">
        <v>118587</v>
      </c>
      <c r="D385" s="4" t="str">
        <f>VLOOKUP('Flow2 '!A385,'ALokasi Pelabuhan '!$A:$C,3,TRUE)</f>
        <v>P13</v>
      </c>
      <c r="E385" s="4" t="str">
        <f>VLOOKUP('Flow2 '!B385,'ALokasi Pelabuhan '!$A:$C,3,TRUE)</f>
        <v>P10</v>
      </c>
    </row>
    <row r="386" spans="1:5" x14ac:dyDescent="0.25">
      <c r="A386">
        <f t="shared" si="5"/>
        <v>12</v>
      </c>
      <c r="B386">
        <v>11</v>
      </c>
      <c r="C386" s="1">
        <v>4651318</v>
      </c>
      <c r="D386" s="4" t="str">
        <f>VLOOKUP('Flow2 '!A386,'ALokasi Pelabuhan '!$A:$C,3,TRUE)</f>
        <v>P13</v>
      </c>
      <c r="E386" s="4" t="str">
        <f>VLOOKUP('Flow2 '!B386,'ALokasi Pelabuhan '!$A:$C,3,TRUE)</f>
        <v>P11</v>
      </c>
    </row>
    <row r="387" spans="1:5" x14ac:dyDescent="0.25">
      <c r="A387">
        <f t="shared" ref="A387:A450" si="6">INT((ROW()-ROW($A$2))/34)+1</f>
        <v>12</v>
      </c>
      <c r="B387">
        <v>12</v>
      </c>
      <c r="C387" s="1">
        <v>39550598</v>
      </c>
      <c r="D387" s="4" t="str">
        <f>VLOOKUP('Flow2 '!A387,'ALokasi Pelabuhan '!$A:$C,3,TRUE)</f>
        <v>P13</v>
      </c>
      <c r="E387" s="4" t="str">
        <f>VLOOKUP('Flow2 '!B387,'ALokasi Pelabuhan '!$A:$C,3,TRUE)</f>
        <v>P13</v>
      </c>
    </row>
    <row r="388" spans="1:5" x14ac:dyDescent="0.25">
      <c r="A388">
        <f t="shared" si="6"/>
        <v>12</v>
      </c>
      <c r="B388">
        <v>13</v>
      </c>
      <c r="C388" s="1">
        <v>6009666</v>
      </c>
      <c r="D388" s="4" t="str">
        <f>VLOOKUP('Flow2 '!A388,'ALokasi Pelabuhan '!$A:$C,3,TRUE)</f>
        <v>P13</v>
      </c>
      <c r="E388" s="4" t="str">
        <f>VLOOKUP('Flow2 '!B388,'ALokasi Pelabuhan '!$A:$C,3,TRUE)</f>
        <v>P12</v>
      </c>
    </row>
    <row r="389" spans="1:5" x14ac:dyDescent="0.25">
      <c r="A389">
        <f t="shared" si="6"/>
        <v>12</v>
      </c>
      <c r="B389">
        <v>14</v>
      </c>
      <c r="C389" s="1">
        <v>499170</v>
      </c>
      <c r="D389" s="4" t="str">
        <f>VLOOKUP('Flow2 '!A389,'ALokasi Pelabuhan '!$A:$C,3,TRUE)</f>
        <v>P13</v>
      </c>
      <c r="E389" s="4" t="str">
        <f>VLOOKUP('Flow2 '!B389,'ALokasi Pelabuhan '!$A:$C,3,TRUE)</f>
        <v>P14</v>
      </c>
    </row>
    <row r="390" spans="1:5" x14ac:dyDescent="0.25">
      <c r="A390">
        <f t="shared" si="6"/>
        <v>12</v>
      </c>
      <c r="B390">
        <v>15</v>
      </c>
      <c r="C390" s="1">
        <v>3378038</v>
      </c>
      <c r="D390" s="4" t="str">
        <f>VLOOKUP('Flow2 '!A390,'ALokasi Pelabuhan '!$A:$C,3,TRUE)</f>
        <v>P13</v>
      </c>
      <c r="E390" s="4" t="str">
        <f>VLOOKUP('Flow2 '!B390,'ALokasi Pelabuhan '!$A:$C,3,TRUE)</f>
        <v>P15</v>
      </c>
    </row>
    <row r="391" spans="1:5" x14ac:dyDescent="0.25">
      <c r="A391">
        <f t="shared" si="6"/>
        <v>12</v>
      </c>
      <c r="B391">
        <v>16</v>
      </c>
      <c r="C391" s="1">
        <v>3986865</v>
      </c>
      <c r="D391" s="4" t="str">
        <f>VLOOKUP('Flow2 '!A391,'ALokasi Pelabuhan '!$A:$C,3,TRUE)</f>
        <v>P13</v>
      </c>
      <c r="E391" s="4" t="str">
        <f>VLOOKUP('Flow2 '!B391,'ALokasi Pelabuhan '!$A:$C,3,TRUE)</f>
        <v>P6</v>
      </c>
    </row>
    <row r="392" spans="1:5" x14ac:dyDescent="0.25">
      <c r="A392">
        <f t="shared" si="6"/>
        <v>12</v>
      </c>
      <c r="B392">
        <v>17</v>
      </c>
      <c r="C392" s="1">
        <v>229486</v>
      </c>
      <c r="D392" s="4" t="str">
        <f>VLOOKUP('Flow2 '!A392,'ALokasi Pelabuhan '!$A:$C,3,TRUE)</f>
        <v>P13</v>
      </c>
      <c r="E392" s="4" t="str">
        <f>VLOOKUP('Flow2 '!B392,'ALokasi Pelabuhan '!$A:$C,3,TRUE)</f>
        <v>P3</v>
      </c>
    </row>
    <row r="393" spans="1:5" x14ac:dyDescent="0.25">
      <c r="A393">
        <f t="shared" si="6"/>
        <v>12</v>
      </c>
      <c r="B393">
        <v>18</v>
      </c>
      <c r="C393" s="1">
        <v>251607</v>
      </c>
      <c r="D393" s="4" t="str">
        <f>VLOOKUP('Flow2 '!A393,'ALokasi Pelabuhan '!$A:$C,3,TRUE)</f>
        <v>P13</v>
      </c>
      <c r="E393" s="4" t="str">
        <f>VLOOKUP('Flow2 '!B393,'ALokasi Pelabuhan '!$A:$C,3,TRUE)</f>
        <v>P7</v>
      </c>
    </row>
    <row r="394" spans="1:5" x14ac:dyDescent="0.25">
      <c r="A394">
        <f t="shared" si="6"/>
        <v>12</v>
      </c>
      <c r="B394">
        <v>19</v>
      </c>
      <c r="C394" s="1">
        <v>253443</v>
      </c>
      <c r="D394" s="4" t="str">
        <f>VLOOKUP('Flow2 '!A394,'ALokasi Pelabuhan '!$A:$C,3,TRUE)</f>
        <v>P13</v>
      </c>
      <c r="E394" s="4" t="str">
        <f>VLOOKUP('Flow2 '!B394,'ALokasi Pelabuhan '!$A:$C,3,TRUE)</f>
        <v>P22</v>
      </c>
    </row>
    <row r="395" spans="1:5" x14ac:dyDescent="0.25">
      <c r="A395">
        <f t="shared" si="6"/>
        <v>12</v>
      </c>
      <c r="B395">
        <v>20</v>
      </c>
      <c r="C395" s="1">
        <v>365568</v>
      </c>
      <c r="D395" s="4" t="str">
        <f>VLOOKUP('Flow2 '!A395,'ALokasi Pelabuhan '!$A:$C,3,TRUE)</f>
        <v>P13</v>
      </c>
      <c r="E395" s="4" t="str">
        <f>VLOOKUP('Flow2 '!B395,'ALokasi Pelabuhan '!$A:$C,3,TRUE)</f>
        <v>P21</v>
      </c>
    </row>
    <row r="396" spans="1:5" x14ac:dyDescent="0.25">
      <c r="A396">
        <f t="shared" si="6"/>
        <v>12</v>
      </c>
      <c r="B396">
        <v>21</v>
      </c>
      <c r="C396" s="1">
        <v>203748</v>
      </c>
      <c r="D396" s="4" t="str">
        <f>VLOOKUP('Flow2 '!A396,'ALokasi Pelabuhan '!$A:$C,3,TRUE)</f>
        <v>P13</v>
      </c>
      <c r="E396" s="4" t="str">
        <f>VLOOKUP('Flow2 '!B396,'ALokasi Pelabuhan '!$A:$C,3,TRUE)</f>
        <v>P20</v>
      </c>
    </row>
    <row r="397" spans="1:5" x14ac:dyDescent="0.25">
      <c r="A397">
        <f t="shared" si="6"/>
        <v>12</v>
      </c>
      <c r="B397">
        <v>22</v>
      </c>
      <c r="C397" s="1">
        <v>253437</v>
      </c>
      <c r="D397" s="4" t="str">
        <f>VLOOKUP('Flow2 '!A397,'ALokasi Pelabuhan '!$A:$C,3,TRUE)</f>
        <v>P13</v>
      </c>
      <c r="E397" s="4" t="str">
        <f>VLOOKUP('Flow2 '!B397,'ALokasi Pelabuhan '!$A:$C,3,TRUE)</f>
        <v>P20</v>
      </c>
    </row>
    <row r="398" spans="1:5" x14ac:dyDescent="0.25">
      <c r="A398">
        <f t="shared" si="6"/>
        <v>12</v>
      </c>
      <c r="B398">
        <v>23</v>
      </c>
      <c r="C398" s="1">
        <v>147555</v>
      </c>
      <c r="D398" s="4" t="str">
        <f>VLOOKUP('Flow2 '!A398,'ALokasi Pelabuhan '!$A:$C,3,TRUE)</f>
        <v>P13</v>
      </c>
      <c r="E398" s="4" t="str">
        <f>VLOOKUP('Flow2 '!B398,'ALokasi Pelabuhan '!$A:$C,3,TRUE)</f>
        <v>P24</v>
      </c>
    </row>
    <row r="399" spans="1:5" x14ac:dyDescent="0.25">
      <c r="A399">
        <f t="shared" si="6"/>
        <v>12</v>
      </c>
      <c r="B399">
        <v>24</v>
      </c>
      <c r="C399" s="1">
        <v>20805</v>
      </c>
      <c r="D399" s="4" t="str">
        <f>VLOOKUP('Flow2 '!A399,'ALokasi Pelabuhan '!$A:$C,3,TRUE)</f>
        <v>P13</v>
      </c>
      <c r="E399" s="4" t="str">
        <f>VLOOKUP('Flow2 '!B399,'ALokasi Pelabuhan '!$A:$C,3,TRUE)</f>
        <v>P23</v>
      </c>
    </row>
    <row r="400" spans="1:5" x14ac:dyDescent="0.25">
      <c r="A400">
        <f t="shared" si="6"/>
        <v>12</v>
      </c>
      <c r="B400">
        <v>25</v>
      </c>
      <c r="C400" s="1">
        <v>149953</v>
      </c>
      <c r="D400" s="4" t="str">
        <f>VLOOKUP('Flow2 '!A400,'ALokasi Pelabuhan '!$A:$C,3,TRUE)</f>
        <v>P13</v>
      </c>
      <c r="E400" s="4" t="str">
        <f>VLOOKUP('Flow2 '!B400,'ALokasi Pelabuhan '!$A:$C,3,TRUE)</f>
        <v>P2</v>
      </c>
    </row>
    <row r="401" spans="1:5" x14ac:dyDescent="0.25">
      <c r="A401">
        <f t="shared" si="6"/>
        <v>12</v>
      </c>
      <c r="B401">
        <v>26</v>
      </c>
      <c r="C401" s="1">
        <v>134239</v>
      </c>
      <c r="D401" s="4" t="str">
        <f>VLOOKUP('Flow2 '!A401,'ALokasi Pelabuhan '!$A:$C,3,TRUE)</f>
        <v>P13</v>
      </c>
      <c r="E401" s="4" t="str">
        <f>VLOOKUP('Flow2 '!B401,'ALokasi Pelabuhan '!$A:$C,3,TRUE)</f>
        <v>P17</v>
      </c>
    </row>
    <row r="402" spans="1:5" x14ac:dyDescent="0.25">
      <c r="A402">
        <f t="shared" si="6"/>
        <v>12</v>
      </c>
      <c r="B402">
        <v>27</v>
      </c>
      <c r="C402" s="1">
        <v>511169</v>
      </c>
      <c r="D402" s="4" t="str">
        <f>VLOOKUP('Flow2 '!A402,'ALokasi Pelabuhan '!$A:$C,3,TRUE)</f>
        <v>P13</v>
      </c>
      <c r="E402" s="4" t="str">
        <f>VLOOKUP('Flow2 '!B402,'ALokasi Pelabuhan '!$A:$C,3,TRUE)</f>
        <v>P17</v>
      </c>
    </row>
    <row r="403" spans="1:5" x14ac:dyDescent="0.25">
      <c r="A403">
        <f t="shared" si="6"/>
        <v>12</v>
      </c>
      <c r="B403">
        <v>28</v>
      </c>
      <c r="C403" s="1">
        <v>167932</v>
      </c>
      <c r="D403" s="4" t="str">
        <f>VLOOKUP('Flow2 '!A403,'ALokasi Pelabuhan '!$A:$C,3,TRUE)</f>
        <v>P13</v>
      </c>
      <c r="E403" s="4" t="str">
        <f>VLOOKUP('Flow2 '!B403,'ALokasi Pelabuhan '!$A:$C,3,TRUE)</f>
        <v>P16</v>
      </c>
    </row>
    <row r="404" spans="1:5" x14ac:dyDescent="0.25">
      <c r="A404">
        <f t="shared" si="6"/>
        <v>12</v>
      </c>
      <c r="B404">
        <v>29</v>
      </c>
      <c r="C404" s="1">
        <v>38307</v>
      </c>
      <c r="D404" s="4" t="str">
        <f>VLOOKUP('Flow2 '!A404,'ALokasi Pelabuhan '!$A:$C,3,TRUE)</f>
        <v>P13</v>
      </c>
      <c r="E404" s="4" t="str">
        <f>VLOOKUP('Flow2 '!B404,'ALokasi Pelabuhan '!$A:$C,3,TRUE)</f>
        <v>P18</v>
      </c>
    </row>
    <row r="405" spans="1:5" x14ac:dyDescent="0.25">
      <c r="A405">
        <f t="shared" si="6"/>
        <v>12</v>
      </c>
      <c r="B405">
        <v>30</v>
      </c>
      <c r="C405" s="1">
        <v>150735</v>
      </c>
      <c r="D405" s="4" t="str">
        <f>VLOOKUP('Flow2 '!A405,'ALokasi Pelabuhan '!$A:$C,3,TRUE)</f>
        <v>P13</v>
      </c>
      <c r="E405" s="4" t="str">
        <f>VLOOKUP('Flow2 '!B405,'ALokasi Pelabuhan '!$A:$C,3,TRUE)</f>
        <v>P19</v>
      </c>
    </row>
    <row r="406" spans="1:5" x14ac:dyDescent="0.25">
      <c r="A406">
        <f t="shared" si="6"/>
        <v>12</v>
      </c>
      <c r="B406">
        <v>31</v>
      </c>
      <c r="C406" s="1">
        <v>148925</v>
      </c>
      <c r="D406" s="4" t="str">
        <f>VLOOKUP('Flow2 '!A406,'ALokasi Pelabuhan '!$A:$C,3,TRUE)</f>
        <v>P13</v>
      </c>
      <c r="E406" s="4" t="str">
        <f>VLOOKUP('Flow2 '!B406,'ALokasi Pelabuhan '!$A:$C,3,TRUE)</f>
        <v>P4</v>
      </c>
    </row>
    <row r="407" spans="1:5" x14ac:dyDescent="0.25">
      <c r="A407">
        <f t="shared" si="6"/>
        <v>12</v>
      </c>
      <c r="B407">
        <v>32</v>
      </c>
      <c r="C407" s="1">
        <v>116510</v>
      </c>
      <c r="D407" s="4" t="str">
        <f>VLOOKUP('Flow2 '!A407,'ALokasi Pelabuhan '!$A:$C,3,TRUE)</f>
        <v>P13</v>
      </c>
      <c r="E407" s="4" t="str">
        <f>VLOOKUP('Flow2 '!B407,'ALokasi Pelabuhan '!$A:$C,3,TRUE)</f>
        <v>P6</v>
      </c>
    </row>
    <row r="408" spans="1:5" x14ac:dyDescent="0.25">
      <c r="A408">
        <f t="shared" si="6"/>
        <v>12</v>
      </c>
      <c r="B408">
        <v>33</v>
      </c>
      <c r="C408" s="1">
        <v>33729.768845441598</v>
      </c>
      <c r="D408" s="4" t="str">
        <f>VLOOKUP('Flow2 '!A408,'ALokasi Pelabuhan '!$A:$C,3,TRUE)</f>
        <v>P13</v>
      </c>
      <c r="E408" s="4" t="str">
        <f>VLOOKUP('Flow2 '!B408,'ALokasi Pelabuhan '!$A:$C,3,TRUE)</f>
        <v>P2</v>
      </c>
    </row>
    <row r="409" spans="1:5" x14ac:dyDescent="0.25">
      <c r="A409">
        <f t="shared" si="6"/>
        <v>12</v>
      </c>
      <c r="B409">
        <v>34</v>
      </c>
      <c r="C409" s="1">
        <v>121100.23115455844</v>
      </c>
      <c r="D409" s="4" t="str">
        <f>VLOOKUP('Flow2 '!A409,'ALokasi Pelabuhan '!$A:$C,3,TRUE)</f>
        <v>P13</v>
      </c>
      <c r="E409" s="4" t="str">
        <f>VLOOKUP('Flow2 '!B409,'ALokasi Pelabuhan '!$A:$C,3,TRUE)</f>
        <v>P9</v>
      </c>
    </row>
    <row r="410" spans="1:5" x14ac:dyDescent="0.25">
      <c r="A410">
        <f t="shared" si="6"/>
        <v>13</v>
      </c>
      <c r="B410">
        <v>1</v>
      </c>
      <c r="C410" s="1">
        <v>149866</v>
      </c>
      <c r="D410" s="4" t="str">
        <f>VLOOKUP('Flow2 '!A410,'ALokasi Pelabuhan '!$A:$C,3,TRUE)</f>
        <v>P12</v>
      </c>
      <c r="E410" s="4" t="str">
        <f>VLOOKUP('Flow2 '!B410,'ALokasi Pelabuhan '!$A:$C,3,TRUE)</f>
        <v>P1</v>
      </c>
    </row>
    <row r="411" spans="1:5" x14ac:dyDescent="0.25">
      <c r="A411">
        <f t="shared" si="6"/>
        <v>13</v>
      </c>
      <c r="B411">
        <v>2</v>
      </c>
      <c r="C411" s="1">
        <v>336765</v>
      </c>
      <c r="D411" s="4" t="str">
        <f>VLOOKUP('Flow2 '!A411,'ALokasi Pelabuhan '!$A:$C,3,TRUE)</f>
        <v>P12</v>
      </c>
      <c r="E411" s="4" t="str">
        <f>VLOOKUP('Flow2 '!B411,'ALokasi Pelabuhan '!$A:$C,3,TRUE)</f>
        <v>P10</v>
      </c>
    </row>
    <row r="412" spans="1:5" x14ac:dyDescent="0.25">
      <c r="A412">
        <f t="shared" si="6"/>
        <v>13</v>
      </c>
      <c r="B412">
        <v>3</v>
      </c>
      <c r="C412" s="1">
        <v>171774</v>
      </c>
      <c r="D412" s="4" t="str">
        <f>VLOOKUP('Flow2 '!A412,'ALokasi Pelabuhan '!$A:$C,3,TRUE)</f>
        <v>P12</v>
      </c>
      <c r="E412" s="4" t="str">
        <f>VLOOKUP('Flow2 '!B412,'ALokasi Pelabuhan '!$A:$C,3,TRUE)</f>
        <v>P8</v>
      </c>
    </row>
    <row r="413" spans="1:5" x14ac:dyDescent="0.25">
      <c r="A413">
        <f t="shared" si="6"/>
        <v>13</v>
      </c>
      <c r="B413">
        <v>4</v>
      </c>
      <c r="C413" s="1">
        <v>298639</v>
      </c>
      <c r="D413" s="4" t="str">
        <f>VLOOKUP('Flow2 '!A413,'ALokasi Pelabuhan '!$A:$C,3,TRUE)</f>
        <v>P12</v>
      </c>
      <c r="E413" s="4" t="str">
        <f>VLOOKUP('Flow2 '!B413,'ALokasi Pelabuhan '!$A:$C,3,TRUE)</f>
        <v>P4</v>
      </c>
    </row>
    <row r="414" spans="1:5" x14ac:dyDescent="0.25">
      <c r="A414">
        <f t="shared" si="6"/>
        <v>13</v>
      </c>
      <c r="B414">
        <v>5</v>
      </c>
      <c r="C414" s="1">
        <v>308620</v>
      </c>
      <c r="D414" s="4" t="str">
        <f>VLOOKUP('Flow2 '!A414,'ALokasi Pelabuhan '!$A:$C,3,TRUE)</f>
        <v>P12</v>
      </c>
      <c r="E414" s="4" t="str">
        <f>VLOOKUP('Flow2 '!B414,'ALokasi Pelabuhan '!$A:$C,3,TRUE)</f>
        <v>P19</v>
      </c>
    </row>
    <row r="415" spans="1:5" x14ac:dyDescent="0.25">
      <c r="A415">
        <f t="shared" si="6"/>
        <v>13</v>
      </c>
      <c r="B415">
        <v>6</v>
      </c>
      <c r="C415" s="1">
        <v>357848</v>
      </c>
      <c r="D415" s="4" t="str">
        <f>VLOOKUP('Flow2 '!A415,'ALokasi Pelabuhan '!$A:$C,3,TRUE)</f>
        <v>P12</v>
      </c>
      <c r="E415" s="4" t="str">
        <f>VLOOKUP('Flow2 '!B415,'ALokasi Pelabuhan '!$A:$C,3,TRUE)</f>
        <v>P8</v>
      </c>
    </row>
    <row r="416" spans="1:5" x14ac:dyDescent="0.25">
      <c r="A416">
        <f t="shared" si="6"/>
        <v>13</v>
      </c>
      <c r="B416">
        <v>7</v>
      </c>
      <c r="C416" s="1">
        <v>87626</v>
      </c>
      <c r="D416" s="4" t="str">
        <f>VLOOKUP('Flow2 '!A416,'ALokasi Pelabuhan '!$A:$C,3,TRUE)</f>
        <v>P12</v>
      </c>
      <c r="E416" s="4" t="str">
        <f>VLOOKUP('Flow2 '!B416,'ALokasi Pelabuhan '!$A:$C,3,TRUE)</f>
        <v>P5</v>
      </c>
    </row>
    <row r="417" spans="1:5" x14ac:dyDescent="0.25">
      <c r="A417">
        <f t="shared" si="6"/>
        <v>13</v>
      </c>
      <c r="B417">
        <v>8</v>
      </c>
      <c r="C417" s="1">
        <v>441796</v>
      </c>
      <c r="D417" s="4" t="str">
        <f>VLOOKUP('Flow2 '!A417,'ALokasi Pelabuhan '!$A:$C,3,TRUE)</f>
        <v>P12</v>
      </c>
      <c r="E417" s="4" t="str">
        <f>VLOOKUP('Flow2 '!B417,'ALokasi Pelabuhan '!$A:$C,3,TRUE)</f>
        <v>P8</v>
      </c>
    </row>
    <row r="418" spans="1:5" x14ac:dyDescent="0.25">
      <c r="A418">
        <f t="shared" si="6"/>
        <v>13</v>
      </c>
      <c r="B418">
        <v>9</v>
      </c>
      <c r="C418" s="1">
        <v>102112</v>
      </c>
      <c r="D418" s="4" t="str">
        <f>VLOOKUP('Flow2 '!A418,'ALokasi Pelabuhan '!$A:$C,3,TRUE)</f>
        <v>P12</v>
      </c>
      <c r="E418" s="4" t="str">
        <f>VLOOKUP('Flow2 '!B418,'ALokasi Pelabuhan '!$A:$C,3,TRUE)</f>
        <v>P9</v>
      </c>
    </row>
    <row r="419" spans="1:5" x14ac:dyDescent="0.25">
      <c r="A419">
        <f t="shared" si="6"/>
        <v>13</v>
      </c>
      <c r="B419">
        <v>10</v>
      </c>
      <c r="C419" s="1">
        <v>83448</v>
      </c>
      <c r="D419" s="4" t="str">
        <f>VLOOKUP('Flow2 '!A419,'ALokasi Pelabuhan '!$A:$C,3,TRUE)</f>
        <v>P12</v>
      </c>
      <c r="E419" s="4" t="str">
        <f>VLOOKUP('Flow2 '!B419,'ALokasi Pelabuhan '!$A:$C,3,TRUE)</f>
        <v>P10</v>
      </c>
    </row>
    <row r="420" spans="1:5" x14ac:dyDescent="0.25">
      <c r="A420">
        <f t="shared" si="6"/>
        <v>13</v>
      </c>
      <c r="B420">
        <v>11</v>
      </c>
      <c r="C420" s="1">
        <v>1725434</v>
      </c>
      <c r="D420" s="4" t="str">
        <f>VLOOKUP('Flow2 '!A420,'ALokasi Pelabuhan '!$A:$C,3,TRUE)</f>
        <v>P12</v>
      </c>
      <c r="E420" s="4" t="str">
        <f>VLOOKUP('Flow2 '!B420,'ALokasi Pelabuhan '!$A:$C,3,TRUE)</f>
        <v>P11</v>
      </c>
    </row>
    <row r="421" spans="1:5" x14ac:dyDescent="0.25">
      <c r="A421">
        <f t="shared" si="6"/>
        <v>13</v>
      </c>
      <c r="B421">
        <v>12</v>
      </c>
      <c r="C421" s="1">
        <v>7326096</v>
      </c>
      <c r="D421" s="4" t="str">
        <f>VLOOKUP('Flow2 '!A421,'ALokasi Pelabuhan '!$A:$C,3,TRUE)</f>
        <v>P12</v>
      </c>
      <c r="E421" s="4" t="str">
        <f>VLOOKUP('Flow2 '!B421,'ALokasi Pelabuhan '!$A:$C,3,TRUE)</f>
        <v>P13</v>
      </c>
    </row>
    <row r="422" spans="1:5" x14ac:dyDescent="0.25">
      <c r="A422">
        <f t="shared" si="6"/>
        <v>13</v>
      </c>
      <c r="B422">
        <v>13</v>
      </c>
      <c r="C422" s="1">
        <v>23744998</v>
      </c>
      <c r="D422" s="4" t="str">
        <f>VLOOKUP('Flow2 '!A422,'ALokasi Pelabuhan '!$A:$C,3,TRUE)</f>
        <v>P12</v>
      </c>
      <c r="E422" s="4" t="str">
        <f>VLOOKUP('Flow2 '!B422,'ALokasi Pelabuhan '!$A:$C,3,TRUE)</f>
        <v>P12</v>
      </c>
    </row>
    <row r="423" spans="1:5" x14ac:dyDescent="0.25">
      <c r="A423">
        <f t="shared" si="6"/>
        <v>13</v>
      </c>
      <c r="B423">
        <v>14</v>
      </c>
      <c r="C423" s="1">
        <v>1345272</v>
      </c>
      <c r="D423" s="4" t="str">
        <f>VLOOKUP('Flow2 '!A423,'ALokasi Pelabuhan '!$A:$C,3,TRUE)</f>
        <v>P12</v>
      </c>
      <c r="E423" s="4" t="str">
        <f>VLOOKUP('Flow2 '!B423,'ALokasi Pelabuhan '!$A:$C,3,TRUE)</f>
        <v>P14</v>
      </c>
    </row>
    <row r="424" spans="1:5" x14ac:dyDescent="0.25">
      <c r="A424">
        <f t="shared" si="6"/>
        <v>13</v>
      </c>
      <c r="B424">
        <v>15</v>
      </c>
      <c r="C424" s="1">
        <v>7765225</v>
      </c>
      <c r="D424" s="4" t="str">
        <f>VLOOKUP('Flow2 '!A424,'ALokasi Pelabuhan '!$A:$C,3,TRUE)</f>
        <v>P12</v>
      </c>
      <c r="E424" s="4" t="str">
        <f>VLOOKUP('Flow2 '!B424,'ALokasi Pelabuhan '!$A:$C,3,TRUE)</f>
        <v>P15</v>
      </c>
    </row>
    <row r="425" spans="1:5" x14ac:dyDescent="0.25">
      <c r="A425">
        <f t="shared" si="6"/>
        <v>13</v>
      </c>
      <c r="B425">
        <v>16</v>
      </c>
      <c r="C425" s="1">
        <v>1870989</v>
      </c>
      <c r="D425" s="4" t="str">
        <f>VLOOKUP('Flow2 '!A425,'ALokasi Pelabuhan '!$A:$C,3,TRUE)</f>
        <v>P12</v>
      </c>
      <c r="E425" s="4" t="str">
        <f>VLOOKUP('Flow2 '!B425,'ALokasi Pelabuhan '!$A:$C,3,TRUE)</f>
        <v>P6</v>
      </c>
    </row>
    <row r="426" spans="1:5" x14ac:dyDescent="0.25">
      <c r="A426">
        <f t="shared" si="6"/>
        <v>13</v>
      </c>
      <c r="B426">
        <v>17</v>
      </c>
      <c r="C426" s="1">
        <v>278081</v>
      </c>
      <c r="D426" s="4" t="str">
        <f>VLOOKUP('Flow2 '!A426,'ALokasi Pelabuhan '!$A:$C,3,TRUE)</f>
        <v>P12</v>
      </c>
      <c r="E426" s="4" t="str">
        <f>VLOOKUP('Flow2 '!B426,'ALokasi Pelabuhan '!$A:$C,3,TRUE)</f>
        <v>P3</v>
      </c>
    </row>
    <row r="427" spans="1:5" x14ac:dyDescent="0.25">
      <c r="A427">
        <f t="shared" si="6"/>
        <v>13</v>
      </c>
      <c r="B427">
        <v>18</v>
      </c>
      <c r="C427" s="1">
        <v>273905</v>
      </c>
      <c r="D427" s="4" t="str">
        <f>VLOOKUP('Flow2 '!A427,'ALokasi Pelabuhan '!$A:$C,3,TRUE)</f>
        <v>P12</v>
      </c>
      <c r="E427" s="4" t="str">
        <f>VLOOKUP('Flow2 '!B427,'ALokasi Pelabuhan '!$A:$C,3,TRUE)</f>
        <v>P7</v>
      </c>
    </row>
    <row r="428" spans="1:5" x14ac:dyDescent="0.25">
      <c r="A428">
        <f t="shared" si="6"/>
        <v>13</v>
      </c>
      <c r="B428">
        <v>19</v>
      </c>
      <c r="C428" s="1">
        <v>248132</v>
      </c>
      <c r="D428" s="4" t="str">
        <f>VLOOKUP('Flow2 '!A428,'ALokasi Pelabuhan '!$A:$C,3,TRUE)</f>
        <v>P12</v>
      </c>
      <c r="E428" s="4" t="str">
        <f>VLOOKUP('Flow2 '!B428,'ALokasi Pelabuhan '!$A:$C,3,TRUE)</f>
        <v>P22</v>
      </c>
    </row>
    <row r="429" spans="1:5" x14ac:dyDescent="0.25">
      <c r="A429">
        <f t="shared" si="6"/>
        <v>13</v>
      </c>
      <c r="B429">
        <v>20</v>
      </c>
      <c r="C429" s="1">
        <v>286685</v>
      </c>
      <c r="D429" s="4" t="str">
        <f>VLOOKUP('Flow2 '!A429,'ALokasi Pelabuhan '!$A:$C,3,TRUE)</f>
        <v>P12</v>
      </c>
      <c r="E429" s="4" t="str">
        <f>VLOOKUP('Flow2 '!B429,'ALokasi Pelabuhan '!$A:$C,3,TRUE)</f>
        <v>P21</v>
      </c>
    </row>
    <row r="430" spans="1:5" x14ac:dyDescent="0.25">
      <c r="A430">
        <f t="shared" si="6"/>
        <v>13</v>
      </c>
      <c r="B430">
        <v>21</v>
      </c>
      <c r="C430" s="1">
        <v>181624</v>
      </c>
      <c r="D430" s="4" t="str">
        <f>VLOOKUP('Flow2 '!A430,'ALokasi Pelabuhan '!$A:$C,3,TRUE)</f>
        <v>P12</v>
      </c>
      <c r="E430" s="4" t="str">
        <f>VLOOKUP('Flow2 '!B430,'ALokasi Pelabuhan '!$A:$C,3,TRUE)</f>
        <v>P20</v>
      </c>
    </row>
    <row r="431" spans="1:5" x14ac:dyDescent="0.25">
      <c r="A431">
        <f t="shared" si="6"/>
        <v>13</v>
      </c>
      <c r="B431">
        <v>22</v>
      </c>
      <c r="C431" s="1">
        <v>248498</v>
      </c>
      <c r="D431" s="4" t="str">
        <f>VLOOKUP('Flow2 '!A431,'ALokasi Pelabuhan '!$A:$C,3,TRUE)</f>
        <v>P12</v>
      </c>
      <c r="E431" s="4" t="str">
        <f>VLOOKUP('Flow2 '!B431,'ALokasi Pelabuhan '!$A:$C,3,TRUE)</f>
        <v>P20</v>
      </c>
    </row>
    <row r="432" spans="1:5" x14ac:dyDescent="0.25">
      <c r="A432">
        <f t="shared" si="6"/>
        <v>13</v>
      </c>
      <c r="B432">
        <v>23</v>
      </c>
      <c r="C432" s="1">
        <v>176128</v>
      </c>
      <c r="D432" s="4" t="str">
        <f>VLOOKUP('Flow2 '!A432,'ALokasi Pelabuhan '!$A:$C,3,TRUE)</f>
        <v>P12</v>
      </c>
      <c r="E432" s="4" t="str">
        <f>VLOOKUP('Flow2 '!B432,'ALokasi Pelabuhan '!$A:$C,3,TRUE)</f>
        <v>P24</v>
      </c>
    </row>
    <row r="433" spans="1:5" x14ac:dyDescent="0.25">
      <c r="A433">
        <f t="shared" si="6"/>
        <v>13</v>
      </c>
      <c r="B433">
        <v>24</v>
      </c>
      <c r="C433" s="1">
        <v>20117</v>
      </c>
      <c r="D433" s="4" t="str">
        <f>VLOOKUP('Flow2 '!A433,'ALokasi Pelabuhan '!$A:$C,3,TRUE)</f>
        <v>P12</v>
      </c>
      <c r="E433" s="4" t="str">
        <f>VLOOKUP('Flow2 '!B433,'ALokasi Pelabuhan '!$A:$C,3,TRUE)</f>
        <v>P23</v>
      </c>
    </row>
    <row r="434" spans="1:5" x14ac:dyDescent="0.25">
      <c r="A434">
        <f t="shared" si="6"/>
        <v>13</v>
      </c>
      <c r="B434">
        <v>25</v>
      </c>
      <c r="C434" s="1">
        <v>71895</v>
      </c>
      <c r="D434" s="4" t="str">
        <f>VLOOKUP('Flow2 '!A434,'ALokasi Pelabuhan '!$A:$C,3,TRUE)</f>
        <v>P12</v>
      </c>
      <c r="E434" s="4" t="str">
        <f>VLOOKUP('Flow2 '!B434,'ALokasi Pelabuhan '!$A:$C,3,TRUE)</f>
        <v>P2</v>
      </c>
    </row>
    <row r="435" spans="1:5" x14ac:dyDescent="0.25">
      <c r="A435">
        <f t="shared" si="6"/>
        <v>13</v>
      </c>
      <c r="B435">
        <v>26</v>
      </c>
      <c r="C435" s="1">
        <v>102469</v>
      </c>
      <c r="D435" s="4" t="str">
        <f>VLOOKUP('Flow2 '!A435,'ALokasi Pelabuhan '!$A:$C,3,TRUE)</f>
        <v>P12</v>
      </c>
      <c r="E435" s="4" t="str">
        <f>VLOOKUP('Flow2 '!B435,'ALokasi Pelabuhan '!$A:$C,3,TRUE)</f>
        <v>P17</v>
      </c>
    </row>
    <row r="436" spans="1:5" x14ac:dyDescent="0.25">
      <c r="A436">
        <f t="shared" si="6"/>
        <v>13</v>
      </c>
      <c r="B436">
        <v>27</v>
      </c>
      <c r="C436" s="1">
        <v>306184</v>
      </c>
      <c r="D436" s="4" t="str">
        <f>VLOOKUP('Flow2 '!A436,'ALokasi Pelabuhan '!$A:$C,3,TRUE)</f>
        <v>P12</v>
      </c>
      <c r="E436" s="4" t="str">
        <f>VLOOKUP('Flow2 '!B436,'ALokasi Pelabuhan '!$A:$C,3,TRUE)</f>
        <v>P17</v>
      </c>
    </row>
    <row r="437" spans="1:5" x14ac:dyDescent="0.25">
      <c r="A437">
        <f t="shared" si="6"/>
        <v>13</v>
      </c>
      <c r="B437">
        <v>28</v>
      </c>
      <c r="C437" s="1">
        <v>92560</v>
      </c>
      <c r="D437" s="4" t="str">
        <f>VLOOKUP('Flow2 '!A437,'ALokasi Pelabuhan '!$A:$C,3,TRUE)</f>
        <v>P12</v>
      </c>
      <c r="E437" s="4" t="str">
        <f>VLOOKUP('Flow2 '!B437,'ALokasi Pelabuhan '!$A:$C,3,TRUE)</f>
        <v>P16</v>
      </c>
    </row>
    <row r="438" spans="1:5" x14ac:dyDescent="0.25">
      <c r="A438">
        <f t="shared" si="6"/>
        <v>13</v>
      </c>
      <c r="B438">
        <v>29</v>
      </c>
      <c r="C438" s="1">
        <v>30170</v>
      </c>
      <c r="D438" s="4" t="str">
        <f>VLOOKUP('Flow2 '!A438,'ALokasi Pelabuhan '!$A:$C,3,TRUE)</f>
        <v>P12</v>
      </c>
      <c r="E438" s="4" t="str">
        <f>VLOOKUP('Flow2 '!B438,'ALokasi Pelabuhan '!$A:$C,3,TRUE)</f>
        <v>P18</v>
      </c>
    </row>
    <row r="439" spans="1:5" x14ac:dyDescent="0.25">
      <c r="A439">
        <f t="shared" si="6"/>
        <v>13</v>
      </c>
      <c r="B439">
        <v>30</v>
      </c>
      <c r="C439" s="1">
        <v>54454</v>
      </c>
      <c r="D439" s="4" t="str">
        <f>VLOOKUP('Flow2 '!A439,'ALokasi Pelabuhan '!$A:$C,3,TRUE)</f>
        <v>P12</v>
      </c>
      <c r="E439" s="4" t="str">
        <f>VLOOKUP('Flow2 '!B439,'ALokasi Pelabuhan '!$A:$C,3,TRUE)</f>
        <v>P19</v>
      </c>
    </row>
    <row r="440" spans="1:5" x14ac:dyDescent="0.25">
      <c r="A440">
        <f t="shared" si="6"/>
        <v>13</v>
      </c>
      <c r="B440">
        <v>31</v>
      </c>
      <c r="C440" s="1">
        <v>61492</v>
      </c>
      <c r="D440" s="4" t="str">
        <f>VLOOKUP('Flow2 '!A440,'ALokasi Pelabuhan '!$A:$C,3,TRUE)</f>
        <v>P12</v>
      </c>
      <c r="E440" s="4" t="str">
        <f>VLOOKUP('Flow2 '!B440,'ALokasi Pelabuhan '!$A:$C,3,TRUE)</f>
        <v>P4</v>
      </c>
    </row>
    <row r="441" spans="1:5" x14ac:dyDescent="0.25">
      <c r="A441">
        <f t="shared" si="6"/>
        <v>13</v>
      </c>
      <c r="B441">
        <v>32</v>
      </c>
      <c r="C441" s="1">
        <v>34032</v>
      </c>
      <c r="D441" s="4" t="str">
        <f>VLOOKUP('Flow2 '!A441,'ALokasi Pelabuhan '!$A:$C,3,TRUE)</f>
        <v>P12</v>
      </c>
      <c r="E441" s="4" t="str">
        <f>VLOOKUP('Flow2 '!B441,'ALokasi Pelabuhan '!$A:$C,3,TRUE)</f>
        <v>P6</v>
      </c>
    </row>
    <row r="442" spans="1:5" x14ac:dyDescent="0.25">
      <c r="A442">
        <f t="shared" si="6"/>
        <v>13</v>
      </c>
      <c r="B442">
        <v>33</v>
      </c>
      <c r="C442" s="1">
        <v>12788.03307496136</v>
      </c>
      <c r="D442" s="4" t="str">
        <f>VLOOKUP('Flow2 '!A442,'ALokasi Pelabuhan '!$A:$C,3,TRUE)</f>
        <v>P12</v>
      </c>
      <c r="E442" s="4" t="str">
        <f>VLOOKUP('Flow2 '!B442,'ALokasi Pelabuhan '!$A:$C,3,TRUE)</f>
        <v>P2</v>
      </c>
    </row>
    <row r="443" spans="1:5" x14ac:dyDescent="0.25">
      <c r="A443">
        <f t="shared" si="6"/>
        <v>13</v>
      </c>
      <c r="B443">
        <v>34</v>
      </c>
      <c r="C443" s="1">
        <v>45912.966925038658</v>
      </c>
      <c r="D443" s="4" t="str">
        <f>VLOOKUP('Flow2 '!A443,'ALokasi Pelabuhan '!$A:$C,3,TRUE)</f>
        <v>P12</v>
      </c>
      <c r="E443" s="4" t="str">
        <f>VLOOKUP('Flow2 '!B443,'ALokasi Pelabuhan '!$A:$C,3,TRUE)</f>
        <v>P9</v>
      </c>
    </row>
    <row r="444" spans="1:5" x14ac:dyDescent="0.25">
      <c r="A444">
        <f t="shared" si="6"/>
        <v>14</v>
      </c>
      <c r="B444">
        <v>1</v>
      </c>
      <c r="C444" s="1">
        <v>5134</v>
      </c>
      <c r="D444" s="4" t="str">
        <f>VLOOKUP('Flow2 '!A444,'ALokasi Pelabuhan '!$A:$C,3,TRUE)</f>
        <v>P14</v>
      </c>
      <c r="E444" s="4" t="str">
        <f>VLOOKUP('Flow2 '!B444,'ALokasi Pelabuhan '!$A:$C,3,TRUE)</f>
        <v>P1</v>
      </c>
    </row>
    <row r="445" spans="1:5" x14ac:dyDescent="0.25">
      <c r="A445">
        <f t="shared" si="6"/>
        <v>14</v>
      </c>
      <c r="B445">
        <v>2</v>
      </c>
      <c r="C445" s="1">
        <v>10635</v>
      </c>
      <c r="D445" s="4" t="str">
        <f>VLOOKUP('Flow2 '!A445,'ALokasi Pelabuhan '!$A:$C,3,TRUE)</f>
        <v>P14</v>
      </c>
      <c r="E445" s="4" t="str">
        <f>VLOOKUP('Flow2 '!B445,'ALokasi Pelabuhan '!$A:$C,3,TRUE)</f>
        <v>P10</v>
      </c>
    </row>
    <row r="446" spans="1:5" x14ac:dyDescent="0.25">
      <c r="A446">
        <f t="shared" si="6"/>
        <v>14</v>
      </c>
      <c r="B446">
        <v>3</v>
      </c>
      <c r="C446" s="1">
        <v>5079</v>
      </c>
      <c r="D446" s="4" t="str">
        <f>VLOOKUP('Flow2 '!A446,'ALokasi Pelabuhan '!$A:$C,3,TRUE)</f>
        <v>P14</v>
      </c>
      <c r="E446" s="4" t="str">
        <f>VLOOKUP('Flow2 '!B446,'ALokasi Pelabuhan '!$A:$C,3,TRUE)</f>
        <v>P8</v>
      </c>
    </row>
    <row r="447" spans="1:5" x14ac:dyDescent="0.25">
      <c r="A447">
        <f t="shared" si="6"/>
        <v>14</v>
      </c>
      <c r="B447">
        <v>4</v>
      </c>
      <c r="C447" s="1">
        <v>14445</v>
      </c>
      <c r="D447" s="4" t="str">
        <f>VLOOKUP('Flow2 '!A447,'ALokasi Pelabuhan '!$A:$C,3,TRUE)</f>
        <v>P14</v>
      </c>
      <c r="E447" s="4" t="str">
        <f>VLOOKUP('Flow2 '!B447,'ALokasi Pelabuhan '!$A:$C,3,TRUE)</f>
        <v>P4</v>
      </c>
    </row>
    <row r="448" spans="1:5" x14ac:dyDescent="0.25">
      <c r="A448">
        <f t="shared" si="6"/>
        <v>14</v>
      </c>
      <c r="B448">
        <v>5</v>
      </c>
      <c r="C448" s="1">
        <v>19261</v>
      </c>
      <c r="D448" s="4" t="str">
        <f>VLOOKUP('Flow2 '!A448,'ALokasi Pelabuhan '!$A:$C,3,TRUE)</f>
        <v>P14</v>
      </c>
      <c r="E448" s="4" t="str">
        <f>VLOOKUP('Flow2 '!B448,'ALokasi Pelabuhan '!$A:$C,3,TRUE)</f>
        <v>P19</v>
      </c>
    </row>
    <row r="449" spans="1:5" x14ac:dyDescent="0.25">
      <c r="A449">
        <f t="shared" si="6"/>
        <v>14</v>
      </c>
      <c r="B449">
        <v>6</v>
      </c>
      <c r="C449" s="1">
        <v>12669</v>
      </c>
      <c r="D449" s="4" t="str">
        <f>VLOOKUP('Flow2 '!A449,'ALokasi Pelabuhan '!$A:$C,3,TRUE)</f>
        <v>P14</v>
      </c>
      <c r="E449" s="4" t="str">
        <f>VLOOKUP('Flow2 '!B449,'ALokasi Pelabuhan '!$A:$C,3,TRUE)</f>
        <v>P8</v>
      </c>
    </row>
    <row r="450" spans="1:5" x14ac:dyDescent="0.25">
      <c r="A450">
        <f t="shared" si="6"/>
        <v>14</v>
      </c>
      <c r="B450">
        <v>7</v>
      </c>
      <c r="C450" s="1">
        <v>2688</v>
      </c>
      <c r="D450" s="4" t="str">
        <f>VLOOKUP('Flow2 '!A450,'ALokasi Pelabuhan '!$A:$C,3,TRUE)</f>
        <v>P14</v>
      </c>
      <c r="E450" s="4" t="str">
        <f>VLOOKUP('Flow2 '!B450,'ALokasi Pelabuhan '!$A:$C,3,TRUE)</f>
        <v>P5</v>
      </c>
    </row>
    <row r="451" spans="1:5" x14ac:dyDescent="0.25">
      <c r="A451">
        <f t="shared" ref="A451:A514" si="7">INT((ROW()-ROW($A$2))/34)+1</f>
        <v>14</v>
      </c>
      <c r="B451">
        <v>8</v>
      </c>
      <c r="C451" s="1">
        <v>13408</v>
      </c>
      <c r="D451" s="4" t="str">
        <f>VLOOKUP('Flow2 '!A451,'ALokasi Pelabuhan '!$A:$C,3,TRUE)</f>
        <v>P14</v>
      </c>
      <c r="E451" s="4" t="str">
        <f>VLOOKUP('Flow2 '!B451,'ALokasi Pelabuhan '!$A:$C,3,TRUE)</f>
        <v>P8</v>
      </c>
    </row>
    <row r="452" spans="1:5" x14ac:dyDescent="0.25">
      <c r="A452">
        <f t="shared" si="7"/>
        <v>14</v>
      </c>
      <c r="B452">
        <v>9</v>
      </c>
      <c r="C452" s="1">
        <v>3620</v>
      </c>
      <c r="D452" s="4" t="str">
        <f>VLOOKUP('Flow2 '!A452,'ALokasi Pelabuhan '!$A:$C,3,TRUE)</f>
        <v>P14</v>
      </c>
      <c r="E452" s="4" t="str">
        <f>VLOOKUP('Flow2 '!B452,'ALokasi Pelabuhan '!$A:$C,3,TRUE)</f>
        <v>P9</v>
      </c>
    </row>
    <row r="453" spans="1:5" x14ac:dyDescent="0.25">
      <c r="A453">
        <f t="shared" si="7"/>
        <v>14</v>
      </c>
      <c r="B453">
        <v>10</v>
      </c>
      <c r="C453" s="1">
        <v>2473</v>
      </c>
      <c r="D453" s="4" t="str">
        <f>VLOOKUP('Flow2 '!A453,'ALokasi Pelabuhan '!$A:$C,3,TRUE)</f>
        <v>P14</v>
      </c>
      <c r="E453" s="4" t="str">
        <f>VLOOKUP('Flow2 '!B453,'ALokasi Pelabuhan '!$A:$C,3,TRUE)</f>
        <v>P10</v>
      </c>
    </row>
    <row r="454" spans="1:5" x14ac:dyDescent="0.25">
      <c r="A454">
        <f t="shared" si="7"/>
        <v>14</v>
      </c>
      <c r="B454">
        <v>11</v>
      </c>
      <c r="C454" s="1">
        <v>98941</v>
      </c>
      <c r="D454" s="4" t="str">
        <f>VLOOKUP('Flow2 '!A454,'ALokasi Pelabuhan '!$A:$C,3,TRUE)</f>
        <v>P14</v>
      </c>
      <c r="E454" s="4" t="str">
        <f>VLOOKUP('Flow2 '!B454,'ALokasi Pelabuhan '!$A:$C,3,TRUE)</f>
        <v>P11</v>
      </c>
    </row>
    <row r="455" spans="1:5" x14ac:dyDescent="0.25">
      <c r="A455">
        <f t="shared" si="7"/>
        <v>14</v>
      </c>
      <c r="B455">
        <v>12</v>
      </c>
      <c r="C455" s="1">
        <v>299755</v>
      </c>
      <c r="D455" s="4" t="str">
        <f>VLOOKUP('Flow2 '!A455,'ALokasi Pelabuhan '!$A:$C,3,TRUE)</f>
        <v>P14</v>
      </c>
      <c r="E455" s="4" t="str">
        <f>VLOOKUP('Flow2 '!B455,'ALokasi Pelabuhan '!$A:$C,3,TRUE)</f>
        <v>P13</v>
      </c>
    </row>
    <row r="456" spans="1:5" x14ac:dyDescent="0.25">
      <c r="A456">
        <f t="shared" si="7"/>
        <v>14</v>
      </c>
      <c r="B456">
        <v>13</v>
      </c>
      <c r="C456" s="1">
        <v>482059</v>
      </c>
      <c r="D456" s="4" t="str">
        <f>VLOOKUP('Flow2 '!A456,'ALokasi Pelabuhan '!$A:$C,3,TRUE)</f>
        <v>P14</v>
      </c>
      <c r="E456" s="4" t="str">
        <f>VLOOKUP('Flow2 '!B456,'ALokasi Pelabuhan '!$A:$C,3,TRUE)</f>
        <v>P12</v>
      </c>
    </row>
    <row r="457" spans="1:5" x14ac:dyDescent="0.25">
      <c r="A457">
        <f t="shared" si="7"/>
        <v>14</v>
      </c>
      <c r="B457">
        <v>14</v>
      </c>
      <c r="C457" s="1">
        <v>331119</v>
      </c>
      <c r="D457" s="4" t="str">
        <f>VLOOKUP('Flow2 '!A457,'ALokasi Pelabuhan '!$A:$C,3,TRUE)</f>
        <v>P14</v>
      </c>
      <c r="E457" s="4" t="str">
        <f>VLOOKUP('Flow2 '!B457,'ALokasi Pelabuhan '!$A:$C,3,TRUE)</f>
        <v>P14</v>
      </c>
    </row>
    <row r="458" spans="1:5" x14ac:dyDescent="0.25">
      <c r="A458">
        <f t="shared" si="7"/>
        <v>14</v>
      </c>
      <c r="B458">
        <v>15</v>
      </c>
      <c r="C458" s="1">
        <v>411196</v>
      </c>
      <c r="D458" s="4" t="str">
        <f>VLOOKUP('Flow2 '!A458,'ALokasi Pelabuhan '!$A:$C,3,TRUE)</f>
        <v>P14</v>
      </c>
      <c r="E458" s="4" t="str">
        <f>VLOOKUP('Flow2 '!B458,'ALokasi Pelabuhan '!$A:$C,3,TRUE)</f>
        <v>P15</v>
      </c>
    </row>
    <row r="459" spans="1:5" x14ac:dyDescent="0.25">
      <c r="A459">
        <f t="shared" si="7"/>
        <v>14</v>
      </c>
      <c r="B459">
        <v>16</v>
      </c>
      <c r="C459" s="1">
        <v>99094</v>
      </c>
      <c r="D459" s="4" t="str">
        <f>VLOOKUP('Flow2 '!A459,'ALokasi Pelabuhan '!$A:$C,3,TRUE)</f>
        <v>P14</v>
      </c>
      <c r="E459" s="4" t="str">
        <f>VLOOKUP('Flow2 '!B459,'ALokasi Pelabuhan '!$A:$C,3,TRUE)</f>
        <v>P6</v>
      </c>
    </row>
    <row r="460" spans="1:5" x14ac:dyDescent="0.25">
      <c r="A460">
        <f t="shared" si="7"/>
        <v>14</v>
      </c>
      <c r="B460">
        <v>17</v>
      </c>
      <c r="C460" s="1">
        <v>10449</v>
      </c>
      <c r="D460" s="4" t="str">
        <f>VLOOKUP('Flow2 '!A460,'ALokasi Pelabuhan '!$A:$C,3,TRUE)</f>
        <v>P14</v>
      </c>
      <c r="E460" s="4" t="str">
        <f>VLOOKUP('Flow2 '!B460,'ALokasi Pelabuhan '!$A:$C,3,TRUE)</f>
        <v>P3</v>
      </c>
    </row>
    <row r="461" spans="1:5" x14ac:dyDescent="0.25">
      <c r="A461">
        <f t="shared" si="7"/>
        <v>14</v>
      </c>
      <c r="B461">
        <v>18</v>
      </c>
      <c r="C461" s="1">
        <v>10374</v>
      </c>
      <c r="D461" s="4" t="str">
        <f>VLOOKUP('Flow2 '!A461,'ALokasi Pelabuhan '!$A:$C,3,TRUE)</f>
        <v>P14</v>
      </c>
      <c r="E461" s="4" t="str">
        <f>VLOOKUP('Flow2 '!B461,'ALokasi Pelabuhan '!$A:$C,3,TRUE)</f>
        <v>P7</v>
      </c>
    </row>
    <row r="462" spans="1:5" x14ac:dyDescent="0.25">
      <c r="A462">
        <f t="shared" si="7"/>
        <v>14</v>
      </c>
      <c r="B462">
        <v>19</v>
      </c>
      <c r="C462" s="1">
        <v>8051</v>
      </c>
      <c r="D462" s="4" t="str">
        <f>VLOOKUP('Flow2 '!A462,'ALokasi Pelabuhan '!$A:$C,3,TRUE)</f>
        <v>P14</v>
      </c>
      <c r="E462" s="4" t="str">
        <f>VLOOKUP('Flow2 '!B462,'ALokasi Pelabuhan '!$A:$C,3,TRUE)</f>
        <v>P22</v>
      </c>
    </row>
    <row r="463" spans="1:5" x14ac:dyDescent="0.25">
      <c r="A463">
        <f t="shared" si="7"/>
        <v>14</v>
      </c>
      <c r="B463">
        <v>20</v>
      </c>
      <c r="C463" s="1">
        <v>8572</v>
      </c>
      <c r="D463" s="4" t="str">
        <f>VLOOKUP('Flow2 '!A463,'ALokasi Pelabuhan '!$A:$C,3,TRUE)</f>
        <v>P14</v>
      </c>
      <c r="E463" s="4" t="str">
        <f>VLOOKUP('Flow2 '!B463,'ALokasi Pelabuhan '!$A:$C,3,TRUE)</f>
        <v>P21</v>
      </c>
    </row>
    <row r="464" spans="1:5" x14ac:dyDescent="0.25">
      <c r="A464">
        <f t="shared" si="7"/>
        <v>14</v>
      </c>
      <c r="B464">
        <v>21</v>
      </c>
      <c r="C464" s="1">
        <v>5470</v>
      </c>
      <c r="D464" s="4" t="str">
        <f>VLOOKUP('Flow2 '!A464,'ALokasi Pelabuhan '!$A:$C,3,TRUE)</f>
        <v>P14</v>
      </c>
      <c r="E464" s="4" t="str">
        <f>VLOOKUP('Flow2 '!B464,'ALokasi Pelabuhan '!$A:$C,3,TRUE)</f>
        <v>P20</v>
      </c>
    </row>
    <row r="465" spans="1:5" x14ac:dyDescent="0.25">
      <c r="A465">
        <f t="shared" si="7"/>
        <v>14</v>
      </c>
      <c r="B465">
        <v>22</v>
      </c>
      <c r="C465" s="1">
        <v>7849</v>
      </c>
      <c r="D465" s="4" t="str">
        <f>VLOOKUP('Flow2 '!A465,'ALokasi Pelabuhan '!$A:$C,3,TRUE)</f>
        <v>P14</v>
      </c>
      <c r="E465" s="4" t="str">
        <f>VLOOKUP('Flow2 '!B465,'ALokasi Pelabuhan '!$A:$C,3,TRUE)</f>
        <v>P20</v>
      </c>
    </row>
    <row r="466" spans="1:5" x14ac:dyDescent="0.25">
      <c r="A466">
        <f t="shared" si="7"/>
        <v>14</v>
      </c>
      <c r="B466">
        <v>23</v>
      </c>
      <c r="C466" s="1">
        <v>5242</v>
      </c>
      <c r="D466" s="4" t="str">
        <f>VLOOKUP('Flow2 '!A466,'ALokasi Pelabuhan '!$A:$C,3,TRUE)</f>
        <v>P14</v>
      </c>
      <c r="E466" s="4" t="str">
        <f>VLOOKUP('Flow2 '!B466,'ALokasi Pelabuhan '!$A:$C,3,TRUE)</f>
        <v>P24</v>
      </c>
    </row>
    <row r="467" spans="1:5" x14ac:dyDescent="0.25">
      <c r="A467">
        <f t="shared" si="7"/>
        <v>14</v>
      </c>
      <c r="B467">
        <v>24</v>
      </c>
      <c r="C467" s="1">
        <v>587</v>
      </c>
      <c r="D467" s="4" t="str">
        <f>VLOOKUP('Flow2 '!A467,'ALokasi Pelabuhan '!$A:$C,3,TRUE)</f>
        <v>P14</v>
      </c>
      <c r="E467" s="4" t="str">
        <f>VLOOKUP('Flow2 '!B467,'ALokasi Pelabuhan '!$A:$C,3,TRUE)</f>
        <v>P23</v>
      </c>
    </row>
    <row r="468" spans="1:5" x14ac:dyDescent="0.25">
      <c r="A468">
        <f t="shared" si="7"/>
        <v>14</v>
      </c>
      <c r="B468">
        <v>25</v>
      </c>
      <c r="C468" s="1">
        <v>2182</v>
      </c>
      <c r="D468" s="4" t="str">
        <f>VLOOKUP('Flow2 '!A468,'ALokasi Pelabuhan '!$A:$C,3,TRUE)</f>
        <v>P14</v>
      </c>
      <c r="E468" s="4" t="str">
        <f>VLOOKUP('Flow2 '!B468,'ALokasi Pelabuhan '!$A:$C,3,TRUE)</f>
        <v>P2</v>
      </c>
    </row>
    <row r="469" spans="1:5" x14ac:dyDescent="0.25">
      <c r="A469">
        <f t="shared" si="7"/>
        <v>14</v>
      </c>
      <c r="B469">
        <v>26</v>
      </c>
      <c r="C469" s="1">
        <v>3267</v>
      </c>
      <c r="D469" s="4" t="str">
        <f>VLOOKUP('Flow2 '!A469,'ALokasi Pelabuhan '!$A:$C,3,TRUE)</f>
        <v>P14</v>
      </c>
      <c r="E469" s="4" t="str">
        <f>VLOOKUP('Flow2 '!B469,'ALokasi Pelabuhan '!$A:$C,3,TRUE)</f>
        <v>P17</v>
      </c>
    </row>
    <row r="470" spans="1:5" x14ac:dyDescent="0.25">
      <c r="A470">
        <f t="shared" si="7"/>
        <v>14</v>
      </c>
      <c r="B470">
        <v>27</v>
      </c>
      <c r="C470" s="1">
        <v>11236</v>
      </c>
      <c r="D470" s="4" t="str">
        <f>VLOOKUP('Flow2 '!A470,'ALokasi Pelabuhan '!$A:$C,3,TRUE)</f>
        <v>P14</v>
      </c>
      <c r="E470" s="4" t="str">
        <f>VLOOKUP('Flow2 '!B470,'ALokasi Pelabuhan '!$A:$C,3,TRUE)</f>
        <v>P17</v>
      </c>
    </row>
    <row r="471" spans="1:5" x14ac:dyDescent="0.25">
      <c r="A471">
        <f t="shared" si="7"/>
        <v>14</v>
      </c>
      <c r="B471">
        <v>28</v>
      </c>
      <c r="C471" s="1">
        <v>3069</v>
      </c>
      <c r="D471" s="4" t="str">
        <f>VLOOKUP('Flow2 '!A471,'ALokasi Pelabuhan '!$A:$C,3,TRUE)</f>
        <v>P14</v>
      </c>
      <c r="E471" s="4" t="str">
        <f>VLOOKUP('Flow2 '!B471,'ALokasi Pelabuhan '!$A:$C,3,TRUE)</f>
        <v>P16</v>
      </c>
    </row>
    <row r="472" spans="1:5" x14ac:dyDescent="0.25">
      <c r="A472">
        <f t="shared" si="7"/>
        <v>14</v>
      </c>
      <c r="B472">
        <v>29</v>
      </c>
      <c r="C472" s="1">
        <v>944</v>
      </c>
      <c r="D472" s="4" t="str">
        <f>VLOOKUP('Flow2 '!A472,'ALokasi Pelabuhan '!$A:$C,3,TRUE)</f>
        <v>P14</v>
      </c>
      <c r="E472" s="4" t="str">
        <f>VLOOKUP('Flow2 '!B472,'ALokasi Pelabuhan '!$A:$C,3,TRUE)</f>
        <v>P18</v>
      </c>
    </row>
    <row r="473" spans="1:5" x14ac:dyDescent="0.25">
      <c r="A473">
        <f t="shared" si="7"/>
        <v>14</v>
      </c>
      <c r="B473">
        <v>30</v>
      </c>
      <c r="C473" s="1">
        <v>1846</v>
      </c>
      <c r="D473" s="4" t="str">
        <f>VLOOKUP('Flow2 '!A473,'ALokasi Pelabuhan '!$A:$C,3,TRUE)</f>
        <v>P14</v>
      </c>
      <c r="E473" s="4" t="str">
        <f>VLOOKUP('Flow2 '!B473,'ALokasi Pelabuhan '!$A:$C,3,TRUE)</f>
        <v>P19</v>
      </c>
    </row>
    <row r="474" spans="1:5" x14ac:dyDescent="0.25">
      <c r="A474">
        <f t="shared" si="7"/>
        <v>14</v>
      </c>
      <c r="B474">
        <v>31</v>
      </c>
      <c r="C474" s="1">
        <v>1967</v>
      </c>
      <c r="D474" s="4" t="str">
        <f>VLOOKUP('Flow2 '!A474,'ALokasi Pelabuhan '!$A:$C,3,TRUE)</f>
        <v>P14</v>
      </c>
      <c r="E474" s="4" t="str">
        <f>VLOOKUP('Flow2 '!B474,'ALokasi Pelabuhan '!$A:$C,3,TRUE)</f>
        <v>P4</v>
      </c>
    </row>
    <row r="475" spans="1:5" x14ac:dyDescent="0.25">
      <c r="A475">
        <f t="shared" si="7"/>
        <v>14</v>
      </c>
      <c r="B475">
        <v>32</v>
      </c>
      <c r="C475" s="1">
        <v>1166</v>
      </c>
      <c r="D475" s="4" t="str">
        <f>VLOOKUP('Flow2 '!A475,'ALokasi Pelabuhan '!$A:$C,3,TRUE)</f>
        <v>P14</v>
      </c>
      <c r="E475" s="4" t="str">
        <f>VLOOKUP('Flow2 '!B475,'ALokasi Pelabuhan '!$A:$C,3,TRUE)</f>
        <v>P6</v>
      </c>
    </row>
    <row r="476" spans="1:5" x14ac:dyDescent="0.25">
      <c r="A476">
        <f t="shared" si="7"/>
        <v>14</v>
      </c>
      <c r="B476">
        <v>33</v>
      </c>
      <c r="C476" s="1">
        <v>424.37247116786307</v>
      </c>
      <c r="D476" s="4" t="str">
        <f>VLOOKUP('Flow2 '!A476,'ALokasi Pelabuhan '!$A:$C,3,TRUE)</f>
        <v>P14</v>
      </c>
      <c r="E476" s="4" t="str">
        <f>VLOOKUP('Flow2 '!B476,'ALokasi Pelabuhan '!$A:$C,3,TRUE)</f>
        <v>P2</v>
      </c>
    </row>
    <row r="477" spans="1:5" x14ac:dyDescent="0.25">
      <c r="A477">
        <f t="shared" si="7"/>
        <v>14</v>
      </c>
      <c r="B477">
        <v>34</v>
      </c>
      <c r="C477" s="1">
        <v>1523.6275288321374</v>
      </c>
      <c r="D477" s="4" t="str">
        <f>VLOOKUP('Flow2 '!A477,'ALokasi Pelabuhan '!$A:$C,3,TRUE)</f>
        <v>P14</v>
      </c>
      <c r="E477" s="4" t="str">
        <f>VLOOKUP('Flow2 '!B477,'ALokasi Pelabuhan '!$A:$C,3,TRUE)</f>
        <v>P9</v>
      </c>
    </row>
    <row r="478" spans="1:5" x14ac:dyDescent="0.25">
      <c r="A478">
        <f t="shared" si="7"/>
        <v>15</v>
      </c>
      <c r="B478">
        <v>1</v>
      </c>
      <c r="C478" s="1">
        <v>245009</v>
      </c>
      <c r="D478" s="4" t="str">
        <f>VLOOKUP('Flow2 '!A478,'ALokasi Pelabuhan '!$A:$C,3,TRUE)</f>
        <v>P15</v>
      </c>
      <c r="E478" s="4" t="str">
        <f>VLOOKUP('Flow2 '!B478,'ALokasi Pelabuhan '!$A:$C,3,TRUE)</f>
        <v>P1</v>
      </c>
    </row>
    <row r="479" spans="1:5" x14ac:dyDescent="0.25">
      <c r="A479">
        <f t="shared" si="7"/>
        <v>15</v>
      </c>
      <c r="B479">
        <v>2</v>
      </c>
      <c r="C479" s="1">
        <v>566559</v>
      </c>
      <c r="D479" s="4" t="str">
        <f>VLOOKUP('Flow2 '!A479,'ALokasi Pelabuhan '!$A:$C,3,TRUE)</f>
        <v>P15</v>
      </c>
      <c r="E479" s="4" t="str">
        <f>VLOOKUP('Flow2 '!B479,'ALokasi Pelabuhan '!$A:$C,3,TRUE)</f>
        <v>P10</v>
      </c>
    </row>
    <row r="480" spans="1:5" x14ac:dyDescent="0.25">
      <c r="A480">
        <f t="shared" si="7"/>
        <v>15</v>
      </c>
      <c r="B480">
        <v>3</v>
      </c>
      <c r="C480" s="1">
        <v>285216</v>
      </c>
      <c r="D480" s="4" t="str">
        <f>VLOOKUP('Flow2 '!A480,'ALokasi Pelabuhan '!$A:$C,3,TRUE)</f>
        <v>P15</v>
      </c>
      <c r="E480" s="4" t="str">
        <f>VLOOKUP('Flow2 '!B480,'ALokasi Pelabuhan '!$A:$C,3,TRUE)</f>
        <v>P8</v>
      </c>
    </row>
    <row r="481" spans="1:5" x14ac:dyDescent="0.25">
      <c r="A481">
        <f t="shared" si="7"/>
        <v>15</v>
      </c>
      <c r="B481">
        <v>4</v>
      </c>
      <c r="C481" s="1">
        <v>415959</v>
      </c>
      <c r="D481" s="4" t="str">
        <f>VLOOKUP('Flow2 '!A481,'ALokasi Pelabuhan '!$A:$C,3,TRUE)</f>
        <v>P15</v>
      </c>
      <c r="E481" s="4" t="str">
        <f>VLOOKUP('Flow2 '!B481,'ALokasi Pelabuhan '!$A:$C,3,TRUE)</f>
        <v>P4</v>
      </c>
    </row>
    <row r="482" spans="1:5" x14ac:dyDescent="0.25">
      <c r="A482">
        <f t="shared" si="7"/>
        <v>15</v>
      </c>
      <c r="B482">
        <v>5</v>
      </c>
      <c r="C482" s="1">
        <v>1442961</v>
      </c>
      <c r="D482" s="4" t="str">
        <f>VLOOKUP('Flow2 '!A482,'ALokasi Pelabuhan '!$A:$C,3,TRUE)</f>
        <v>P15</v>
      </c>
      <c r="E482" s="4" t="str">
        <f>VLOOKUP('Flow2 '!B482,'ALokasi Pelabuhan '!$A:$C,3,TRUE)</f>
        <v>P19</v>
      </c>
    </row>
    <row r="483" spans="1:5" x14ac:dyDescent="0.25">
      <c r="A483">
        <f t="shared" si="7"/>
        <v>15</v>
      </c>
      <c r="B483">
        <v>6</v>
      </c>
      <c r="C483" s="1">
        <v>615414</v>
      </c>
      <c r="D483" s="4" t="str">
        <f>VLOOKUP('Flow2 '!A483,'ALokasi Pelabuhan '!$A:$C,3,TRUE)</f>
        <v>P15</v>
      </c>
      <c r="E483" s="4" t="str">
        <f>VLOOKUP('Flow2 '!B483,'ALokasi Pelabuhan '!$A:$C,3,TRUE)</f>
        <v>P8</v>
      </c>
    </row>
    <row r="484" spans="1:5" x14ac:dyDescent="0.25">
      <c r="A484">
        <f t="shared" si="7"/>
        <v>15</v>
      </c>
      <c r="B484">
        <v>7</v>
      </c>
      <c r="C484" s="1">
        <v>132461</v>
      </c>
      <c r="D484" s="4" t="str">
        <f>VLOOKUP('Flow2 '!A484,'ALokasi Pelabuhan '!$A:$C,3,TRUE)</f>
        <v>P15</v>
      </c>
      <c r="E484" s="4" t="str">
        <f>VLOOKUP('Flow2 '!B484,'ALokasi Pelabuhan '!$A:$C,3,TRUE)</f>
        <v>P5</v>
      </c>
    </row>
    <row r="485" spans="1:5" x14ac:dyDescent="0.25">
      <c r="A485">
        <f t="shared" si="7"/>
        <v>15</v>
      </c>
      <c r="B485">
        <v>8</v>
      </c>
      <c r="C485" s="1">
        <v>603308</v>
      </c>
      <c r="D485" s="4" t="str">
        <f>VLOOKUP('Flow2 '!A485,'ALokasi Pelabuhan '!$A:$C,3,TRUE)</f>
        <v>P15</v>
      </c>
      <c r="E485" s="4" t="str">
        <f>VLOOKUP('Flow2 '!B485,'ALokasi Pelabuhan '!$A:$C,3,TRUE)</f>
        <v>P8</v>
      </c>
    </row>
    <row r="486" spans="1:5" x14ac:dyDescent="0.25">
      <c r="A486">
        <f t="shared" si="7"/>
        <v>15</v>
      </c>
      <c r="B486">
        <v>9</v>
      </c>
      <c r="C486" s="1">
        <v>139422</v>
      </c>
      <c r="D486" s="4" t="str">
        <f>VLOOKUP('Flow2 '!A486,'ALokasi Pelabuhan '!$A:$C,3,TRUE)</f>
        <v>P15</v>
      </c>
      <c r="E486" s="4" t="str">
        <f>VLOOKUP('Flow2 '!B486,'ALokasi Pelabuhan '!$A:$C,3,TRUE)</f>
        <v>P9</v>
      </c>
    </row>
    <row r="487" spans="1:5" x14ac:dyDescent="0.25">
      <c r="A487">
        <f t="shared" si="7"/>
        <v>15</v>
      </c>
      <c r="B487">
        <v>10</v>
      </c>
      <c r="C487" s="1">
        <v>133213</v>
      </c>
      <c r="D487" s="4" t="str">
        <f>VLOOKUP('Flow2 '!A487,'ALokasi Pelabuhan '!$A:$C,3,TRUE)</f>
        <v>P15</v>
      </c>
      <c r="E487" s="4" t="str">
        <f>VLOOKUP('Flow2 '!B487,'ALokasi Pelabuhan '!$A:$C,3,TRUE)</f>
        <v>P10</v>
      </c>
    </row>
    <row r="488" spans="1:5" x14ac:dyDescent="0.25">
      <c r="A488">
        <f t="shared" si="7"/>
        <v>15</v>
      </c>
      <c r="B488">
        <v>11</v>
      </c>
      <c r="C488" s="1">
        <v>1406006</v>
      </c>
      <c r="D488" s="4" t="str">
        <f>VLOOKUP('Flow2 '!A488,'ALokasi Pelabuhan '!$A:$C,3,TRUE)</f>
        <v>P15</v>
      </c>
      <c r="E488" s="4" t="str">
        <f>VLOOKUP('Flow2 '!B488,'ALokasi Pelabuhan '!$A:$C,3,TRUE)</f>
        <v>P11</v>
      </c>
    </row>
    <row r="489" spans="1:5" x14ac:dyDescent="0.25">
      <c r="A489">
        <f t="shared" si="7"/>
        <v>15</v>
      </c>
      <c r="B489">
        <v>12</v>
      </c>
      <c r="C489" s="1">
        <v>5866834</v>
      </c>
      <c r="D489" s="4" t="str">
        <f>VLOOKUP('Flow2 '!A489,'ALokasi Pelabuhan '!$A:$C,3,TRUE)</f>
        <v>P15</v>
      </c>
      <c r="E489" s="4" t="str">
        <f>VLOOKUP('Flow2 '!B489,'ALokasi Pelabuhan '!$A:$C,3,TRUE)</f>
        <v>P13</v>
      </c>
    </row>
    <row r="490" spans="1:5" x14ac:dyDescent="0.25">
      <c r="A490">
        <f t="shared" si="7"/>
        <v>15</v>
      </c>
      <c r="B490">
        <v>13</v>
      </c>
      <c r="C490" s="1">
        <v>8466407</v>
      </c>
      <c r="D490" s="4" t="str">
        <f>VLOOKUP('Flow2 '!A490,'ALokasi Pelabuhan '!$A:$C,3,TRUE)</f>
        <v>P15</v>
      </c>
      <c r="E490" s="4" t="str">
        <f>VLOOKUP('Flow2 '!B490,'ALokasi Pelabuhan '!$A:$C,3,TRUE)</f>
        <v>P12</v>
      </c>
    </row>
    <row r="491" spans="1:5" x14ac:dyDescent="0.25">
      <c r="A491">
        <f t="shared" si="7"/>
        <v>15</v>
      </c>
      <c r="B491">
        <v>14</v>
      </c>
      <c r="C491" s="1">
        <v>950294</v>
      </c>
      <c r="D491" s="4" t="str">
        <f>VLOOKUP('Flow2 '!A491,'ALokasi Pelabuhan '!$A:$C,3,TRUE)</f>
        <v>P15</v>
      </c>
      <c r="E491" s="4" t="str">
        <f>VLOOKUP('Flow2 '!B491,'ALokasi Pelabuhan '!$A:$C,3,TRUE)</f>
        <v>P14</v>
      </c>
    </row>
    <row r="492" spans="1:5" x14ac:dyDescent="0.25">
      <c r="A492">
        <f t="shared" si="7"/>
        <v>15</v>
      </c>
      <c r="B492">
        <v>15</v>
      </c>
      <c r="C492" s="1">
        <v>44613253</v>
      </c>
      <c r="D492" s="4" t="str">
        <f>VLOOKUP('Flow2 '!A492,'ALokasi Pelabuhan '!$A:$C,3,TRUE)</f>
        <v>P15</v>
      </c>
      <c r="E492" s="4" t="str">
        <f>VLOOKUP('Flow2 '!B492,'ALokasi Pelabuhan '!$A:$C,3,TRUE)</f>
        <v>P15</v>
      </c>
    </row>
    <row r="493" spans="1:5" x14ac:dyDescent="0.25">
      <c r="A493">
        <f t="shared" si="7"/>
        <v>15</v>
      </c>
      <c r="B493">
        <v>16</v>
      </c>
      <c r="C493" s="1">
        <v>1576089</v>
      </c>
      <c r="D493" s="4" t="str">
        <f>VLOOKUP('Flow2 '!A493,'ALokasi Pelabuhan '!$A:$C,3,TRUE)</f>
        <v>P15</v>
      </c>
      <c r="E493" s="4" t="str">
        <f>VLOOKUP('Flow2 '!B493,'ALokasi Pelabuhan '!$A:$C,3,TRUE)</f>
        <v>P6</v>
      </c>
    </row>
    <row r="494" spans="1:5" x14ac:dyDescent="0.25">
      <c r="A494">
        <f t="shared" si="7"/>
        <v>15</v>
      </c>
      <c r="B494">
        <v>17</v>
      </c>
      <c r="C494" s="1">
        <v>1223903</v>
      </c>
      <c r="D494" s="4" t="str">
        <f>VLOOKUP('Flow2 '!A494,'ALokasi Pelabuhan '!$A:$C,3,TRUE)</f>
        <v>P15</v>
      </c>
      <c r="E494" s="4" t="str">
        <f>VLOOKUP('Flow2 '!B494,'ALokasi Pelabuhan '!$A:$C,3,TRUE)</f>
        <v>P3</v>
      </c>
    </row>
    <row r="495" spans="1:5" x14ac:dyDescent="0.25">
      <c r="A495">
        <f t="shared" si="7"/>
        <v>15</v>
      </c>
      <c r="B495">
        <v>18</v>
      </c>
      <c r="C495" s="1">
        <v>850972</v>
      </c>
      <c r="D495" s="4" t="str">
        <f>VLOOKUP('Flow2 '!A495,'ALokasi Pelabuhan '!$A:$C,3,TRUE)</f>
        <v>P15</v>
      </c>
      <c r="E495" s="4" t="str">
        <f>VLOOKUP('Flow2 '!B495,'ALokasi Pelabuhan '!$A:$C,3,TRUE)</f>
        <v>P7</v>
      </c>
    </row>
    <row r="496" spans="1:5" x14ac:dyDescent="0.25">
      <c r="A496">
        <f t="shared" si="7"/>
        <v>15</v>
      </c>
      <c r="B496">
        <v>19</v>
      </c>
      <c r="C496" s="1">
        <v>535728</v>
      </c>
      <c r="D496" s="4" t="str">
        <f>VLOOKUP('Flow2 '!A496,'ALokasi Pelabuhan '!$A:$C,3,TRUE)</f>
        <v>P15</v>
      </c>
      <c r="E496" s="4" t="str">
        <f>VLOOKUP('Flow2 '!B496,'ALokasi Pelabuhan '!$A:$C,3,TRUE)</f>
        <v>P22</v>
      </c>
    </row>
    <row r="497" spans="1:5" x14ac:dyDescent="0.25">
      <c r="A497">
        <f t="shared" si="7"/>
        <v>15</v>
      </c>
      <c r="B497">
        <v>20</v>
      </c>
      <c r="C497" s="1">
        <v>499077</v>
      </c>
      <c r="D497" s="4" t="str">
        <f>VLOOKUP('Flow2 '!A497,'ALokasi Pelabuhan '!$A:$C,3,TRUE)</f>
        <v>P15</v>
      </c>
      <c r="E497" s="4" t="str">
        <f>VLOOKUP('Flow2 '!B497,'ALokasi Pelabuhan '!$A:$C,3,TRUE)</f>
        <v>P21</v>
      </c>
    </row>
    <row r="498" spans="1:5" x14ac:dyDescent="0.25">
      <c r="A498">
        <f t="shared" si="7"/>
        <v>15</v>
      </c>
      <c r="B498">
        <v>21</v>
      </c>
      <c r="C498" s="1">
        <v>364045</v>
      </c>
      <c r="D498" s="4" t="str">
        <f>VLOOKUP('Flow2 '!A498,'ALokasi Pelabuhan '!$A:$C,3,TRUE)</f>
        <v>P15</v>
      </c>
      <c r="E498" s="4" t="str">
        <f>VLOOKUP('Flow2 '!B498,'ALokasi Pelabuhan '!$A:$C,3,TRUE)</f>
        <v>P20</v>
      </c>
    </row>
    <row r="499" spans="1:5" x14ac:dyDescent="0.25">
      <c r="A499">
        <f t="shared" si="7"/>
        <v>15</v>
      </c>
      <c r="B499">
        <v>22</v>
      </c>
      <c r="C499" s="1">
        <v>577756</v>
      </c>
      <c r="D499" s="4" t="str">
        <f>VLOOKUP('Flow2 '!A499,'ALokasi Pelabuhan '!$A:$C,3,TRUE)</f>
        <v>P15</v>
      </c>
      <c r="E499" s="4" t="str">
        <f>VLOOKUP('Flow2 '!B499,'ALokasi Pelabuhan '!$A:$C,3,TRUE)</f>
        <v>P20</v>
      </c>
    </row>
    <row r="500" spans="1:5" x14ac:dyDescent="0.25">
      <c r="A500">
        <f t="shared" si="7"/>
        <v>15</v>
      </c>
      <c r="B500">
        <v>23</v>
      </c>
      <c r="C500" s="1">
        <v>297258</v>
      </c>
      <c r="D500" s="4" t="str">
        <f>VLOOKUP('Flow2 '!A500,'ALokasi Pelabuhan '!$A:$C,3,TRUE)</f>
        <v>P15</v>
      </c>
      <c r="E500" s="4" t="str">
        <f>VLOOKUP('Flow2 '!B500,'ALokasi Pelabuhan '!$A:$C,3,TRUE)</f>
        <v>P24</v>
      </c>
    </row>
    <row r="501" spans="1:5" x14ac:dyDescent="0.25">
      <c r="A501">
        <f t="shared" si="7"/>
        <v>15</v>
      </c>
      <c r="B501">
        <v>24</v>
      </c>
      <c r="C501" s="1">
        <v>36447</v>
      </c>
      <c r="D501" s="4" t="str">
        <f>VLOOKUP('Flow2 '!A501,'ALokasi Pelabuhan '!$A:$C,3,TRUE)</f>
        <v>P15</v>
      </c>
      <c r="E501" s="4" t="str">
        <f>VLOOKUP('Flow2 '!B501,'ALokasi Pelabuhan '!$A:$C,3,TRUE)</f>
        <v>P23</v>
      </c>
    </row>
    <row r="502" spans="1:5" x14ac:dyDescent="0.25">
      <c r="A502">
        <f t="shared" si="7"/>
        <v>15</v>
      </c>
      <c r="B502">
        <v>25</v>
      </c>
      <c r="C502" s="1">
        <v>147895</v>
      </c>
      <c r="D502" s="4" t="str">
        <f>VLOOKUP('Flow2 '!A502,'ALokasi Pelabuhan '!$A:$C,3,TRUE)</f>
        <v>P15</v>
      </c>
      <c r="E502" s="4" t="str">
        <f>VLOOKUP('Flow2 '!B502,'ALokasi Pelabuhan '!$A:$C,3,TRUE)</f>
        <v>P2</v>
      </c>
    </row>
    <row r="503" spans="1:5" x14ac:dyDescent="0.25">
      <c r="A503">
        <f t="shared" si="7"/>
        <v>15</v>
      </c>
      <c r="B503">
        <v>26</v>
      </c>
      <c r="C503" s="1">
        <v>228438</v>
      </c>
      <c r="D503" s="4" t="str">
        <f>VLOOKUP('Flow2 '!A503,'ALokasi Pelabuhan '!$A:$C,3,TRUE)</f>
        <v>P15</v>
      </c>
      <c r="E503" s="4" t="str">
        <f>VLOOKUP('Flow2 '!B503,'ALokasi Pelabuhan '!$A:$C,3,TRUE)</f>
        <v>P17</v>
      </c>
    </row>
    <row r="504" spans="1:5" x14ac:dyDescent="0.25">
      <c r="A504">
        <f t="shared" si="7"/>
        <v>15</v>
      </c>
      <c r="B504">
        <v>27</v>
      </c>
      <c r="C504" s="1">
        <v>743845</v>
      </c>
      <c r="D504" s="4" t="str">
        <f>VLOOKUP('Flow2 '!A504,'ALokasi Pelabuhan '!$A:$C,3,TRUE)</f>
        <v>P15</v>
      </c>
      <c r="E504" s="4" t="str">
        <f>VLOOKUP('Flow2 '!B504,'ALokasi Pelabuhan '!$A:$C,3,TRUE)</f>
        <v>P17</v>
      </c>
    </row>
    <row r="505" spans="1:5" x14ac:dyDescent="0.25">
      <c r="A505">
        <f t="shared" si="7"/>
        <v>15</v>
      </c>
      <c r="B505">
        <v>28</v>
      </c>
      <c r="C505" s="1">
        <v>213232</v>
      </c>
      <c r="D505" s="4" t="str">
        <f>VLOOKUP('Flow2 '!A505,'ALokasi Pelabuhan '!$A:$C,3,TRUE)</f>
        <v>P15</v>
      </c>
      <c r="E505" s="4" t="str">
        <f>VLOOKUP('Flow2 '!B505,'ALokasi Pelabuhan '!$A:$C,3,TRUE)</f>
        <v>P16</v>
      </c>
    </row>
    <row r="506" spans="1:5" x14ac:dyDescent="0.25">
      <c r="A506">
        <f t="shared" si="7"/>
        <v>15</v>
      </c>
      <c r="B506">
        <v>29</v>
      </c>
      <c r="C506" s="1">
        <v>65739</v>
      </c>
      <c r="D506" s="4" t="str">
        <f>VLOOKUP('Flow2 '!A506,'ALokasi Pelabuhan '!$A:$C,3,TRUE)</f>
        <v>P15</v>
      </c>
      <c r="E506" s="4" t="str">
        <f>VLOOKUP('Flow2 '!B506,'ALokasi Pelabuhan '!$A:$C,3,TRUE)</f>
        <v>P18</v>
      </c>
    </row>
    <row r="507" spans="1:5" x14ac:dyDescent="0.25">
      <c r="A507">
        <f t="shared" si="7"/>
        <v>15</v>
      </c>
      <c r="B507">
        <v>30</v>
      </c>
      <c r="C507" s="1">
        <v>125428</v>
      </c>
      <c r="D507" s="4" t="str">
        <f>VLOOKUP('Flow2 '!A507,'ALokasi Pelabuhan '!$A:$C,3,TRUE)</f>
        <v>P15</v>
      </c>
      <c r="E507" s="4" t="str">
        <f>VLOOKUP('Flow2 '!B507,'ALokasi Pelabuhan '!$A:$C,3,TRUE)</f>
        <v>P19</v>
      </c>
    </row>
    <row r="508" spans="1:5" x14ac:dyDescent="0.25">
      <c r="A508">
        <f t="shared" si="7"/>
        <v>15</v>
      </c>
      <c r="B508">
        <v>31</v>
      </c>
      <c r="C508" s="1">
        <v>130252</v>
      </c>
      <c r="D508" s="4" t="str">
        <f>VLOOKUP('Flow2 '!A508,'ALokasi Pelabuhan '!$A:$C,3,TRUE)</f>
        <v>P15</v>
      </c>
      <c r="E508" s="4" t="str">
        <f>VLOOKUP('Flow2 '!B508,'ALokasi Pelabuhan '!$A:$C,3,TRUE)</f>
        <v>P4</v>
      </c>
    </row>
    <row r="509" spans="1:5" x14ac:dyDescent="0.25">
      <c r="A509">
        <f t="shared" si="7"/>
        <v>15</v>
      </c>
      <c r="B509">
        <v>32</v>
      </c>
      <c r="C509" s="1">
        <v>71843</v>
      </c>
      <c r="D509" s="4" t="str">
        <f>VLOOKUP('Flow2 '!A509,'ALokasi Pelabuhan '!$A:$C,3,TRUE)</f>
        <v>P15</v>
      </c>
      <c r="E509" s="4" t="str">
        <f>VLOOKUP('Flow2 '!B509,'ALokasi Pelabuhan '!$A:$C,3,TRUE)</f>
        <v>P6</v>
      </c>
    </row>
    <row r="510" spans="1:5" x14ac:dyDescent="0.25">
      <c r="A510">
        <f t="shared" si="7"/>
        <v>15</v>
      </c>
      <c r="B510">
        <v>33</v>
      </c>
      <c r="C510" s="1">
        <v>23417.822786544886</v>
      </c>
      <c r="D510" s="4" t="str">
        <f>VLOOKUP('Flow2 '!A510,'ALokasi Pelabuhan '!$A:$C,3,TRUE)</f>
        <v>P15</v>
      </c>
      <c r="E510" s="4" t="str">
        <f>VLOOKUP('Flow2 '!B510,'ALokasi Pelabuhan '!$A:$C,3,TRUE)</f>
        <v>P2</v>
      </c>
    </row>
    <row r="511" spans="1:5" x14ac:dyDescent="0.25">
      <c r="A511">
        <f t="shared" si="7"/>
        <v>15</v>
      </c>
      <c r="B511">
        <v>34</v>
      </c>
      <c r="C511" s="1">
        <v>84077.177213455143</v>
      </c>
      <c r="D511" s="4" t="str">
        <f>VLOOKUP('Flow2 '!A511,'ALokasi Pelabuhan '!$A:$C,3,TRUE)</f>
        <v>P15</v>
      </c>
      <c r="E511" s="4" t="str">
        <f>VLOOKUP('Flow2 '!B511,'ALokasi Pelabuhan '!$A:$C,3,TRUE)</f>
        <v>P9</v>
      </c>
    </row>
    <row r="512" spans="1:5" x14ac:dyDescent="0.25">
      <c r="A512">
        <f t="shared" si="7"/>
        <v>16</v>
      </c>
      <c r="B512">
        <v>1</v>
      </c>
      <c r="C512" s="1">
        <v>49180</v>
      </c>
      <c r="D512" s="4" t="str">
        <f>VLOOKUP('Flow2 '!A512,'ALokasi Pelabuhan '!$A:$C,3,TRUE)</f>
        <v>P6</v>
      </c>
      <c r="E512" s="4" t="str">
        <f>VLOOKUP('Flow2 '!B512,'ALokasi Pelabuhan '!$A:$C,3,TRUE)</f>
        <v>P1</v>
      </c>
    </row>
    <row r="513" spans="1:5" x14ac:dyDescent="0.25">
      <c r="A513">
        <f t="shared" si="7"/>
        <v>16</v>
      </c>
      <c r="B513">
        <v>2</v>
      </c>
      <c r="C513" s="1">
        <v>111180</v>
      </c>
      <c r="D513" s="4" t="str">
        <f>VLOOKUP('Flow2 '!A513,'ALokasi Pelabuhan '!$A:$C,3,TRUE)</f>
        <v>P6</v>
      </c>
      <c r="E513" s="4" t="str">
        <f>VLOOKUP('Flow2 '!B513,'ALokasi Pelabuhan '!$A:$C,3,TRUE)</f>
        <v>P10</v>
      </c>
    </row>
    <row r="514" spans="1:5" x14ac:dyDescent="0.25">
      <c r="A514">
        <f t="shared" si="7"/>
        <v>16</v>
      </c>
      <c r="B514">
        <v>3</v>
      </c>
      <c r="C514" s="1">
        <v>142735</v>
      </c>
      <c r="D514" s="4" t="str">
        <f>VLOOKUP('Flow2 '!A514,'ALokasi Pelabuhan '!$A:$C,3,TRUE)</f>
        <v>P6</v>
      </c>
      <c r="E514" s="4" t="str">
        <f>VLOOKUP('Flow2 '!B514,'ALokasi Pelabuhan '!$A:$C,3,TRUE)</f>
        <v>P8</v>
      </c>
    </row>
    <row r="515" spans="1:5" x14ac:dyDescent="0.25">
      <c r="A515">
        <f t="shared" ref="A515:A578" si="8">INT((ROW()-ROW($A$2))/34)+1</f>
        <v>16</v>
      </c>
      <c r="B515">
        <v>4</v>
      </c>
      <c r="C515" s="1">
        <v>205720</v>
      </c>
      <c r="D515" s="4" t="str">
        <f>VLOOKUP('Flow2 '!A515,'ALokasi Pelabuhan '!$A:$C,3,TRUE)</f>
        <v>P6</v>
      </c>
      <c r="E515" s="4" t="str">
        <f>VLOOKUP('Flow2 '!B515,'ALokasi Pelabuhan '!$A:$C,3,TRUE)</f>
        <v>P4</v>
      </c>
    </row>
    <row r="516" spans="1:5" x14ac:dyDescent="0.25">
      <c r="A516">
        <f t="shared" si="8"/>
        <v>16</v>
      </c>
      <c r="B516">
        <v>5</v>
      </c>
      <c r="C516" s="1">
        <v>130556</v>
      </c>
      <c r="D516" s="4" t="str">
        <f>VLOOKUP('Flow2 '!A516,'ALokasi Pelabuhan '!$A:$C,3,TRUE)</f>
        <v>P6</v>
      </c>
      <c r="E516" s="4" t="str">
        <f>VLOOKUP('Flow2 '!B516,'ALokasi Pelabuhan '!$A:$C,3,TRUE)</f>
        <v>P19</v>
      </c>
    </row>
    <row r="517" spans="1:5" x14ac:dyDescent="0.25">
      <c r="A517">
        <f t="shared" si="8"/>
        <v>16</v>
      </c>
      <c r="B517">
        <v>6</v>
      </c>
      <c r="C517" s="1">
        <v>288303</v>
      </c>
      <c r="D517" s="4" t="str">
        <f>VLOOKUP('Flow2 '!A517,'ALokasi Pelabuhan '!$A:$C,3,TRUE)</f>
        <v>P6</v>
      </c>
      <c r="E517" s="4" t="str">
        <f>VLOOKUP('Flow2 '!B517,'ALokasi Pelabuhan '!$A:$C,3,TRUE)</f>
        <v>P8</v>
      </c>
    </row>
    <row r="518" spans="1:5" x14ac:dyDescent="0.25">
      <c r="A518">
        <f t="shared" si="8"/>
        <v>16</v>
      </c>
      <c r="B518">
        <v>7</v>
      </c>
      <c r="C518" s="1">
        <v>63594</v>
      </c>
      <c r="D518" s="4" t="str">
        <f>VLOOKUP('Flow2 '!A518,'ALokasi Pelabuhan '!$A:$C,3,TRUE)</f>
        <v>P6</v>
      </c>
      <c r="E518" s="4" t="str">
        <f>VLOOKUP('Flow2 '!B518,'ALokasi Pelabuhan '!$A:$C,3,TRUE)</f>
        <v>P5</v>
      </c>
    </row>
    <row r="519" spans="1:5" x14ac:dyDescent="0.25">
      <c r="A519">
        <f t="shared" si="8"/>
        <v>16</v>
      </c>
      <c r="B519">
        <v>8</v>
      </c>
      <c r="C519" s="1">
        <v>357318</v>
      </c>
      <c r="D519" s="4" t="str">
        <f>VLOOKUP('Flow2 '!A519,'ALokasi Pelabuhan '!$A:$C,3,TRUE)</f>
        <v>P6</v>
      </c>
      <c r="E519" s="4" t="str">
        <f>VLOOKUP('Flow2 '!B519,'ALokasi Pelabuhan '!$A:$C,3,TRUE)</f>
        <v>P8</v>
      </c>
    </row>
    <row r="520" spans="1:5" x14ac:dyDescent="0.25">
      <c r="A520">
        <f t="shared" si="8"/>
        <v>16</v>
      </c>
      <c r="B520">
        <v>9</v>
      </c>
      <c r="C520" s="1">
        <v>32097</v>
      </c>
      <c r="D520" s="4" t="str">
        <f>VLOOKUP('Flow2 '!A520,'ALokasi Pelabuhan '!$A:$C,3,TRUE)</f>
        <v>P6</v>
      </c>
      <c r="E520" s="4" t="str">
        <f>VLOOKUP('Flow2 '!B520,'ALokasi Pelabuhan '!$A:$C,3,TRUE)</f>
        <v>P9</v>
      </c>
    </row>
    <row r="521" spans="1:5" x14ac:dyDescent="0.25">
      <c r="A521">
        <f t="shared" si="8"/>
        <v>16</v>
      </c>
      <c r="B521">
        <v>10</v>
      </c>
      <c r="C521" s="1">
        <v>26901</v>
      </c>
      <c r="D521" s="4" t="str">
        <f>VLOOKUP('Flow2 '!A521,'ALokasi Pelabuhan '!$A:$C,3,TRUE)</f>
        <v>P6</v>
      </c>
      <c r="E521" s="4" t="str">
        <f>VLOOKUP('Flow2 '!B521,'ALokasi Pelabuhan '!$A:$C,3,TRUE)</f>
        <v>P10</v>
      </c>
    </row>
    <row r="522" spans="1:5" x14ac:dyDescent="0.25">
      <c r="A522">
        <f t="shared" si="8"/>
        <v>16</v>
      </c>
      <c r="B522">
        <v>11</v>
      </c>
      <c r="C522" s="1">
        <v>1576013</v>
      </c>
      <c r="D522" s="4" t="str">
        <f>VLOOKUP('Flow2 '!A522,'ALokasi Pelabuhan '!$A:$C,3,TRUE)</f>
        <v>P6</v>
      </c>
      <c r="E522" s="4" t="str">
        <f>VLOOKUP('Flow2 '!B522,'ALokasi Pelabuhan '!$A:$C,3,TRUE)</f>
        <v>P11</v>
      </c>
    </row>
    <row r="523" spans="1:5" x14ac:dyDescent="0.25">
      <c r="A523">
        <f t="shared" si="8"/>
        <v>16</v>
      </c>
      <c r="B523">
        <v>12</v>
      </c>
      <c r="C523" s="1">
        <v>3404243</v>
      </c>
      <c r="D523" s="4" t="str">
        <f>VLOOKUP('Flow2 '!A523,'ALokasi Pelabuhan '!$A:$C,3,TRUE)</f>
        <v>P6</v>
      </c>
      <c r="E523" s="4" t="str">
        <f>VLOOKUP('Flow2 '!B523,'ALokasi Pelabuhan '!$A:$C,3,TRUE)</f>
        <v>P13</v>
      </c>
    </row>
    <row r="524" spans="1:5" x14ac:dyDescent="0.25">
      <c r="A524">
        <f t="shared" si="8"/>
        <v>16</v>
      </c>
      <c r="B524">
        <v>13</v>
      </c>
      <c r="C524" s="1">
        <v>691372</v>
      </c>
      <c r="D524" s="4" t="str">
        <f>VLOOKUP('Flow2 '!A524,'ALokasi Pelabuhan '!$A:$C,3,TRUE)</f>
        <v>P6</v>
      </c>
      <c r="E524" s="4" t="str">
        <f>VLOOKUP('Flow2 '!B524,'ALokasi Pelabuhan '!$A:$C,3,TRUE)</f>
        <v>P12</v>
      </c>
    </row>
    <row r="525" spans="1:5" x14ac:dyDescent="0.25">
      <c r="A525">
        <f t="shared" si="8"/>
        <v>16</v>
      </c>
      <c r="B525">
        <v>14</v>
      </c>
      <c r="C525" s="1">
        <v>67589</v>
      </c>
      <c r="D525" s="4" t="str">
        <f>VLOOKUP('Flow2 '!A525,'ALokasi Pelabuhan '!$A:$C,3,TRUE)</f>
        <v>P6</v>
      </c>
      <c r="E525" s="4" t="str">
        <f>VLOOKUP('Flow2 '!B525,'ALokasi Pelabuhan '!$A:$C,3,TRUE)</f>
        <v>P14</v>
      </c>
    </row>
    <row r="526" spans="1:5" x14ac:dyDescent="0.25">
      <c r="A526">
        <f t="shared" si="8"/>
        <v>16</v>
      </c>
      <c r="B526">
        <v>15</v>
      </c>
      <c r="C526" s="1">
        <v>535670</v>
      </c>
      <c r="D526" s="4" t="str">
        <f>VLOOKUP('Flow2 '!A526,'ALokasi Pelabuhan '!$A:$C,3,TRUE)</f>
        <v>P6</v>
      </c>
      <c r="E526" s="4" t="str">
        <f>VLOOKUP('Flow2 '!B526,'ALokasi Pelabuhan '!$A:$C,3,TRUE)</f>
        <v>P15</v>
      </c>
    </row>
    <row r="527" spans="1:5" x14ac:dyDescent="0.25">
      <c r="A527">
        <f t="shared" si="8"/>
        <v>16</v>
      </c>
      <c r="B527">
        <v>16</v>
      </c>
      <c r="C527" s="1">
        <v>3757691</v>
      </c>
      <c r="D527" s="4" t="str">
        <f>VLOOKUP('Flow2 '!A527,'ALokasi Pelabuhan '!$A:$C,3,TRUE)</f>
        <v>P6</v>
      </c>
      <c r="E527" s="4" t="str">
        <f>VLOOKUP('Flow2 '!B527,'ALokasi Pelabuhan '!$A:$C,3,TRUE)</f>
        <v>P6</v>
      </c>
    </row>
    <row r="528" spans="1:5" x14ac:dyDescent="0.25">
      <c r="A528">
        <f t="shared" si="8"/>
        <v>16</v>
      </c>
      <c r="B528">
        <v>17</v>
      </c>
      <c r="C528" s="1">
        <v>41061</v>
      </c>
      <c r="D528" s="4" t="str">
        <f>VLOOKUP('Flow2 '!A528,'ALokasi Pelabuhan '!$A:$C,3,TRUE)</f>
        <v>P6</v>
      </c>
      <c r="E528" s="4" t="str">
        <f>VLOOKUP('Flow2 '!B528,'ALokasi Pelabuhan '!$A:$C,3,TRUE)</f>
        <v>P3</v>
      </c>
    </row>
    <row r="529" spans="1:5" x14ac:dyDescent="0.25">
      <c r="A529">
        <f t="shared" si="8"/>
        <v>16</v>
      </c>
      <c r="B529">
        <v>18</v>
      </c>
      <c r="C529" s="1">
        <v>45267</v>
      </c>
      <c r="D529" s="4" t="str">
        <f>VLOOKUP('Flow2 '!A529,'ALokasi Pelabuhan '!$A:$C,3,TRUE)</f>
        <v>P6</v>
      </c>
      <c r="E529" s="4" t="str">
        <f>VLOOKUP('Flow2 '!B529,'ALokasi Pelabuhan '!$A:$C,3,TRUE)</f>
        <v>P7</v>
      </c>
    </row>
    <row r="530" spans="1:5" x14ac:dyDescent="0.25">
      <c r="A530">
        <f t="shared" si="8"/>
        <v>16</v>
      </c>
      <c r="B530">
        <v>19</v>
      </c>
      <c r="C530" s="1">
        <v>46724</v>
      </c>
      <c r="D530" s="4" t="str">
        <f>VLOOKUP('Flow2 '!A530,'ALokasi Pelabuhan '!$A:$C,3,TRUE)</f>
        <v>P6</v>
      </c>
      <c r="E530" s="4" t="str">
        <f>VLOOKUP('Flow2 '!B530,'ALokasi Pelabuhan '!$A:$C,3,TRUE)</f>
        <v>P22</v>
      </c>
    </row>
    <row r="531" spans="1:5" x14ac:dyDescent="0.25">
      <c r="A531">
        <f t="shared" si="8"/>
        <v>16</v>
      </c>
      <c r="B531">
        <v>20</v>
      </c>
      <c r="C531" s="1">
        <v>63934</v>
      </c>
      <c r="D531" s="4" t="str">
        <f>VLOOKUP('Flow2 '!A531,'ALokasi Pelabuhan '!$A:$C,3,TRUE)</f>
        <v>P6</v>
      </c>
      <c r="E531" s="4" t="str">
        <f>VLOOKUP('Flow2 '!B531,'ALokasi Pelabuhan '!$A:$C,3,TRUE)</f>
        <v>P21</v>
      </c>
    </row>
    <row r="532" spans="1:5" x14ac:dyDescent="0.25">
      <c r="A532">
        <f t="shared" si="8"/>
        <v>16</v>
      </c>
      <c r="B532">
        <v>21</v>
      </c>
      <c r="C532" s="1">
        <v>33183</v>
      </c>
      <c r="D532" s="4" t="str">
        <f>VLOOKUP('Flow2 '!A532,'ALokasi Pelabuhan '!$A:$C,3,TRUE)</f>
        <v>P6</v>
      </c>
      <c r="E532" s="4" t="str">
        <f>VLOOKUP('Flow2 '!B532,'ALokasi Pelabuhan '!$A:$C,3,TRUE)</f>
        <v>P20</v>
      </c>
    </row>
    <row r="533" spans="1:5" x14ac:dyDescent="0.25">
      <c r="A533">
        <f t="shared" si="8"/>
        <v>16</v>
      </c>
      <c r="B533">
        <v>22</v>
      </c>
      <c r="C533" s="1">
        <v>41710</v>
      </c>
      <c r="D533" s="4" t="str">
        <f>VLOOKUP('Flow2 '!A533,'ALokasi Pelabuhan '!$A:$C,3,TRUE)</f>
        <v>P6</v>
      </c>
      <c r="E533" s="4" t="str">
        <f>VLOOKUP('Flow2 '!B533,'ALokasi Pelabuhan '!$A:$C,3,TRUE)</f>
        <v>P20</v>
      </c>
    </row>
    <row r="534" spans="1:5" x14ac:dyDescent="0.25">
      <c r="A534">
        <f t="shared" si="8"/>
        <v>16</v>
      </c>
      <c r="B534">
        <v>23</v>
      </c>
      <c r="C534" s="1">
        <v>28235</v>
      </c>
      <c r="D534" s="4" t="str">
        <f>VLOOKUP('Flow2 '!A534,'ALokasi Pelabuhan '!$A:$C,3,TRUE)</f>
        <v>P6</v>
      </c>
      <c r="E534" s="4" t="str">
        <f>VLOOKUP('Flow2 '!B534,'ALokasi Pelabuhan '!$A:$C,3,TRUE)</f>
        <v>P24</v>
      </c>
    </row>
    <row r="535" spans="1:5" x14ac:dyDescent="0.25">
      <c r="A535">
        <f t="shared" si="8"/>
        <v>16</v>
      </c>
      <c r="B535">
        <v>24</v>
      </c>
      <c r="C535" s="1">
        <v>4266</v>
      </c>
      <c r="D535" s="4" t="str">
        <f>VLOOKUP('Flow2 '!A535,'ALokasi Pelabuhan '!$A:$C,3,TRUE)</f>
        <v>P6</v>
      </c>
      <c r="E535" s="4" t="str">
        <f>VLOOKUP('Flow2 '!B535,'ALokasi Pelabuhan '!$A:$C,3,TRUE)</f>
        <v>P23</v>
      </c>
    </row>
    <row r="536" spans="1:5" x14ac:dyDescent="0.25">
      <c r="A536">
        <f t="shared" si="8"/>
        <v>16</v>
      </c>
      <c r="B536">
        <v>25</v>
      </c>
      <c r="C536" s="1">
        <v>13908</v>
      </c>
      <c r="D536" s="4" t="str">
        <f>VLOOKUP('Flow2 '!A536,'ALokasi Pelabuhan '!$A:$C,3,TRUE)</f>
        <v>P6</v>
      </c>
      <c r="E536" s="4" t="str">
        <f>VLOOKUP('Flow2 '!B536,'ALokasi Pelabuhan '!$A:$C,3,TRUE)</f>
        <v>P2</v>
      </c>
    </row>
    <row r="537" spans="1:5" x14ac:dyDescent="0.25">
      <c r="A537">
        <f t="shared" si="8"/>
        <v>16</v>
      </c>
      <c r="B537">
        <v>26</v>
      </c>
      <c r="C537" s="1">
        <v>21560</v>
      </c>
      <c r="D537" s="4" t="str">
        <f>VLOOKUP('Flow2 '!A537,'ALokasi Pelabuhan '!$A:$C,3,TRUE)</f>
        <v>P6</v>
      </c>
      <c r="E537" s="4" t="str">
        <f>VLOOKUP('Flow2 '!B537,'ALokasi Pelabuhan '!$A:$C,3,TRUE)</f>
        <v>P17</v>
      </c>
    </row>
    <row r="538" spans="1:5" x14ac:dyDescent="0.25">
      <c r="A538">
        <f t="shared" si="8"/>
        <v>16</v>
      </c>
      <c r="B538">
        <v>27</v>
      </c>
      <c r="C538" s="1">
        <v>63786</v>
      </c>
      <c r="D538" s="4" t="str">
        <f>VLOOKUP('Flow2 '!A538,'ALokasi Pelabuhan '!$A:$C,3,TRUE)</f>
        <v>P6</v>
      </c>
      <c r="E538" s="4" t="str">
        <f>VLOOKUP('Flow2 '!B538,'ALokasi Pelabuhan '!$A:$C,3,TRUE)</f>
        <v>P17</v>
      </c>
    </row>
    <row r="539" spans="1:5" x14ac:dyDescent="0.25">
      <c r="A539">
        <f t="shared" si="8"/>
        <v>16</v>
      </c>
      <c r="B539">
        <v>28</v>
      </c>
      <c r="C539" s="1">
        <v>19451</v>
      </c>
      <c r="D539" s="4" t="str">
        <f>VLOOKUP('Flow2 '!A539,'ALokasi Pelabuhan '!$A:$C,3,TRUE)</f>
        <v>P6</v>
      </c>
      <c r="E539" s="4" t="str">
        <f>VLOOKUP('Flow2 '!B539,'ALokasi Pelabuhan '!$A:$C,3,TRUE)</f>
        <v>P16</v>
      </c>
    </row>
    <row r="540" spans="1:5" x14ac:dyDescent="0.25">
      <c r="A540">
        <f t="shared" si="8"/>
        <v>16</v>
      </c>
      <c r="B540">
        <v>29</v>
      </c>
      <c r="C540" s="1">
        <v>6398</v>
      </c>
      <c r="D540" s="4" t="str">
        <f>VLOOKUP('Flow2 '!A540,'ALokasi Pelabuhan '!$A:$C,3,TRUE)</f>
        <v>P6</v>
      </c>
      <c r="E540" s="4" t="str">
        <f>VLOOKUP('Flow2 '!B540,'ALokasi Pelabuhan '!$A:$C,3,TRUE)</f>
        <v>P18</v>
      </c>
    </row>
    <row r="541" spans="1:5" x14ac:dyDescent="0.25">
      <c r="A541">
        <f t="shared" si="8"/>
        <v>16</v>
      </c>
      <c r="B541">
        <v>30</v>
      </c>
      <c r="C541" s="1">
        <v>11816</v>
      </c>
      <c r="D541" s="4" t="str">
        <f>VLOOKUP('Flow2 '!A541,'ALokasi Pelabuhan '!$A:$C,3,TRUE)</f>
        <v>P6</v>
      </c>
      <c r="E541" s="4" t="str">
        <f>VLOOKUP('Flow2 '!B541,'ALokasi Pelabuhan '!$A:$C,3,TRUE)</f>
        <v>P19</v>
      </c>
    </row>
    <row r="542" spans="1:5" x14ac:dyDescent="0.25">
      <c r="A542">
        <f t="shared" si="8"/>
        <v>16</v>
      </c>
      <c r="B542">
        <v>31</v>
      </c>
      <c r="C542" s="1">
        <v>13998</v>
      </c>
      <c r="D542" s="4" t="str">
        <f>VLOOKUP('Flow2 '!A542,'ALokasi Pelabuhan '!$A:$C,3,TRUE)</f>
        <v>P6</v>
      </c>
      <c r="E542" s="4" t="str">
        <f>VLOOKUP('Flow2 '!B542,'ALokasi Pelabuhan '!$A:$C,3,TRUE)</f>
        <v>P4</v>
      </c>
    </row>
    <row r="543" spans="1:5" x14ac:dyDescent="0.25">
      <c r="A543">
        <f t="shared" si="8"/>
        <v>16</v>
      </c>
      <c r="B543">
        <v>32</v>
      </c>
      <c r="C543" s="1">
        <v>8013</v>
      </c>
      <c r="D543" s="4" t="str">
        <f>VLOOKUP('Flow2 '!A543,'ALokasi Pelabuhan '!$A:$C,3,TRUE)</f>
        <v>P6</v>
      </c>
      <c r="E543" s="4" t="str">
        <f>VLOOKUP('Flow2 '!B543,'ALokasi Pelabuhan '!$A:$C,3,TRUE)</f>
        <v>P6</v>
      </c>
    </row>
    <row r="544" spans="1:5" x14ac:dyDescent="0.25">
      <c r="A544">
        <f t="shared" si="8"/>
        <v>16</v>
      </c>
      <c r="B544">
        <v>33</v>
      </c>
      <c r="C544" s="1">
        <v>3250.3271405670002</v>
      </c>
      <c r="D544" s="4" t="str">
        <f>VLOOKUP('Flow2 '!A544,'ALokasi Pelabuhan '!$A:$C,3,TRUE)</f>
        <v>P6</v>
      </c>
      <c r="E544" s="4" t="str">
        <f>VLOOKUP('Flow2 '!B544,'ALokasi Pelabuhan '!$A:$C,3,TRUE)</f>
        <v>P2</v>
      </c>
    </row>
    <row r="545" spans="1:5" x14ac:dyDescent="0.25">
      <c r="A545">
        <f t="shared" si="8"/>
        <v>16</v>
      </c>
      <c r="B545">
        <v>34</v>
      </c>
      <c r="C545" s="1">
        <v>11669.672859433003</v>
      </c>
      <c r="D545" s="4" t="str">
        <f>VLOOKUP('Flow2 '!A545,'ALokasi Pelabuhan '!$A:$C,3,TRUE)</f>
        <v>P6</v>
      </c>
      <c r="E545" s="4" t="str">
        <f>VLOOKUP('Flow2 '!B545,'ALokasi Pelabuhan '!$A:$C,3,TRUE)</f>
        <v>P9</v>
      </c>
    </row>
    <row r="546" spans="1:5" x14ac:dyDescent="0.25">
      <c r="A546">
        <f t="shared" si="8"/>
        <v>17</v>
      </c>
      <c r="B546">
        <v>1</v>
      </c>
      <c r="C546" s="1">
        <v>22048</v>
      </c>
      <c r="D546" s="4" t="str">
        <f>VLOOKUP('Flow2 '!A546,'ALokasi Pelabuhan '!$A:$C,3,TRUE)</f>
        <v>P3</v>
      </c>
      <c r="E546" s="4" t="str">
        <f>VLOOKUP('Flow2 '!B546,'ALokasi Pelabuhan '!$A:$C,3,TRUE)</f>
        <v>P1</v>
      </c>
    </row>
    <row r="547" spans="1:5" x14ac:dyDescent="0.25">
      <c r="A547">
        <f t="shared" si="8"/>
        <v>17</v>
      </c>
      <c r="B547">
        <v>2</v>
      </c>
      <c r="C547" s="1">
        <v>49444</v>
      </c>
      <c r="D547" s="4" t="str">
        <f>VLOOKUP('Flow2 '!A547,'ALokasi Pelabuhan '!$A:$C,3,TRUE)</f>
        <v>P3</v>
      </c>
      <c r="E547" s="4" t="str">
        <f>VLOOKUP('Flow2 '!B547,'ALokasi Pelabuhan '!$A:$C,3,TRUE)</f>
        <v>P10</v>
      </c>
    </row>
    <row r="548" spans="1:5" x14ac:dyDescent="0.25">
      <c r="A548">
        <f t="shared" si="8"/>
        <v>17</v>
      </c>
      <c r="B548">
        <v>3</v>
      </c>
      <c r="C548" s="1">
        <v>26900</v>
      </c>
      <c r="D548" s="4" t="str">
        <f>VLOOKUP('Flow2 '!A548,'ALokasi Pelabuhan '!$A:$C,3,TRUE)</f>
        <v>P3</v>
      </c>
      <c r="E548" s="4" t="str">
        <f>VLOOKUP('Flow2 '!B548,'ALokasi Pelabuhan '!$A:$C,3,TRUE)</f>
        <v>P8</v>
      </c>
    </row>
    <row r="549" spans="1:5" x14ac:dyDescent="0.25">
      <c r="A549">
        <f t="shared" si="8"/>
        <v>17</v>
      </c>
      <c r="B549">
        <v>4</v>
      </c>
      <c r="C549" s="1">
        <v>36826</v>
      </c>
      <c r="D549" s="4" t="str">
        <f>VLOOKUP('Flow2 '!A549,'ALokasi Pelabuhan '!$A:$C,3,TRUE)</f>
        <v>P3</v>
      </c>
      <c r="E549" s="4" t="str">
        <f>VLOOKUP('Flow2 '!B549,'ALokasi Pelabuhan '!$A:$C,3,TRUE)</f>
        <v>P4</v>
      </c>
    </row>
    <row r="550" spans="1:5" x14ac:dyDescent="0.25">
      <c r="A550">
        <f t="shared" si="8"/>
        <v>17</v>
      </c>
      <c r="B550">
        <v>5</v>
      </c>
      <c r="C550" s="1">
        <v>25957</v>
      </c>
      <c r="D550" s="4" t="str">
        <f>VLOOKUP('Flow2 '!A550,'ALokasi Pelabuhan '!$A:$C,3,TRUE)</f>
        <v>P3</v>
      </c>
      <c r="E550" s="4" t="str">
        <f>VLOOKUP('Flow2 '!B550,'ALokasi Pelabuhan '!$A:$C,3,TRUE)</f>
        <v>P19</v>
      </c>
    </row>
    <row r="551" spans="1:5" x14ac:dyDescent="0.25">
      <c r="A551">
        <f t="shared" si="8"/>
        <v>17</v>
      </c>
      <c r="B551">
        <v>6</v>
      </c>
      <c r="C551" s="1">
        <v>45656</v>
      </c>
      <c r="D551" s="4" t="str">
        <f>VLOOKUP('Flow2 '!A551,'ALokasi Pelabuhan '!$A:$C,3,TRUE)</f>
        <v>P3</v>
      </c>
      <c r="E551" s="4" t="str">
        <f>VLOOKUP('Flow2 '!B551,'ALokasi Pelabuhan '!$A:$C,3,TRUE)</f>
        <v>P8</v>
      </c>
    </row>
    <row r="552" spans="1:5" x14ac:dyDescent="0.25">
      <c r="A552">
        <f t="shared" si="8"/>
        <v>17</v>
      </c>
      <c r="B552">
        <v>7</v>
      </c>
      <c r="C552" s="1">
        <v>14395</v>
      </c>
      <c r="D552" s="4" t="str">
        <f>VLOOKUP('Flow2 '!A552,'ALokasi Pelabuhan '!$A:$C,3,TRUE)</f>
        <v>P3</v>
      </c>
      <c r="E552" s="4" t="str">
        <f>VLOOKUP('Flow2 '!B552,'ALokasi Pelabuhan '!$A:$C,3,TRUE)</f>
        <v>P5</v>
      </c>
    </row>
    <row r="553" spans="1:5" x14ac:dyDescent="0.25">
      <c r="A553">
        <f t="shared" si="8"/>
        <v>17</v>
      </c>
      <c r="B553">
        <v>8</v>
      </c>
      <c r="C553" s="1">
        <v>53478</v>
      </c>
      <c r="D553" s="4" t="str">
        <f>VLOOKUP('Flow2 '!A553,'ALokasi Pelabuhan '!$A:$C,3,TRUE)</f>
        <v>P3</v>
      </c>
      <c r="E553" s="4" t="str">
        <f>VLOOKUP('Flow2 '!B553,'ALokasi Pelabuhan '!$A:$C,3,TRUE)</f>
        <v>P8</v>
      </c>
    </row>
    <row r="554" spans="1:5" x14ac:dyDescent="0.25">
      <c r="A554">
        <f t="shared" si="8"/>
        <v>17</v>
      </c>
      <c r="B554">
        <v>9</v>
      </c>
      <c r="C554" s="1">
        <v>10438</v>
      </c>
      <c r="D554" s="4" t="str">
        <f>VLOOKUP('Flow2 '!A554,'ALokasi Pelabuhan '!$A:$C,3,TRUE)</f>
        <v>P3</v>
      </c>
      <c r="E554" s="4" t="str">
        <f>VLOOKUP('Flow2 '!B554,'ALokasi Pelabuhan '!$A:$C,3,TRUE)</f>
        <v>P9</v>
      </c>
    </row>
    <row r="555" spans="1:5" x14ac:dyDescent="0.25">
      <c r="A555">
        <f t="shared" si="8"/>
        <v>17</v>
      </c>
      <c r="B555">
        <v>10</v>
      </c>
      <c r="C555" s="1">
        <v>10932</v>
      </c>
      <c r="D555" s="4" t="str">
        <f>VLOOKUP('Flow2 '!A555,'ALokasi Pelabuhan '!$A:$C,3,TRUE)</f>
        <v>P3</v>
      </c>
      <c r="E555" s="4" t="str">
        <f>VLOOKUP('Flow2 '!B555,'ALokasi Pelabuhan '!$A:$C,3,TRUE)</f>
        <v>P10</v>
      </c>
    </row>
    <row r="556" spans="1:5" x14ac:dyDescent="0.25">
      <c r="A556">
        <f t="shared" si="8"/>
        <v>17</v>
      </c>
      <c r="B556">
        <v>11</v>
      </c>
      <c r="C556" s="1">
        <v>84873</v>
      </c>
      <c r="D556" s="4" t="str">
        <f>VLOOKUP('Flow2 '!A556,'ALokasi Pelabuhan '!$A:$C,3,TRUE)</f>
        <v>P3</v>
      </c>
      <c r="E556" s="4" t="str">
        <f>VLOOKUP('Flow2 '!B556,'ALokasi Pelabuhan '!$A:$C,3,TRUE)</f>
        <v>P11</v>
      </c>
    </row>
    <row r="557" spans="1:5" x14ac:dyDescent="0.25">
      <c r="A557">
        <f t="shared" si="8"/>
        <v>17</v>
      </c>
      <c r="B557">
        <v>12</v>
      </c>
      <c r="C557" s="1">
        <v>386004</v>
      </c>
      <c r="D557" s="4" t="str">
        <f>VLOOKUP('Flow2 '!A557,'ALokasi Pelabuhan '!$A:$C,3,TRUE)</f>
        <v>P3</v>
      </c>
      <c r="E557" s="4" t="str">
        <f>VLOOKUP('Flow2 '!B557,'ALokasi Pelabuhan '!$A:$C,3,TRUE)</f>
        <v>P13</v>
      </c>
    </row>
    <row r="558" spans="1:5" x14ac:dyDescent="0.25">
      <c r="A558">
        <f t="shared" si="8"/>
        <v>17</v>
      </c>
      <c r="B558">
        <v>13</v>
      </c>
      <c r="C558" s="1">
        <v>402975</v>
      </c>
      <c r="D558" s="4" t="str">
        <f>VLOOKUP('Flow2 '!A558,'ALokasi Pelabuhan '!$A:$C,3,TRUE)</f>
        <v>P3</v>
      </c>
      <c r="E558" s="4" t="str">
        <f>VLOOKUP('Flow2 '!B558,'ALokasi Pelabuhan '!$A:$C,3,TRUE)</f>
        <v>P12</v>
      </c>
    </row>
    <row r="559" spans="1:5" x14ac:dyDescent="0.25">
      <c r="A559">
        <f t="shared" si="8"/>
        <v>17</v>
      </c>
      <c r="B559">
        <v>14</v>
      </c>
      <c r="C559" s="1">
        <v>46922</v>
      </c>
      <c r="D559" s="4" t="str">
        <f>VLOOKUP('Flow2 '!A559,'ALokasi Pelabuhan '!$A:$C,3,TRUE)</f>
        <v>P3</v>
      </c>
      <c r="E559" s="4" t="str">
        <f>VLOOKUP('Flow2 '!B559,'ALokasi Pelabuhan '!$A:$C,3,TRUE)</f>
        <v>P14</v>
      </c>
    </row>
    <row r="560" spans="1:5" x14ac:dyDescent="0.25">
      <c r="A560">
        <f t="shared" si="8"/>
        <v>17</v>
      </c>
      <c r="B560">
        <v>15</v>
      </c>
      <c r="C560" s="1">
        <v>1133946</v>
      </c>
      <c r="D560" s="4" t="str">
        <f>VLOOKUP('Flow2 '!A560,'ALokasi Pelabuhan '!$A:$C,3,TRUE)</f>
        <v>P3</v>
      </c>
      <c r="E560" s="4" t="str">
        <f>VLOOKUP('Flow2 '!B560,'ALokasi Pelabuhan '!$A:$C,3,TRUE)</f>
        <v>P15</v>
      </c>
    </row>
    <row r="561" spans="1:5" x14ac:dyDescent="0.25">
      <c r="A561">
        <f t="shared" si="8"/>
        <v>17</v>
      </c>
      <c r="B561">
        <v>16</v>
      </c>
      <c r="C561" s="1">
        <v>98140</v>
      </c>
      <c r="D561" s="4" t="str">
        <f>VLOOKUP('Flow2 '!A561,'ALokasi Pelabuhan '!$A:$C,3,TRUE)</f>
        <v>P3</v>
      </c>
      <c r="E561" s="4" t="str">
        <f>VLOOKUP('Flow2 '!B561,'ALokasi Pelabuhan '!$A:$C,3,TRUE)</f>
        <v>P6</v>
      </c>
    </row>
    <row r="562" spans="1:5" x14ac:dyDescent="0.25">
      <c r="A562">
        <f t="shared" si="8"/>
        <v>17</v>
      </c>
      <c r="B562">
        <v>17</v>
      </c>
      <c r="C562" s="1">
        <v>1502284</v>
      </c>
      <c r="D562" s="4" t="str">
        <f>VLOOKUP('Flow2 '!A562,'ALokasi Pelabuhan '!$A:$C,3,TRUE)</f>
        <v>P3</v>
      </c>
      <c r="E562" s="4" t="str">
        <f>VLOOKUP('Flow2 '!B562,'ALokasi Pelabuhan '!$A:$C,3,TRUE)</f>
        <v>P3</v>
      </c>
    </row>
    <row r="563" spans="1:5" x14ac:dyDescent="0.25">
      <c r="A563">
        <f t="shared" si="8"/>
        <v>17</v>
      </c>
      <c r="B563">
        <v>18</v>
      </c>
      <c r="C563" s="1">
        <v>261982</v>
      </c>
      <c r="D563" s="4" t="str">
        <f>VLOOKUP('Flow2 '!A563,'ALokasi Pelabuhan '!$A:$C,3,TRUE)</f>
        <v>P3</v>
      </c>
      <c r="E563" s="4" t="str">
        <f>VLOOKUP('Flow2 '!B563,'ALokasi Pelabuhan '!$A:$C,3,TRUE)</f>
        <v>P7</v>
      </c>
    </row>
    <row r="564" spans="1:5" x14ac:dyDescent="0.25">
      <c r="A564">
        <f t="shared" si="8"/>
        <v>17</v>
      </c>
      <c r="B564">
        <v>19</v>
      </c>
      <c r="C564" s="1">
        <v>79370</v>
      </c>
      <c r="D564" s="4" t="str">
        <f>VLOOKUP('Flow2 '!A564,'ALokasi Pelabuhan '!$A:$C,3,TRUE)</f>
        <v>P3</v>
      </c>
      <c r="E564" s="4" t="str">
        <f>VLOOKUP('Flow2 '!B564,'ALokasi Pelabuhan '!$A:$C,3,TRUE)</f>
        <v>P22</v>
      </c>
    </row>
    <row r="565" spans="1:5" x14ac:dyDescent="0.25">
      <c r="A565">
        <f t="shared" si="8"/>
        <v>17</v>
      </c>
      <c r="B565">
        <v>20</v>
      </c>
      <c r="C565" s="1">
        <v>41247</v>
      </c>
      <c r="D565" s="4" t="str">
        <f>VLOOKUP('Flow2 '!A565,'ALokasi Pelabuhan '!$A:$C,3,TRUE)</f>
        <v>P3</v>
      </c>
      <c r="E565" s="4" t="str">
        <f>VLOOKUP('Flow2 '!B565,'ALokasi Pelabuhan '!$A:$C,3,TRUE)</f>
        <v>P21</v>
      </c>
    </row>
    <row r="566" spans="1:5" x14ac:dyDescent="0.25">
      <c r="A566">
        <f t="shared" si="8"/>
        <v>17</v>
      </c>
      <c r="B566">
        <v>21</v>
      </c>
      <c r="C566" s="1">
        <v>31672</v>
      </c>
      <c r="D566" s="4" t="str">
        <f>VLOOKUP('Flow2 '!A566,'ALokasi Pelabuhan '!$A:$C,3,TRUE)</f>
        <v>P3</v>
      </c>
      <c r="E566" s="4" t="str">
        <f>VLOOKUP('Flow2 '!B566,'ALokasi Pelabuhan '!$A:$C,3,TRUE)</f>
        <v>P20</v>
      </c>
    </row>
    <row r="567" spans="1:5" x14ac:dyDescent="0.25">
      <c r="A567">
        <f t="shared" si="8"/>
        <v>17</v>
      </c>
      <c r="B567">
        <v>22</v>
      </c>
      <c r="C567" s="1">
        <v>57057</v>
      </c>
      <c r="D567" s="4" t="str">
        <f>VLOOKUP('Flow2 '!A567,'ALokasi Pelabuhan '!$A:$C,3,TRUE)</f>
        <v>P3</v>
      </c>
      <c r="E567" s="4" t="str">
        <f>VLOOKUP('Flow2 '!B567,'ALokasi Pelabuhan '!$A:$C,3,TRUE)</f>
        <v>P20</v>
      </c>
    </row>
    <row r="568" spans="1:5" x14ac:dyDescent="0.25">
      <c r="A568">
        <f t="shared" si="8"/>
        <v>17</v>
      </c>
      <c r="B568">
        <v>23</v>
      </c>
      <c r="C568" s="1">
        <v>30965</v>
      </c>
      <c r="D568" s="4" t="str">
        <f>VLOOKUP('Flow2 '!A568,'ALokasi Pelabuhan '!$A:$C,3,TRUE)</f>
        <v>P3</v>
      </c>
      <c r="E568" s="4" t="str">
        <f>VLOOKUP('Flow2 '!B568,'ALokasi Pelabuhan '!$A:$C,3,TRUE)</f>
        <v>P24</v>
      </c>
    </row>
    <row r="569" spans="1:5" x14ac:dyDescent="0.25">
      <c r="A569">
        <f t="shared" si="8"/>
        <v>17</v>
      </c>
      <c r="B569">
        <v>24</v>
      </c>
      <c r="C569" s="1">
        <v>3716</v>
      </c>
      <c r="D569" s="4" t="str">
        <f>VLOOKUP('Flow2 '!A569,'ALokasi Pelabuhan '!$A:$C,3,TRUE)</f>
        <v>P3</v>
      </c>
      <c r="E569" s="4" t="str">
        <f>VLOOKUP('Flow2 '!B569,'ALokasi Pelabuhan '!$A:$C,3,TRUE)</f>
        <v>P23</v>
      </c>
    </row>
    <row r="570" spans="1:5" x14ac:dyDescent="0.25">
      <c r="A570">
        <f t="shared" si="8"/>
        <v>17</v>
      </c>
      <c r="B570">
        <v>25</v>
      </c>
      <c r="C570" s="1">
        <v>16267</v>
      </c>
      <c r="D570" s="4" t="str">
        <f>VLOOKUP('Flow2 '!A570,'ALokasi Pelabuhan '!$A:$C,3,TRUE)</f>
        <v>P3</v>
      </c>
      <c r="E570" s="4" t="str">
        <f>VLOOKUP('Flow2 '!B570,'ALokasi Pelabuhan '!$A:$C,3,TRUE)</f>
        <v>P2</v>
      </c>
    </row>
    <row r="571" spans="1:5" x14ac:dyDescent="0.25">
      <c r="A571">
        <f t="shared" si="8"/>
        <v>17</v>
      </c>
      <c r="B571">
        <v>26</v>
      </c>
      <c r="C571" s="1">
        <v>25922</v>
      </c>
      <c r="D571" s="4" t="str">
        <f>VLOOKUP('Flow2 '!A571,'ALokasi Pelabuhan '!$A:$C,3,TRUE)</f>
        <v>P3</v>
      </c>
      <c r="E571" s="4" t="str">
        <f>VLOOKUP('Flow2 '!B571,'ALokasi Pelabuhan '!$A:$C,3,TRUE)</f>
        <v>P17</v>
      </c>
    </row>
    <row r="572" spans="1:5" x14ac:dyDescent="0.25">
      <c r="A572">
        <f t="shared" si="8"/>
        <v>17</v>
      </c>
      <c r="B572">
        <v>27</v>
      </c>
      <c r="C572" s="1">
        <v>103408</v>
      </c>
      <c r="D572" s="4" t="str">
        <f>VLOOKUP('Flow2 '!A572,'ALokasi Pelabuhan '!$A:$C,3,TRUE)</f>
        <v>P3</v>
      </c>
      <c r="E572" s="4" t="str">
        <f>VLOOKUP('Flow2 '!B572,'ALokasi Pelabuhan '!$A:$C,3,TRUE)</f>
        <v>P17</v>
      </c>
    </row>
    <row r="573" spans="1:5" x14ac:dyDescent="0.25">
      <c r="A573">
        <f t="shared" si="8"/>
        <v>17</v>
      </c>
      <c r="B573">
        <v>28</v>
      </c>
      <c r="C573" s="1">
        <v>27655</v>
      </c>
      <c r="D573" s="4" t="str">
        <f>VLOOKUP('Flow2 '!A573,'ALokasi Pelabuhan '!$A:$C,3,TRUE)</f>
        <v>P3</v>
      </c>
      <c r="E573" s="4" t="str">
        <f>VLOOKUP('Flow2 '!B573,'ALokasi Pelabuhan '!$A:$C,3,TRUE)</f>
        <v>P16</v>
      </c>
    </row>
    <row r="574" spans="1:5" x14ac:dyDescent="0.25">
      <c r="A574">
        <f t="shared" si="8"/>
        <v>17</v>
      </c>
      <c r="B574">
        <v>29</v>
      </c>
      <c r="C574" s="1">
        <v>7420</v>
      </c>
      <c r="D574" s="4" t="str">
        <f>VLOOKUP('Flow2 '!A574,'ALokasi Pelabuhan '!$A:$C,3,TRUE)</f>
        <v>P3</v>
      </c>
      <c r="E574" s="4" t="str">
        <f>VLOOKUP('Flow2 '!B574,'ALokasi Pelabuhan '!$A:$C,3,TRUE)</f>
        <v>P18</v>
      </c>
    </row>
    <row r="575" spans="1:5" x14ac:dyDescent="0.25">
      <c r="A575">
        <f t="shared" si="8"/>
        <v>17</v>
      </c>
      <c r="B575">
        <v>30</v>
      </c>
      <c r="C575" s="1">
        <v>15312</v>
      </c>
      <c r="D575" s="4" t="str">
        <f>VLOOKUP('Flow2 '!A575,'ALokasi Pelabuhan '!$A:$C,3,TRUE)</f>
        <v>P3</v>
      </c>
      <c r="E575" s="4" t="str">
        <f>VLOOKUP('Flow2 '!B575,'ALokasi Pelabuhan '!$A:$C,3,TRUE)</f>
        <v>P19</v>
      </c>
    </row>
    <row r="576" spans="1:5" x14ac:dyDescent="0.25">
      <c r="A576">
        <f t="shared" si="8"/>
        <v>17</v>
      </c>
      <c r="B576">
        <v>31</v>
      </c>
      <c r="C576" s="1">
        <v>15559</v>
      </c>
      <c r="D576" s="4" t="str">
        <f>VLOOKUP('Flow2 '!A576,'ALokasi Pelabuhan '!$A:$C,3,TRUE)</f>
        <v>P3</v>
      </c>
      <c r="E576" s="4" t="str">
        <f>VLOOKUP('Flow2 '!B576,'ALokasi Pelabuhan '!$A:$C,3,TRUE)</f>
        <v>P4</v>
      </c>
    </row>
    <row r="577" spans="1:5" x14ac:dyDescent="0.25">
      <c r="A577">
        <f t="shared" si="8"/>
        <v>17</v>
      </c>
      <c r="B577">
        <v>32</v>
      </c>
      <c r="C577" s="1">
        <v>8503</v>
      </c>
      <c r="D577" s="4" t="str">
        <f>VLOOKUP('Flow2 '!A577,'ALokasi Pelabuhan '!$A:$C,3,TRUE)</f>
        <v>P3</v>
      </c>
      <c r="E577" s="4" t="str">
        <f>VLOOKUP('Flow2 '!B577,'ALokasi Pelabuhan '!$A:$C,3,TRUE)</f>
        <v>P6</v>
      </c>
    </row>
    <row r="578" spans="1:5" x14ac:dyDescent="0.25">
      <c r="A578">
        <f t="shared" si="8"/>
        <v>17</v>
      </c>
      <c r="B578">
        <v>33</v>
      </c>
      <c r="C578" s="1">
        <v>2955.3577740570995</v>
      </c>
      <c r="D578" s="4" t="str">
        <f>VLOOKUP('Flow2 '!A578,'ALokasi Pelabuhan '!$A:$C,3,TRUE)</f>
        <v>P3</v>
      </c>
      <c r="E578" s="4" t="str">
        <f>VLOOKUP('Flow2 '!B578,'ALokasi Pelabuhan '!$A:$C,3,TRUE)</f>
        <v>P2</v>
      </c>
    </row>
    <row r="579" spans="1:5" x14ac:dyDescent="0.25">
      <c r="A579">
        <f t="shared" ref="A579:A642" si="9">INT((ROW()-ROW($A$2))/34)+1</f>
        <v>17</v>
      </c>
      <c r="B579">
        <v>34</v>
      </c>
      <c r="C579" s="1">
        <v>10610.642225942904</v>
      </c>
      <c r="D579" s="4" t="str">
        <f>VLOOKUP('Flow2 '!A579,'ALokasi Pelabuhan '!$A:$C,3,TRUE)</f>
        <v>P3</v>
      </c>
      <c r="E579" s="4" t="str">
        <f>VLOOKUP('Flow2 '!B579,'ALokasi Pelabuhan '!$A:$C,3,TRUE)</f>
        <v>P9</v>
      </c>
    </row>
    <row r="580" spans="1:5" x14ac:dyDescent="0.25">
      <c r="A580">
        <f t="shared" si="9"/>
        <v>18</v>
      </c>
      <c r="B580">
        <v>1</v>
      </c>
      <c r="C580" s="1">
        <v>71849</v>
      </c>
      <c r="D580" s="4" t="str">
        <f>VLOOKUP('Flow2 '!A580,'ALokasi Pelabuhan '!$A:$C,3,TRUE)</f>
        <v>P7</v>
      </c>
      <c r="E580" s="4" t="str">
        <f>VLOOKUP('Flow2 '!B580,'ALokasi Pelabuhan '!$A:$C,3,TRUE)</f>
        <v>P1</v>
      </c>
    </row>
    <row r="581" spans="1:5" x14ac:dyDescent="0.25">
      <c r="A581">
        <f t="shared" si="9"/>
        <v>18</v>
      </c>
      <c r="B581">
        <v>2</v>
      </c>
      <c r="C581" s="1">
        <v>175899</v>
      </c>
      <c r="D581" s="4" t="str">
        <f>VLOOKUP('Flow2 '!A581,'ALokasi Pelabuhan '!$A:$C,3,TRUE)</f>
        <v>P7</v>
      </c>
      <c r="E581" s="4" t="str">
        <f>VLOOKUP('Flow2 '!B581,'ALokasi Pelabuhan '!$A:$C,3,TRUE)</f>
        <v>P10</v>
      </c>
    </row>
    <row r="582" spans="1:5" x14ac:dyDescent="0.25">
      <c r="A582">
        <f t="shared" si="9"/>
        <v>18</v>
      </c>
      <c r="B582">
        <v>3</v>
      </c>
      <c r="C582" s="1">
        <v>82319</v>
      </c>
      <c r="D582" s="4" t="str">
        <f>VLOOKUP('Flow2 '!A582,'ALokasi Pelabuhan '!$A:$C,3,TRUE)</f>
        <v>P7</v>
      </c>
      <c r="E582" s="4" t="str">
        <f>VLOOKUP('Flow2 '!B582,'ALokasi Pelabuhan '!$A:$C,3,TRUE)</f>
        <v>P8</v>
      </c>
    </row>
    <row r="583" spans="1:5" x14ac:dyDescent="0.25">
      <c r="A583">
        <f t="shared" si="9"/>
        <v>18</v>
      </c>
      <c r="B583">
        <v>4</v>
      </c>
      <c r="C583" s="1">
        <v>99527</v>
      </c>
      <c r="D583" s="4" t="str">
        <f>VLOOKUP('Flow2 '!A583,'ALokasi Pelabuhan '!$A:$C,3,TRUE)</f>
        <v>P7</v>
      </c>
      <c r="E583" s="4" t="str">
        <f>VLOOKUP('Flow2 '!B583,'ALokasi Pelabuhan '!$A:$C,3,TRUE)</f>
        <v>P4</v>
      </c>
    </row>
    <row r="584" spans="1:5" x14ac:dyDescent="0.25">
      <c r="A584">
        <f t="shared" si="9"/>
        <v>18</v>
      </c>
      <c r="B584">
        <v>5</v>
      </c>
      <c r="C584" s="1">
        <v>61545</v>
      </c>
      <c r="D584" s="4" t="str">
        <f>VLOOKUP('Flow2 '!A584,'ALokasi Pelabuhan '!$A:$C,3,TRUE)</f>
        <v>P7</v>
      </c>
      <c r="E584" s="4" t="str">
        <f>VLOOKUP('Flow2 '!B584,'ALokasi Pelabuhan '!$A:$C,3,TRUE)</f>
        <v>P19</v>
      </c>
    </row>
    <row r="585" spans="1:5" x14ac:dyDescent="0.25">
      <c r="A585">
        <f t="shared" si="9"/>
        <v>18</v>
      </c>
      <c r="B585">
        <v>6</v>
      </c>
      <c r="C585" s="1">
        <v>146812</v>
      </c>
      <c r="D585" s="4" t="str">
        <f>VLOOKUP('Flow2 '!A585,'ALokasi Pelabuhan '!$A:$C,3,TRUE)</f>
        <v>P7</v>
      </c>
      <c r="E585" s="4" t="str">
        <f>VLOOKUP('Flow2 '!B585,'ALokasi Pelabuhan '!$A:$C,3,TRUE)</f>
        <v>P8</v>
      </c>
    </row>
    <row r="586" spans="1:5" x14ac:dyDescent="0.25">
      <c r="A586">
        <f t="shared" si="9"/>
        <v>18</v>
      </c>
      <c r="B586">
        <v>7</v>
      </c>
      <c r="C586" s="1">
        <v>39416</v>
      </c>
      <c r="D586" s="4" t="str">
        <f>VLOOKUP('Flow2 '!A586,'ALokasi Pelabuhan '!$A:$C,3,TRUE)</f>
        <v>P7</v>
      </c>
      <c r="E586" s="4" t="str">
        <f>VLOOKUP('Flow2 '!B586,'ALokasi Pelabuhan '!$A:$C,3,TRUE)</f>
        <v>P5</v>
      </c>
    </row>
    <row r="587" spans="1:5" x14ac:dyDescent="0.25">
      <c r="A587">
        <f t="shared" si="9"/>
        <v>18</v>
      </c>
      <c r="B587">
        <v>8</v>
      </c>
      <c r="C587" s="1">
        <v>144981</v>
      </c>
      <c r="D587" s="4" t="str">
        <f>VLOOKUP('Flow2 '!A587,'ALokasi Pelabuhan '!$A:$C,3,TRUE)</f>
        <v>P7</v>
      </c>
      <c r="E587" s="4" t="str">
        <f>VLOOKUP('Flow2 '!B587,'ALokasi Pelabuhan '!$A:$C,3,TRUE)</f>
        <v>P8</v>
      </c>
    </row>
    <row r="588" spans="1:5" x14ac:dyDescent="0.25">
      <c r="A588">
        <f t="shared" si="9"/>
        <v>18</v>
      </c>
      <c r="B588">
        <v>9</v>
      </c>
      <c r="C588" s="1">
        <v>48278</v>
      </c>
      <c r="D588" s="4" t="str">
        <f>VLOOKUP('Flow2 '!A588,'ALokasi Pelabuhan '!$A:$C,3,TRUE)</f>
        <v>P7</v>
      </c>
      <c r="E588" s="4" t="str">
        <f>VLOOKUP('Flow2 '!B588,'ALokasi Pelabuhan '!$A:$C,3,TRUE)</f>
        <v>P9</v>
      </c>
    </row>
    <row r="589" spans="1:5" x14ac:dyDescent="0.25">
      <c r="A589">
        <f t="shared" si="9"/>
        <v>18</v>
      </c>
      <c r="B589">
        <v>10</v>
      </c>
      <c r="C589" s="1">
        <v>37761</v>
      </c>
      <c r="D589" s="4" t="str">
        <f>VLOOKUP('Flow2 '!A589,'ALokasi Pelabuhan '!$A:$C,3,TRUE)</f>
        <v>P7</v>
      </c>
      <c r="E589" s="4" t="str">
        <f>VLOOKUP('Flow2 '!B589,'ALokasi Pelabuhan '!$A:$C,3,TRUE)</f>
        <v>P10</v>
      </c>
    </row>
    <row r="590" spans="1:5" x14ac:dyDescent="0.25">
      <c r="A590">
        <f t="shared" si="9"/>
        <v>18</v>
      </c>
      <c r="B590">
        <v>11</v>
      </c>
      <c r="C590" s="1">
        <v>207540</v>
      </c>
      <c r="D590" s="4" t="str">
        <f>VLOOKUP('Flow2 '!A590,'ALokasi Pelabuhan '!$A:$C,3,TRUE)</f>
        <v>P7</v>
      </c>
      <c r="E590" s="4" t="str">
        <f>VLOOKUP('Flow2 '!B590,'ALokasi Pelabuhan '!$A:$C,3,TRUE)</f>
        <v>P11</v>
      </c>
    </row>
    <row r="591" spans="1:5" x14ac:dyDescent="0.25">
      <c r="A591">
        <f t="shared" si="9"/>
        <v>18</v>
      </c>
      <c r="B591">
        <v>12</v>
      </c>
      <c r="C591" s="1">
        <v>1009649</v>
      </c>
      <c r="D591" s="4" t="str">
        <f>VLOOKUP('Flow2 '!A591,'ALokasi Pelabuhan '!$A:$C,3,TRUE)</f>
        <v>P7</v>
      </c>
      <c r="E591" s="4" t="str">
        <f>VLOOKUP('Flow2 '!B591,'ALokasi Pelabuhan '!$A:$C,3,TRUE)</f>
        <v>P13</v>
      </c>
    </row>
    <row r="592" spans="1:5" x14ac:dyDescent="0.25">
      <c r="A592">
        <f t="shared" si="9"/>
        <v>18</v>
      </c>
      <c r="B592">
        <v>13</v>
      </c>
      <c r="C592" s="1">
        <v>983943</v>
      </c>
      <c r="D592" s="4" t="str">
        <f>VLOOKUP('Flow2 '!A592,'ALokasi Pelabuhan '!$A:$C,3,TRUE)</f>
        <v>P7</v>
      </c>
      <c r="E592" s="4" t="str">
        <f>VLOOKUP('Flow2 '!B592,'ALokasi Pelabuhan '!$A:$C,3,TRUE)</f>
        <v>P12</v>
      </c>
    </row>
    <row r="593" spans="1:5" x14ac:dyDescent="0.25">
      <c r="A593">
        <f t="shared" si="9"/>
        <v>18</v>
      </c>
      <c r="B593">
        <v>14</v>
      </c>
      <c r="C593" s="1">
        <v>115460</v>
      </c>
      <c r="D593" s="4" t="str">
        <f>VLOOKUP('Flow2 '!A593,'ALokasi Pelabuhan '!$A:$C,3,TRUE)</f>
        <v>P7</v>
      </c>
      <c r="E593" s="4" t="str">
        <f>VLOOKUP('Flow2 '!B593,'ALokasi Pelabuhan '!$A:$C,3,TRUE)</f>
        <v>P14</v>
      </c>
    </row>
    <row r="594" spans="1:5" x14ac:dyDescent="0.25">
      <c r="A594">
        <f t="shared" si="9"/>
        <v>18</v>
      </c>
      <c r="B594">
        <v>15</v>
      </c>
      <c r="C594" s="1">
        <v>1854914</v>
      </c>
      <c r="D594" s="4" t="str">
        <f>VLOOKUP('Flow2 '!A594,'ALokasi Pelabuhan '!$A:$C,3,TRUE)</f>
        <v>P7</v>
      </c>
      <c r="E594" s="4" t="str">
        <f>VLOOKUP('Flow2 '!B594,'ALokasi Pelabuhan '!$A:$C,3,TRUE)</f>
        <v>P15</v>
      </c>
    </row>
    <row r="595" spans="1:5" x14ac:dyDescent="0.25">
      <c r="A595">
        <f t="shared" si="9"/>
        <v>18</v>
      </c>
      <c r="B595">
        <v>16</v>
      </c>
      <c r="C595" s="1">
        <v>247087</v>
      </c>
      <c r="D595" s="4" t="str">
        <f>VLOOKUP('Flow2 '!A595,'ALokasi Pelabuhan '!$A:$C,3,TRUE)</f>
        <v>P7</v>
      </c>
      <c r="E595" s="4" t="str">
        <f>VLOOKUP('Flow2 '!B595,'ALokasi Pelabuhan '!$A:$C,3,TRUE)</f>
        <v>P6</v>
      </c>
    </row>
    <row r="596" spans="1:5" x14ac:dyDescent="0.25">
      <c r="A596">
        <f t="shared" si="9"/>
        <v>18</v>
      </c>
      <c r="B596">
        <v>17</v>
      </c>
      <c r="C596" s="1">
        <v>565208</v>
      </c>
      <c r="D596" s="4" t="str">
        <f>VLOOKUP('Flow2 '!A596,'ALokasi Pelabuhan '!$A:$C,3,TRUE)</f>
        <v>P7</v>
      </c>
      <c r="E596" s="4" t="str">
        <f>VLOOKUP('Flow2 '!B596,'ALokasi Pelabuhan '!$A:$C,3,TRUE)</f>
        <v>P3</v>
      </c>
    </row>
    <row r="597" spans="1:5" x14ac:dyDescent="0.25">
      <c r="A597">
        <f t="shared" si="9"/>
        <v>18</v>
      </c>
      <c r="B597">
        <v>18</v>
      </c>
      <c r="C597" s="1">
        <v>4087251</v>
      </c>
      <c r="D597" s="4" t="str">
        <f>VLOOKUP('Flow2 '!A597,'ALokasi Pelabuhan '!$A:$C,3,TRUE)</f>
        <v>P7</v>
      </c>
      <c r="E597" s="4" t="str">
        <f>VLOOKUP('Flow2 '!B597,'ALokasi Pelabuhan '!$A:$C,3,TRUE)</f>
        <v>P7</v>
      </c>
    </row>
    <row r="598" spans="1:5" x14ac:dyDescent="0.25">
      <c r="A598">
        <f t="shared" si="9"/>
        <v>18</v>
      </c>
      <c r="B598">
        <v>19</v>
      </c>
      <c r="C598" s="1">
        <v>429572</v>
      </c>
      <c r="D598" s="4" t="str">
        <f>VLOOKUP('Flow2 '!A598,'ALokasi Pelabuhan '!$A:$C,3,TRUE)</f>
        <v>P7</v>
      </c>
      <c r="E598" s="4" t="str">
        <f>VLOOKUP('Flow2 '!B598,'ALokasi Pelabuhan '!$A:$C,3,TRUE)</f>
        <v>P22</v>
      </c>
    </row>
    <row r="599" spans="1:5" x14ac:dyDescent="0.25">
      <c r="A599">
        <f t="shared" si="9"/>
        <v>18</v>
      </c>
      <c r="B599">
        <v>20</v>
      </c>
      <c r="C599" s="1">
        <v>136839</v>
      </c>
      <c r="D599" s="4" t="str">
        <f>VLOOKUP('Flow2 '!A599,'ALokasi Pelabuhan '!$A:$C,3,TRUE)</f>
        <v>P7</v>
      </c>
      <c r="E599" s="4" t="str">
        <f>VLOOKUP('Flow2 '!B599,'ALokasi Pelabuhan '!$A:$C,3,TRUE)</f>
        <v>P21</v>
      </c>
    </row>
    <row r="600" spans="1:5" x14ac:dyDescent="0.25">
      <c r="A600">
        <f t="shared" si="9"/>
        <v>18</v>
      </c>
      <c r="B600">
        <v>21</v>
      </c>
      <c r="C600" s="1">
        <v>101946</v>
      </c>
      <c r="D600" s="4" t="str">
        <f>VLOOKUP('Flow2 '!A600,'ALokasi Pelabuhan '!$A:$C,3,TRUE)</f>
        <v>P7</v>
      </c>
      <c r="E600" s="4" t="str">
        <f>VLOOKUP('Flow2 '!B600,'ALokasi Pelabuhan '!$A:$C,3,TRUE)</f>
        <v>P20</v>
      </c>
    </row>
    <row r="601" spans="1:5" x14ac:dyDescent="0.25">
      <c r="A601">
        <f t="shared" si="9"/>
        <v>18</v>
      </c>
      <c r="B601">
        <v>22</v>
      </c>
      <c r="C601" s="1">
        <v>186073</v>
      </c>
      <c r="D601" s="4" t="str">
        <f>VLOOKUP('Flow2 '!A601,'ALokasi Pelabuhan '!$A:$C,3,TRUE)</f>
        <v>P7</v>
      </c>
      <c r="E601" s="4" t="str">
        <f>VLOOKUP('Flow2 '!B601,'ALokasi Pelabuhan '!$A:$C,3,TRUE)</f>
        <v>P20</v>
      </c>
    </row>
    <row r="602" spans="1:5" x14ac:dyDescent="0.25">
      <c r="A602">
        <f t="shared" si="9"/>
        <v>18</v>
      </c>
      <c r="B602">
        <v>23</v>
      </c>
      <c r="C602" s="1">
        <v>109343</v>
      </c>
      <c r="D602" s="4" t="str">
        <f>VLOOKUP('Flow2 '!A602,'ALokasi Pelabuhan '!$A:$C,3,TRUE)</f>
        <v>P7</v>
      </c>
      <c r="E602" s="4" t="str">
        <f>VLOOKUP('Flow2 '!B602,'ALokasi Pelabuhan '!$A:$C,3,TRUE)</f>
        <v>P24</v>
      </c>
    </row>
    <row r="603" spans="1:5" x14ac:dyDescent="0.25">
      <c r="A603">
        <f t="shared" si="9"/>
        <v>18</v>
      </c>
      <c r="B603">
        <v>24</v>
      </c>
      <c r="C603" s="1">
        <v>13312</v>
      </c>
      <c r="D603" s="4" t="str">
        <f>VLOOKUP('Flow2 '!A603,'ALokasi Pelabuhan '!$A:$C,3,TRUE)</f>
        <v>P7</v>
      </c>
      <c r="E603" s="4" t="str">
        <f>VLOOKUP('Flow2 '!B603,'ALokasi Pelabuhan '!$A:$C,3,TRUE)</f>
        <v>P23</v>
      </c>
    </row>
    <row r="604" spans="1:5" x14ac:dyDescent="0.25">
      <c r="A604">
        <f t="shared" si="9"/>
        <v>18</v>
      </c>
      <c r="B604">
        <v>25</v>
      </c>
      <c r="C604" s="1">
        <v>68884</v>
      </c>
      <c r="D604" s="4" t="str">
        <f>VLOOKUP('Flow2 '!A604,'ALokasi Pelabuhan '!$A:$C,3,TRUE)</f>
        <v>P7</v>
      </c>
      <c r="E604" s="4" t="str">
        <f>VLOOKUP('Flow2 '!B604,'ALokasi Pelabuhan '!$A:$C,3,TRUE)</f>
        <v>P2</v>
      </c>
    </row>
    <row r="605" spans="1:5" x14ac:dyDescent="0.25">
      <c r="A605">
        <f t="shared" si="9"/>
        <v>18</v>
      </c>
      <c r="B605">
        <v>26</v>
      </c>
      <c r="C605" s="1">
        <v>105973</v>
      </c>
      <c r="D605" s="4" t="str">
        <f>VLOOKUP('Flow2 '!A605,'ALokasi Pelabuhan '!$A:$C,3,TRUE)</f>
        <v>P7</v>
      </c>
      <c r="E605" s="4" t="str">
        <f>VLOOKUP('Flow2 '!B605,'ALokasi Pelabuhan '!$A:$C,3,TRUE)</f>
        <v>P17</v>
      </c>
    </row>
    <row r="606" spans="1:5" x14ac:dyDescent="0.25">
      <c r="A606">
        <f t="shared" si="9"/>
        <v>18</v>
      </c>
      <c r="B606">
        <v>27</v>
      </c>
      <c r="C606" s="1">
        <v>451014</v>
      </c>
      <c r="D606" s="4" t="str">
        <f>VLOOKUP('Flow2 '!A606,'ALokasi Pelabuhan '!$A:$C,3,TRUE)</f>
        <v>P7</v>
      </c>
      <c r="E606" s="4" t="str">
        <f>VLOOKUP('Flow2 '!B606,'ALokasi Pelabuhan '!$A:$C,3,TRUE)</f>
        <v>P17</v>
      </c>
    </row>
    <row r="607" spans="1:5" x14ac:dyDescent="0.25">
      <c r="A607">
        <f t="shared" si="9"/>
        <v>18</v>
      </c>
      <c r="B607">
        <v>28</v>
      </c>
      <c r="C607" s="1">
        <v>124113</v>
      </c>
      <c r="D607" s="4" t="str">
        <f>VLOOKUP('Flow2 '!A607,'ALokasi Pelabuhan '!$A:$C,3,TRUE)</f>
        <v>P7</v>
      </c>
      <c r="E607" s="4" t="str">
        <f>VLOOKUP('Flow2 '!B607,'ALokasi Pelabuhan '!$A:$C,3,TRUE)</f>
        <v>P16</v>
      </c>
    </row>
    <row r="608" spans="1:5" x14ac:dyDescent="0.25">
      <c r="A608">
        <f t="shared" si="9"/>
        <v>18</v>
      </c>
      <c r="B608">
        <v>29</v>
      </c>
      <c r="C608" s="1">
        <v>31088</v>
      </c>
      <c r="D608" s="4" t="str">
        <f>VLOOKUP('Flow2 '!A608,'ALokasi Pelabuhan '!$A:$C,3,TRUE)</f>
        <v>P7</v>
      </c>
      <c r="E608" s="4" t="str">
        <f>VLOOKUP('Flow2 '!B608,'ALokasi Pelabuhan '!$A:$C,3,TRUE)</f>
        <v>P18</v>
      </c>
    </row>
    <row r="609" spans="1:5" x14ac:dyDescent="0.25">
      <c r="A609">
        <f t="shared" si="9"/>
        <v>18</v>
      </c>
      <c r="B609">
        <v>30</v>
      </c>
      <c r="C609" s="1">
        <v>62213</v>
      </c>
      <c r="D609" s="4" t="str">
        <f>VLOOKUP('Flow2 '!A609,'ALokasi Pelabuhan '!$A:$C,3,TRUE)</f>
        <v>P7</v>
      </c>
      <c r="E609" s="4" t="str">
        <f>VLOOKUP('Flow2 '!B609,'ALokasi Pelabuhan '!$A:$C,3,TRUE)</f>
        <v>P19</v>
      </c>
    </row>
    <row r="610" spans="1:5" x14ac:dyDescent="0.25">
      <c r="A610">
        <f t="shared" si="9"/>
        <v>18</v>
      </c>
      <c r="B610">
        <v>31</v>
      </c>
      <c r="C610" s="1">
        <v>65525</v>
      </c>
      <c r="D610" s="4" t="str">
        <f>VLOOKUP('Flow2 '!A610,'ALokasi Pelabuhan '!$A:$C,3,TRUE)</f>
        <v>P7</v>
      </c>
      <c r="E610" s="4" t="str">
        <f>VLOOKUP('Flow2 '!B610,'ALokasi Pelabuhan '!$A:$C,3,TRUE)</f>
        <v>P4</v>
      </c>
    </row>
    <row r="611" spans="1:5" x14ac:dyDescent="0.25">
      <c r="A611">
        <f t="shared" si="9"/>
        <v>18</v>
      </c>
      <c r="B611">
        <v>32</v>
      </c>
      <c r="C611" s="1">
        <v>36311</v>
      </c>
      <c r="D611" s="4" t="str">
        <f>VLOOKUP('Flow2 '!A611,'ALokasi Pelabuhan '!$A:$C,3,TRUE)</f>
        <v>P7</v>
      </c>
      <c r="E611" s="4" t="str">
        <f>VLOOKUP('Flow2 '!B611,'ALokasi Pelabuhan '!$A:$C,3,TRUE)</f>
        <v>P6</v>
      </c>
    </row>
    <row r="612" spans="1:5" x14ac:dyDescent="0.25">
      <c r="A612">
        <f t="shared" si="9"/>
        <v>18</v>
      </c>
      <c r="B612">
        <v>33</v>
      </c>
      <c r="C612" s="1">
        <v>11293.14401071399</v>
      </c>
      <c r="D612" s="4" t="str">
        <f>VLOOKUP('Flow2 '!A612,'ALokasi Pelabuhan '!$A:$C,3,TRUE)</f>
        <v>P7</v>
      </c>
      <c r="E612" s="4" t="str">
        <f>VLOOKUP('Flow2 '!B612,'ALokasi Pelabuhan '!$A:$C,3,TRUE)</f>
        <v>P2</v>
      </c>
    </row>
    <row r="613" spans="1:5" x14ac:dyDescent="0.25">
      <c r="A613">
        <f t="shared" si="9"/>
        <v>18</v>
      </c>
      <c r="B613">
        <v>34</v>
      </c>
      <c r="C613" s="1">
        <v>40545.855989286021</v>
      </c>
      <c r="D613" s="4" t="str">
        <f>VLOOKUP('Flow2 '!A613,'ALokasi Pelabuhan '!$A:$C,3,TRUE)</f>
        <v>P7</v>
      </c>
      <c r="E613" s="4" t="str">
        <f>VLOOKUP('Flow2 '!B613,'ALokasi Pelabuhan '!$A:$C,3,TRUE)</f>
        <v>P9</v>
      </c>
    </row>
    <row r="614" spans="1:5" x14ac:dyDescent="0.25">
      <c r="A614">
        <f t="shared" si="9"/>
        <v>19</v>
      </c>
      <c r="B614">
        <v>1</v>
      </c>
      <c r="C614" s="1">
        <v>57109</v>
      </c>
      <c r="D614" s="4" t="str">
        <f>VLOOKUP('Flow2 '!A614,'ALokasi Pelabuhan '!$A:$C,3,TRUE)</f>
        <v>P22</v>
      </c>
      <c r="E614" s="4" t="str">
        <f>VLOOKUP('Flow2 '!B614,'ALokasi Pelabuhan '!$A:$C,3,TRUE)</f>
        <v>P1</v>
      </c>
    </row>
    <row r="615" spans="1:5" x14ac:dyDescent="0.25">
      <c r="A615">
        <f t="shared" si="9"/>
        <v>19</v>
      </c>
      <c r="B615">
        <v>2</v>
      </c>
      <c r="C615" s="1">
        <v>153776</v>
      </c>
      <c r="D615" s="4" t="str">
        <f>VLOOKUP('Flow2 '!A615,'ALokasi Pelabuhan '!$A:$C,3,TRUE)</f>
        <v>P22</v>
      </c>
      <c r="E615" s="4" t="str">
        <f>VLOOKUP('Flow2 '!B615,'ALokasi Pelabuhan '!$A:$C,3,TRUE)</f>
        <v>P10</v>
      </c>
    </row>
    <row r="616" spans="1:5" x14ac:dyDescent="0.25">
      <c r="A616">
        <f t="shared" si="9"/>
        <v>19</v>
      </c>
      <c r="B616">
        <v>3</v>
      </c>
      <c r="C616" s="1">
        <v>66971</v>
      </c>
      <c r="D616" s="4" t="str">
        <f>VLOOKUP('Flow2 '!A616,'ALokasi Pelabuhan '!$A:$C,3,TRUE)</f>
        <v>P22</v>
      </c>
      <c r="E616" s="4" t="str">
        <f>VLOOKUP('Flow2 '!B616,'ALokasi Pelabuhan '!$A:$C,3,TRUE)</f>
        <v>P8</v>
      </c>
    </row>
    <row r="617" spans="1:5" x14ac:dyDescent="0.25">
      <c r="A617">
        <f t="shared" si="9"/>
        <v>19</v>
      </c>
      <c r="B617">
        <v>4</v>
      </c>
      <c r="C617" s="1">
        <v>81486</v>
      </c>
      <c r="D617" s="4" t="str">
        <f>VLOOKUP('Flow2 '!A617,'ALokasi Pelabuhan '!$A:$C,3,TRUE)</f>
        <v>P22</v>
      </c>
      <c r="E617" s="4" t="str">
        <f>VLOOKUP('Flow2 '!B617,'ALokasi Pelabuhan '!$A:$C,3,TRUE)</f>
        <v>P4</v>
      </c>
    </row>
    <row r="618" spans="1:5" x14ac:dyDescent="0.25">
      <c r="A618">
        <f t="shared" si="9"/>
        <v>19</v>
      </c>
      <c r="B618">
        <v>5</v>
      </c>
      <c r="C618" s="1">
        <v>48346</v>
      </c>
      <c r="D618" s="4" t="str">
        <f>VLOOKUP('Flow2 '!A618,'ALokasi Pelabuhan '!$A:$C,3,TRUE)</f>
        <v>P22</v>
      </c>
      <c r="E618" s="4" t="str">
        <f>VLOOKUP('Flow2 '!B618,'ALokasi Pelabuhan '!$A:$C,3,TRUE)</f>
        <v>P19</v>
      </c>
    </row>
    <row r="619" spans="1:5" x14ac:dyDescent="0.25">
      <c r="A619">
        <f t="shared" si="9"/>
        <v>19</v>
      </c>
      <c r="B619">
        <v>6</v>
      </c>
      <c r="C619" s="1">
        <v>120544</v>
      </c>
      <c r="D619" s="4" t="str">
        <f>VLOOKUP('Flow2 '!A619,'ALokasi Pelabuhan '!$A:$C,3,TRUE)</f>
        <v>P22</v>
      </c>
      <c r="E619" s="4" t="str">
        <f>VLOOKUP('Flow2 '!B619,'ALokasi Pelabuhan '!$A:$C,3,TRUE)</f>
        <v>P8</v>
      </c>
    </row>
    <row r="620" spans="1:5" x14ac:dyDescent="0.25">
      <c r="A620">
        <f t="shared" si="9"/>
        <v>19</v>
      </c>
      <c r="B620">
        <v>7</v>
      </c>
      <c r="C620" s="1">
        <v>27689</v>
      </c>
      <c r="D620" s="4" t="str">
        <f>VLOOKUP('Flow2 '!A620,'ALokasi Pelabuhan '!$A:$C,3,TRUE)</f>
        <v>P22</v>
      </c>
      <c r="E620" s="4" t="str">
        <f>VLOOKUP('Flow2 '!B620,'ALokasi Pelabuhan '!$A:$C,3,TRUE)</f>
        <v>P5</v>
      </c>
    </row>
    <row r="621" spans="1:5" x14ac:dyDescent="0.25">
      <c r="A621">
        <f t="shared" si="9"/>
        <v>19</v>
      </c>
      <c r="B621">
        <v>8</v>
      </c>
      <c r="C621" s="1">
        <v>124168</v>
      </c>
      <c r="D621" s="4" t="str">
        <f>VLOOKUP('Flow2 '!A621,'ALokasi Pelabuhan '!$A:$C,3,TRUE)</f>
        <v>P22</v>
      </c>
      <c r="E621" s="4" t="str">
        <f>VLOOKUP('Flow2 '!B621,'ALokasi Pelabuhan '!$A:$C,3,TRUE)</f>
        <v>P8</v>
      </c>
    </row>
    <row r="622" spans="1:5" x14ac:dyDescent="0.25">
      <c r="A622">
        <f t="shared" si="9"/>
        <v>19</v>
      </c>
      <c r="B622">
        <v>9</v>
      </c>
      <c r="C622" s="1">
        <v>30436</v>
      </c>
      <c r="D622" s="4" t="str">
        <f>VLOOKUP('Flow2 '!A622,'ALokasi Pelabuhan '!$A:$C,3,TRUE)</f>
        <v>P22</v>
      </c>
      <c r="E622" s="4" t="str">
        <f>VLOOKUP('Flow2 '!B622,'ALokasi Pelabuhan '!$A:$C,3,TRUE)</f>
        <v>P9</v>
      </c>
    </row>
    <row r="623" spans="1:5" x14ac:dyDescent="0.25">
      <c r="A623">
        <f t="shared" si="9"/>
        <v>19</v>
      </c>
      <c r="B623">
        <v>10</v>
      </c>
      <c r="C623" s="1">
        <v>29199</v>
      </c>
      <c r="D623" s="4" t="str">
        <f>VLOOKUP('Flow2 '!A623,'ALokasi Pelabuhan '!$A:$C,3,TRUE)</f>
        <v>P22</v>
      </c>
      <c r="E623" s="4" t="str">
        <f>VLOOKUP('Flow2 '!B623,'ALokasi Pelabuhan '!$A:$C,3,TRUE)</f>
        <v>P10</v>
      </c>
    </row>
    <row r="624" spans="1:5" x14ac:dyDescent="0.25">
      <c r="A624">
        <f t="shared" si="9"/>
        <v>19</v>
      </c>
      <c r="B624">
        <v>11</v>
      </c>
      <c r="C624" s="1">
        <v>171701</v>
      </c>
      <c r="D624" s="4" t="str">
        <f>VLOOKUP('Flow2 '!A624,'ALokasi Pelabuhan '!$A:$C,3,TRUE)</f>
        <v>P22</v>
      </c>
      <c r="E624" s="4" t="str">
        <f>VLOOKUP('Flow2 '!B624,'ALokasi Pelabuhan '!$A:$C,3,TRUE)</f>
        <v>P11</v>
      </c>
    </row>
    <row r="625" spans="1:5" x14ac:dyDescent="0.25">
      <c r="A625">
        <f t="shared" si="9"/>
        <v>19</v>
      </c>
      <c r="B625">
        <v>12</v>
      </c>
      <c r="C625" s="1">
        <v>825438</v>
      </c>
      <c r="D625" s="4" t="str">
        <f>VLOOKUP('Flow2 '!A625,'ALokasi Pelabuhan '!$A:$C,3,TRUE)</f>
        <v>P22</v>
      </c>
      <c r="E625" s="4" t="str">
        <f>VLOOKUP('Flow2 '!B625,'ALokasi Pelabuhan '!$A:$C,3,TRUE)</f>
        <v>P13</v>
      </c>
    </row>
    <row r="626" spans="1:5" x14ac:dyDescent="0.25">
      <c r="A626">
        <f t="shared" si="9"/>
        <v>19</v>
      </c>
      <c r="B626">
        <v>13</v>
      </c>
      <c r="C626" s="1">
        <v>717590</v>
      </c>
      <c r="D626" s="4" t="str">
        <f>VLOOKUP('Flow2 '!A626,'ALokasi Pelabuhan '!$A:$C,3,TRUE)</f>
        <v>P22</v>
      </c>
      <c r="E626" s="4" t="str">
        <f>VLOOKUP('Flow2 '!B626,'ALokasi Pelabuhan '!$A:$C,3,TRUE)</f>
        <v>P12</v>
      </c>
    </row>
    <row r="627" spans="1:5" x14ac:dyDescent="0.25">
      <c r="A627">
        <f t="shared" si="9"/>
        <v>19</v>
      </c>
      <c r="B627">
        <v>14</v>
      </c>
      <c r="C627" s="1">
        <v>80472</v>
      </c>
      <c r="D627" s="4" t="str">
        <f>VLOOKUP('Flow2 '!A627,'ALokasi Pelabuhan '!$A:$C,3,TRUE)</f>
        <v>P22</v>
      </c>
      <c r="E627" s="4" t="str">
        <f>VLOOKUP('Flow2 '!B627,'ALokasi Pelabuhan '!$A:$C,3,TRUE)</f>
        <v>P14</v>
      </c>
    </row>
    <row r="628" spans="1:5" x14ac:dyDescent="0.25">
      <c r="A628">
        <f t="shared" si="9"/>
        <v>19</v>
      </c>
      <c r="B628">
        <v>15</v>
      </c>
      <c r="C628" s="1">
        <v>1016932</v>
      </c>
      <c r="D628" s="4" t="str">
        <f>VLOOKUP('Flow2 '!A628,'ALokasi Pelabuhan '!$A:$C,3,TRUE)</f>
        <v>P22</v>
      </c>
      <c r="E628" s="4" t="str">
        <f>VLOOKUP('Flow2 '!B628,'ALokasi Pelabuhan '!$A:$C,3,TRUE)</f>
        <v>P15</v>
      </c>
    </row>
    <row r="629" spans="1:5" x14ac:dyDescent="0.25">
      <c r="A629">
        <f t="shared" si="9"/>
        <v>19</v>
      </c>
      <c r="B629">
        <v>16</v>
      </c>
      <c r="C629" s="1">
        <v>199230</v>
      </c>
      <c r="D629" s="4" t="str">
        <f>VLOOKUP('Flow2 '!A629,'ALokasi Pelabuhan '!$A:$C,3,TRUE)</f>
        <v>P22</v>
      </c>
      <c r="E629" s="4" t="str">
        <f>VLOOKUP('Flow2 '!B629,'ALokasi Pelabuhan '!$A:$C,3,TRUE)</f>
        <v>P6</v>
      </c>
    </row>
    <row r="630" spans="1:5" x14ac:dyDescent="0.25">
      <c r="A630">
        <f t="shared" si="9"/>
        <v>19</v>
      </c>
      <c r="B630">
        <v>17</v>
      </c>
      <c r="C630" s="1">
        <v>155757</v>
      </c>
      <c r="D630" s="4" t="str">
        <f>VLOOKUP('Flow2 '!A630,'ALokasi Pelabuhan '!$A:$C,3,TRUE)</f>
        <v>P22</v>
      </c>
      <c r="E630" s="4" t="str">
        <f>VLOOKUP('Flow2 '!B630,'ALokasi Pelabuhan '!$A:$C,3,TRUE)</f>
        <v>P3</v>
      </c>
    </row>
    <row r="631" spans="1:5" x14ac:dyDescent="0.25">
      <c r="A631">
        <f t="shared" si="9"/>
        <v>19</v>
      </c>
      <c r="B631">
        <v>18</v>
      </c>
      <c r="C631" s="1">
        <v>261251</v>
      </c>
      <c r="D631" s="4" t="str">
        <f>VLOOKUP('Flow2 '!A631,'ALokasi Pelabuhan '!$A:$C,3,TRUE)</f>
        <v>P22</v>
      </c>
      <c r="E631" s="4" t="str">
        <f>VLOOKUP('Flow2 '!B631,'ALokasi Pelabuhan '!$A:$C,3,TRUE)</f>
        <v>P7</v>
      </c>
    </row>
    <row r="632" spans="1:5" x14ac:dyDescent="0.25">
      <c r="A632">
        <f t="shared" si="9"/>
        <v>19</v>
      </c>
      <c r="B632">
        <v>19</v>
      </c>
      <c r="C632" s="1">
        <v>2257563</v>
      </c>
      <c r="D632" s="4" t="str">
        <f>VLOOKUP('Flow2 '!A632,'ALokasi Pelabuhan '!$A:$C,3,TRUE)</f>
        <v>P22</v>
      </c>
      <c r="E632" s="4" t="str">
        <f>VLOOKUP('Flow2 '!B632,'ALokasi Pelabuhan '!$A:$C,3,TRUE)</f>
        <v>P22</v>
      </c>
    </row>
    <row r="633" spans="1:5" x14ac:dyDescent="0.25">
      <c r="A633">
        <f t="shared" si="9"/>
        <v>19</v>
      </c>
      <c r="B633">
        <v>20</v>
      </c>
      <c r="C633" s="1">
        <v>97607</v>
      </c>
      <c r="D633" s="4" t="str">
        <f>VLOOKUP('Flow2 '!A633,'ALokasi Pelabuhan '!$A:$C,3,TRUE)</f>
        <v>P22</v>
      </c>
      <c r="E633" s="4" t="str">
        <f>VLOOKUP('Flow2 '!B633,'ALokasi Pelabuhan '!$A:$C,3,TRUE)</f>
        <v>P21</v>
      </c>
    </row>
    <row r="634" spans="1:5" x14ac:dyDescent="0.25">
      <c r="A634">
        <f t="shared" si="9"/>
        <v>19</v>
      </c>
      <c r="B634">
        <v>21</v>
      </c>
      <c r="C634" s="1">
        <v>62713</v>
      </c>
      <c r="D634" s="4" t="str">
        <f>VLOOKUP('Flow2 '!A634,'ALokasi Pelabuhan '!$A:$C,3,TRUE)</f>
        <v>P22</v>
      </c>
      <c r="E634" s="4" t="str">
        <f>VLOOKUP('Flow2 '!B634,'ALokasi Pelabuhan '!$A:$C,3,TRUE)</f>
        <v>P20</v>
      </c>
    </row>
    <row r="635" spans="1:5" x14ac:dyDescent="0.25">
      <c r="A635">
        <f t="shared" si="9"/>
        <v>19</v>
      </c>
      <c r="B635">
        <v>22</v>
      </c>
      <c r="C635" s="1">
        <v>119618</v>
      </c>
      <c r="D635" s="4" t="str">
        <f>VLOOKUP('Flow2 '!A635,'ALokasi Pelabuhan '!$A:$C,3,TRUE)</f>
        <v>P22</v>
      </c>
      <c r="E635" s="4" t="str">
        <f>VLOOKUP('Flow2 '!B635,'ALokasi Pelabuhan '!$A:$C,3,TRUE)</f>
        <v>P20</v>
      </c>
    </row>
    <row r="636" spans="1:5" x14ac:dyDescent="0.25">
      <c r="A636">
        <f t="shared" si="9"/>
        <v>19</v>
      </c>
      <c r="B636">
        <v>23</v>
      </c>
      <c r="C636" s="1">
        <v>83926</v>
      </c>
      <c r="D636" s="4" t="str">
        <f>VLOOKUP('Flow2 '!A636,'ALokasi Pelabuhan '!$A:$C,3,TRUE)</f>
        <v>P22</v>
      </c>
      <c r="E636" s="4" t="str">
        <f>VLOOKUP('Flow2 '!B636,'ALokasi Pelabuhan '!$A:$C,3,TRUE)</f>
        <v>P24</v>
      </c>
    </row>
    <row r="637" spans="1:5" x14ac:dyDescent="0.25">
      <c r="A637">
        <f t="shared" si="9"/>
        <v>19</v>
      </c>
      <c r="B637">
        <v>24</v>
      </c>
      <c r="C637" s="1">
        <v>10247</v>
      </c>
      <c r="D637" s="4" t="str">
        <f>VLOOKUP('Flow2 '!A637,'ALokasi Pelabuhan '!$A:$C,3,TRUE)</f>
        <v>P22</v>
      </c>
      <c r="E637" s="4" t="str">
        <f>VLOOKUP('Flow2 '!B637,'ALokasi Pelabuhan '!$A:$C,3,TRUE)</f>
        <v>P23</v>
      </c>
    </row>
    <row r="638" spans="1:5" x14ac:dyDescent="0.25">
      <c r="A638">
        <f t="shared" si="9"/>
        <v>19</v>
      </c>
      <c r="B638">
        <v>25</v>
      </c>
      <c r="C638" s="1">
        <v>71542</v>
      </c>
      <c r="D638" s="4" t="str">
        <f>VLOOKUP('Flow2 '!A638,'ALokasi Pelabuhan '!$A:$C,3,TRUE)</f>
        <v>P22</v>
      </c>
      <c r="E638" s="4" t="str">
        <f>VLOOKUP('Flow2 '!B638,'ALokasi Pelabuhan '!$A:$C,3,TRUE)</f>
        <v>P2</v>
      </c>
    </row>
    <row r="639" spans="1:5" x14ac:dyDescent="0.25">
      <c r="A639">
        <f t="shared" si="9"/>
        <v>19</v>
      </c>
      <c r="B639">
        <v>26</v>
      </c>
      <c r="C639" s="1">
        <v>100328</v>
      </c>
      <c r="D639" s="4" t="str">
        <f>VLOOKUP('Flow2 '!A639,'ALokasi Pelabuhan '!$A:$C,3,TRUE)</f>
        <v>P22</v>
      </c>
      <c r="E639" s="4" t="str">
        <f>VLOOKUP('Flow2 '!B639,'ALokasi Pelabuhan '!$A:$C,3,TRUE)</f>
        <v>P17</v>
      </c>
    </row>
    <row r="640" spans="1:5" x14ac:dyDescent="0.25">
      <c r="A640">
        <f t="shared" si="9"/>
        <v>19</v>
      </c>
      <c r="B640">
        <v>27</v>
      </c>
      <c r="C640" s="1">
        <v>411712</v>
      </c>
      <c r="D640" s="4" t="str">
        <f>VLOOKUP('Flow2 '!A640,'ALokasi Pelabuhan '!$A:$C,3,TRUE)</f>
        <v>P22</v>
      </c>
      <c r="E640" s="4" t="str">
        <f>VLOOKUP('Flow2 '!B640,'ALokasi Pelabuhan '!$A:$C,3,TRUE)</f>
        <v>P17</v>
      </c>
    </row>
    <row r="641" spans="1:5" x14ac:dyDescent="0.25">
      <c r="A641">
        <f t="shared" si="9"/>
        <v>19</v>
      </c>
      <c r="B641">
        <v>28</v>
      </c>
      <c r="C641" s="1">
        <v>152848</v>
      </c>
      <c r="D641" s="4" t="str">
        <f>VLOOKUP('Flow2 '!A641,'ALokasi Pelabuhan '!$A:$C,3,TRUE)</f>
        <v>P22</v>
      </c>
      <c r="E641" s="4" t="str">
        <f>VLOOKUP('Flow2 '!B641,'ALokasi Pelabuhan '!$A:$C,3,TRUE)</f>
        <v>P16</v>
      </c>
    </row>
    <row r="642" spans="1:5" x14ac:dyDescent="0.25">
      <c r="A642">
        <f t="shared" si="9"/>
        <v>19</v>
      </c>
      <c r="B642">
        <v>29</v>
      </c>
      <c r="C642" s="1">
        <v>31053</v>
      </c>
      <c r="D642" s="4" t="str">
        <f>VLOOKUP('Flow2 '!A642,'ALokasi Pelabuhan '!$A:$C,3,TRUE)</f>
        <v>P22</v>
      </c>
      <c r="E642" s="4" t="str">
        <f>VLOOKUP('Flow2 '!B642,'ALokasi Pelabuhan '!$A:$C,3,TRUE)</f>
        <v>P18</v>
      </c>
    </row>
    <row r="643" spans="1:5" x14ac:dyDescent="0.25">
      <c r="A643">
        <f t="shared" ref="A643:A706" si="10">INT((ROW()-ROW($A$2))/34)+1</f>
        <v>19</v>
      </c>
      <c r="B643">
        <v>30</v>
      </c>
      <c r="C643" s="1">
        <v>51069</v>
      </c>
      <c r="D643" s="4" t="str">
        <f>VLOOKUP('Flow2 '!A643,'ALokasi Pelabuhan '!$A:$C,3,TRUE)</f>
        <v>P22</v>
      </c>
      <c r="E643" s="4" t="str">
        <f>VLOOKUP('Flow2 '!B643,'ALokasi Pelabuhan '!$A:$C,3,TRUE)</f>
        <v>P19</v>
      </c>
    </row>
    <row r="644" spans="1:5" x14ac:dyDescent="0.25">
      <c r="A644">
        <f t="shared" si="10"/>
        <v>19</v>
      </c>
      <c r="B644">
        <v>31</v>
      </c>
      <c r="C644" s="1">
        <v>79612</v>
      </c>
      <c r="D644" s="4" t="str">
        <f>VLOOKUP('Flow2 '!A644,'ALokasi Pelabuhan '!$A:$C,3,TRUE)</f>
        <v>P22</v>
      </c>
      <c r="E644" s="4" t="str">
        <f>VLOOKUP('Flow2 '!B644,'ALokasi Pelabuhan '!$A:$C,3,TRUE)</f>
        <v>P4</v>
      </c>
    </row>
    <row r="645" spans="1:5" x14ac:dyDescent="0.25">
      <c r="A645">
        <f t="shared" si="10"/>
        <v>19</v>
      </c>
      <c r="B645">
        <v>32</v>
      </c>
      <c r="C645" s="1">
        <v>37914</v>
      </c>
      <c r="D645" s="4" t="str">
        <f>VLOOKUP('Flow2 '!A645,'ALokasi Pelabuhan '!$A:$C,3,TRUE)</f>
        <v>P22</v>
      </c>
      <c r="E645" s="4" t="str">
        <f>VLOOKUP('Flow2 '!B645,'ALokasi Pelabuhan '!$A:$C,3,TRUE)</f>
        <v>P6</v>
      </c>
    </row>
    <row r="646" spans="1:5" x14ac:dyDescent="0.25">
      <c r="A646">
        <f t="shared" si="10"/>
        <v>19</v>
      </c>
      <c r="B646">
        <v>33</v>
      </c>
      <c r="C646" s="1">
        <v>10643.514283289674</v>
      </c>
      <c r="D646" s="4" t="str">
        <f>VLOOKUP('Flow2 '!A646,'ALokasi Pelabuhan '!$A:$C,3,TRUE)</f>
        <v>P22</v>
      </c>
      <c r="E646" s="4" t="str">
        <f>VLOOKUP('Flow2 '!B646,'ALokasi Pelabuhan '!$A:$C,3,TRUE)</f>
        <v>P2</v>
      </c>
    </row>
    <row r="647" spans="1:5" x14ac:dyDescent="0.25">
      <c r="A647">
        <f t="shared" si="10"/>
        <v>19</v>
      </c>
      <c r="B647">
        <v>34</v>
      </c>
      <c r="C647" s="1">
        <v>38213.48571671034</v>
      </c>
      <c r="D647" s="4" t="str">
        <f>VLOOKUP('Flow2 '!A647,'ALokasi Pelabuhan '!$A:$C,3,TRUE)</f>
        <v>P22</v>
      </c>
      <c r="E647" s="4" t="str">
        <f>VLOOKUP('Flow2 '!B647,'ALokasi Pelabuhan '!$A:$C,3,TRUE)</f>
        <v>P9</v>
      </c>
    </row>
    <row r="648" spans="1:5" x14ac:dyDescent="0.25">
      <c r="A648">
        <f t="shared" si="10"/>
        <v>20</v>
      </c>
      <c r="B648">
        <v>1</v>
      </c>
      <c r="C648" s="1">
        <v>82473</v>
      </c>
      <c r="D648" s="4" t="str">
        <f>VLOOKUP('Flow2 '!A648,'ALokasi Pelabuhan '!$A:$C,3,TRUE)</f>
        <v>P21</v>
      </c>
      <c r="E648" s="4" t="str">
        <f>VLOOKUP('Flow2 '!B648,'ALokasi Pelabuhan '!$A:$C,3,TRUE)</f>
        <v>P1</v>
      </c>
    </row>
    <row r="649" spans="1:5" x14ac:dyDescent="0.25">
      <c r="A649">
        <f t="shared" si="10"/>
        <v>20</v>
      </c>
      <c r="B649">
        <v>2</v>
      </c>
      <c r="C649" s="1">
        <v>183031</v>
      </c>
      <c r="D649" s="4" t="str">
        <f>VLOOKUP('Flow2 '!A649,'ALokasi Pelabuhan '!$A:$C,3,TRUE)</f>
        <v>P21</v>
      </c>
      <c r="E649" s="4" t="str">
        <f>VLOOKUP('Flow2 '!B649,'ALokasi Pelabuhan '!$A:$C,3,TRUE)</f>
        <v>P10</v>
      </c>
    </row>
    <row r="650" spans="1:5" x14ac:dyDescent="0.25">
      <c r="A650">
        <f t="shared" si="10"/>
        <v>20</v>
      </c>
      <c r="B650">
        <v>3</v>
      </c>
      <c r="C650" s="1">
        <v>85428</v>
      </c>
      <c r="D650" s="4" t="str">
        <f>VLOOKUP('Flow2 '!A650,'ALokasi Pelabuhan '!$A:$C,3,TRUE)</f>
        <v>P21</v>
      </c>
      <c r="E650" s="4" t="str">
        <f>VLOOKUP('Flow2 '!B650,'ALokasi Pelabuhan '!$A:$C,3,TRUE)</f>
        <v>P8</v>
      </c>
    </row>
    <row r="651" spans="1:5" x14ac:dyDescent="0.25">
      <c r="A651">
        <f t="shared" si="10"/>
        <v>20</v>
      </c>
      <c r="B651">
        <v>4</v>
      </c>
      <c r="C651" s="1">
        <v>112944</v>
      </c>
      <c r="D651" s="4" t="str">
        <f>VLOOKUP('Flow2 '!A651,'ALokasi Pelabuhan '!$A:$C,3,TRUE)</f>
        <v>P21</v>
      </c>
      <c r="E651" s="4" t="str">
        <f>VLOOKUP('Flow2 '!B651,'ALokasi Pelabuhan '!$A:$C,3,TRUE)</f>
        <v>P4</v>
      </c>
    </row>
    <row r="652" spans="1:5" x14ac:dyDescent="0.25">
      <c r="A652">
        <f t="shared" si="10"/>
        <v>20</v>
      </c>
      <c r="B652">
        <v>5</v>
      </c>
      <c r="C652" s="1">
        <v>72345</v>
      </c>
      <c r="D652" s="4" t="str">
        <f>VLOOKUP('Flow2 '!A652,'ALokasi Pelabuhan '!$A:$C,3,TRUE)</f>
        <v>P21</v>
      </c>
      <c r="E652" s="4" t="str">
        <f>VLOOKUP('Flow2 '!B652,'ALokasi Pelabuhan '!$A:$C,3,TRUE)</f>
        <v>P19</v>
      </c>
    </row>
    <row r="653" spans="1:5" x14ac:dyDescent="0.25">
      <c r="A653">
        <f t="shared" si="10"/>
        <v>20</v>
      </c>
      <c r="B653">
        <v>6</v>
      </c>
      <c r="C653" s="1">
        <v>166845</v>
      </c>
      <c r="D653" s="4" t="str">
        <f>VLOOKUP('Flow2 '!A653,'ALokasi Pelabuhan '!$A:$C,3,TRUE)</f>
        <v>P21</v>
      </c>
      <c r="E653" s="4" t="str">
        <f>VLOOKUP('Flow2 '!B653,'ALokasi Pelabuhan '!$A:$C,3,TRUE)</f>
        <v>P8</v>
      </c>
    </row>
    <row r="654" spans="1:5" x14ac:dyDescent="0.25">
      <c r="A654">
        <f t="shared" si="10"/>
        <v>20</v>
      </c>
      <c r="B654">
        <v>7</v>
      </c>
      <c r="C654" s="1">
        <v>32560</v>
      </c>
      <c r="D654" s="4" t="str">
        <f>VLOOKUP('Flow2 '!A654,'ALokasi Pelabuhan '!$A:$C,3,TRUE)</f>
        <v>P21</v>
      </c>
      <c r="E654" s="4" t="str">
        <f>VLOOKUP('Flow2 '!B654,'ALokasi Pelabuhan '!$A:$C,3,TRUE)</f>
        <v>P5</v>
      </c>
    </row>
    <row r="655" spans="1:5" x14ac:dyDescent="0.25">
      <c r="A655">
        <f t="shared" si="10"/>
        <v>20</v>
      </c>
      <c r="B655">
        <v>8</v>
      </c>
      <c r="C655" s="1">
        <v>141183</v>
      </c>
      <c r="D655" s="4" t="str">
        <f>VLOOKUP('Flow2 '!A655,'ALokasi Pelabuhan '!$A:$C,3,TRUE)</f>
        <v>P21</v>
      </c>
      <c r="E655" s="4" t="str">
        <f>VLOOKUP('Flow2 '!B655,'ALokasi Pelabuhan '!$A:$C,3,TRUE)</f>
        <v>P8</v>
      </c>
    </row>
    <row r="656" spans="1:5" x14ac:dyDescent="0.25">
      <c r="A656">
        <f t="shared" si="10"/>
        <v>20</v>
      </c>
      <c r="B656">
        <v>9</v>
      </c>
      <c r="C656" s="1">
        <v>67467</v>
      </c>
      <c r="D656" s="4" t="str">
        <f>VLOOKUP('Flow2 '!A656,'ALokasi Pelabuhan '!$A:$C,3,TRUE)</f>
        <v>P21</v>
      </c>
      <c r="E656" s="4" t="str">
        <f>VLOOKUP('Flow2 '!B656,'ALokasi Pelabuhan '!$A:$C,3,TRUE)</f>
        <v>P9</v>
      </c>
    </row>
    <row r="657" spans="1:5" x14ac:dyDescent="0.25">
      <c r="A657">
        <f t="shared" si="10"/>
        <v>20</v>
      </c>
      <c r="B657">
        <v>10</v>
      </c>
      <c r="C657" s="1">
        <v>60443</v>
      </c>
      <c r="D657" s="4" t="str">
        <f>VLOOKUP('Flow2 '!A657,'ALokasi Pelabuhan '!$A:$C,3,TRUE)</f>
        <v>P21</v>
      </c>
      <c r="E657" s="4" t="str">
        <f>VLOOKUP('Flow2 '!B657,'ALokasi Pelabuhan '!$A:$C,3,TRUE)</f>
        <v>P10</v>
      </c>
    </row>
    <row r="658" spans="1:5" x14ac:dyDescent="0.25">
      <c r="A658">
        <f t="shared" si="10"/>
        <v>20</v>
      </c>
      <c r="B658">
        <v>11</v>
      </c>
      <c r="C658" s="1">
        <v>178447</v>
      </c>
      <c r="D658" s="4" t="str">
        <f>VLOOKUP('Flow2 '!A658,'ALokasi Pelabuhan '!$A:$C,3,TRUE)</f>
        <v>P21</v>
      </c>
      <c r="E658" s="4" t="str">
        <f>VLOOKUP('Flow2 '!B658,'ALokasi Pelabuhan '!$A:$C,3,TRUE)</f>
        <v>P11</v>
      </c>
    </row>
    <row r="659" spans="1:5" x14ac:dyDescent="0.25">
      <c r="A659">
        <f t="shared" si="10"/>
        <v>20</v>
      </c>
      <c r="B659">
        <v>12</v>
      </c>
      <c r="C659" s="1">
        <v>877038</v>
      </c>
      <c r="D659" s="4" t="str">
        <f>VLOOKUP('Flow2 '!A659,'ALokasi Pelabuhan '!$A:$C,3,TRUE)</f>
        <v>P21</v>
      </c>
      <c r="E659" s="4" t="str">
        <f>VLOOKUP('Flow2 '!B659,'ALokasi Pelabuhan '!$A:$C,3,TRUE)</f>
        <v>P13</v>
      </c>
    </row>
    <row r="660" spans="1:5" x14ac:dyDescent="0.25">
      <c r="A660">
        <f t="shared" si="10"/>
        <v>20</v>
      </c>
      <c r="B660">
        <v>13</v>
      </c>
      <c r="C660" s="1">
        <v>673987</v>
      </c>
      <c r="D660" s="4" t="str">
        <f>VLOOKUP('Flow2 '!A660,'ALokasi Pelabuhan '!$A:$C,3,TRUE)</f>
        <v>P21</v>
      </c>
      <c r="E660" s="4" t="str">
        <f>VLOOKUP('Flow2 '!B660,'ALokasi Pelabuhan '!$A:$C,3,TRUE)</f>
        <v>P12</v>
      </c>
    </row>
    <row r="661" spans="1:5" x14ac:dyDescent="0.25">
      <c r="A661">
        <f t="shared" si="10"/>
        <v>20</v>
      </c>
      <c r="B661">
        <v>14</v>
      </c>
      <c r="C661" s="1">
        <v>68875</v>
      </c>
      <c r="D661" s="4" t="str">
        <f>VLOOKUP('Flow2 '!A661,'ALokasi Pelabuhan '!$A:$C,3,TRUE)</f>
        <v>P21</v>
      </c>
      <c r="E661" s="4" t="str">
        <f>VLOOKUP('Flow2 '!B661,'ALokasi Pelabuhan '!$A:$C,3,TRUE)</f>
        <v>P14</v>
      </c>
    </row>
    <row r="662" spans="1:5" x14ac:dyDescent="0.25">
      <c r="A662">
        <f t="shared" si="10"/>
        <v>20</v>
      </c>
      <c r="B662">
        <v>15</v>
      </c>
      <c r="C662" s="1">
        <v>702424</v>
      </c>
      <c r="D662" s="4" t="str">
        <f>VLOOKUP('Flow2 '!A662,'ALokasi Pelabuhan '!$A:$C,3,TRUE)</f>
        <v>P21</v>
      </c>
      <c r="E662" s="4" t="str">
        <f>VLOOKUP('Flow2 '!B662,'ALokasi Pelabuhan '!$A:$C,3,TRUE)</f>
        <v>P15</v>
      </c>
    </row>
    <row r="663" spans="1:5" x14ac:dyDescent="0.25">
      <c r="A663">
        <f t="shared" si="10"/>
        <v>20</v>
      </c>
      <c r="B663">
        <v>16</v>
      </c>
      <c r="C663" s="1">
        <v>220133</v>
      </c>
      <c r="D663" s="4" t="str">
        <f>VLOOKUP('Flow2 '!A663,'ALokasi Pelabuhan '!$A:$C,3,TRUE)</f>
        <v>P21</v>
      </c>
      <c r="E663" s="4" t="str">
        <f>VLOOKUP('Flow2 '!B663,'ALokasi Pelabuhan '!$A:$C,3,TRUE)</f>
        <v>P6</v>
      </c>
    </row>
    <row r="664" spans="1:5" x14ac:dyDescent="0.25">
      <c r="A664">
        <f t="shared" si="10"/>
        <v>20</v>
      </c>
      <c r="B664">
        <v>17</v>
      </c>
      <c r="C664" s="1">
        <v>71449</v>
      </c>
      <c r="D664" s="4" t="str">
        <f>VLOOKUP('Flow2 '!A664,'ALokasi Pelabuhan '!$A:$C,3,TRUE)</f>
        <v>P21</v>
      </c>
      <c r="E664" s="4" t="str">
        <f>VLOOKUP('Flow2 '!B664,'ALokasi Pelabuhan '!$A:$C,3,TRUE)</f>
        <v>P3</v>
      </c>
    </row>
    <row r="665" spans="1:5" x14ac:dyDescent="0.25">
      <c r="A665">
        <f t="shared" si="10"/>
        <v>20</v>
      </c>
      <c r="B665">
        <v>18</v>
      </c>
      <c r="C665" s="1">
        <v>85388</v>
      </c>
      <c r="D665" s="4" t="str">
        <f>VLOOKUP('Flow2 '!A665,'ALokasi Pelabuhan '!$A:$C,3,TRUE)</f>
        <v>P21</v>
      </c>
      <c r="E665" s="4" t="str">
        <f>VLOOKUP('Flow2 '!B665,'ALokasi Pelabuhan '!$A:$C,3,TRUE)</f>
        <v>P7</v>
      </c>
    </row>
    <row r="666" spans="1:5" x14ac:dyDescent="0.25">
      <c r="A666">
        <f t="shared" si="10"/>
        <v>20</v>
      </c>
      <c r="B666">
        <v>19</v>
      </c>
      <c r="C666" s="1">
        <v>90782</v>
      </c>
      <c r="D666" s="4" t="str">
        <f>VLOOKUP('Flow2 '!A666,'ALokasi Pelabuhan '!$A:$C,3,TRUE)</f>
        <v>P21</v>
      </c>
      <c r="E666" s="4" t="str">
        <f>VLOOKUP('Flow2 '!B666,'ALokasi Pelabuhan '!$A:$C,3,TRUE)</f>
        <v>P22</v>
      </c>
    </row>
    <row r="667" spans="1:5" x14ac:dyDescent="0.25">
      <c r="A667">
        <f t="shared" si="10"/>
        <v>20</v>
      </c>
      <c r="B667">
        <v>20</v>
      </c>
      <c r="C667" s="1">
        <v>1067898</v>
      </c>
      <c r="D667" s="4" t="str">
        <f>VLOOKUP('Flow2 '!A667,'ALokasi Pelabuhan '!$A:$C,3,TRUE)</f>
        <v>P21</v>
      </c>
      <c r="E667" s="4" t="str">
        <f>VLOOKUP('Flow2 '!B667,'ALokasi Pelabuhan '!$A:$C,3,TRUE)</f>
        <v>P21</v>
      </c>
    </row>
    <row r="668" spans="1:5" x14ac:dyDescent="0.25">
      <c r="A668">
        <f t="shared" si="10"/>
        <v>20</v>
      </c>
      <c r="B668">
        <v>21</v>
      </c>
      <c r="C668" s="1">
        <v>138352</v>
      </c>
      <c r="D668" s="4" t="str">
        <f>VLOOKUP('Flow2 '!A668,'ALokasi Pelabuhan '!$A:$C,3,TRUE)</f>
        <v>P21</v>
      </c>
      <c r="E668" s="4" t="str">
        <f>VLOOKUP('Flow2 '!B668,'ALokasi Pelabuhan '!$A:$C,3,TRUE)</f>
        <v>P20</v>
      </c>
    </row>
    <row r="669" spans="1:5" x14ac:dyDescent="0.25">
      <c r="A669">
        <f t="shared" si="10"/>
        <v>20</v>
      </c>
      <c r="B669">
        <v>22</v>
      </c>
      <c r="C669" s="1">
        <v>126846</v>
      </c>
      <c r="D669" s="4" t="str">
        <f>VLOOKUP('Flow2 '!A669,'ALokasi Pelabuhan '!$A:$C,3,TRUE)</f>
        <v>P21</v>
      </c>
      <c r="E669" s="4" t="str">
        <f>VLOOKUP('Flow2 '!B669,'ALokasi Pelabuhan '!$A:$C,3,TRUE)</f>
        <v>P20</v>
      </c>
    </row>
    <row r="670" spans="1:5" x14ac:dyDescent="0.25">
      <c r="A670">
        <f t="shared" si="10"/>
        <v>20</v>
      </c>
      <c r="B670">
        <v>23</v>
      </c>
      <c r="C670" s="1">
        <v>100811</v>
      </c>
      <c r="D670" s="4" t="str">
        <f>VLOOKUP('Flow2 '!A670,'ALokasi Pelabuhan '!$A:$C,3,TRUE)</f>
        <v>P21</v>
      </c>
      <c r="E670" s="4" t="str">
        <f>VLOOKUP('Flow2 '!B670,'ALokasi Pelabuhan '!$A:$C,3,TRUE)</f>
        <v>P24</v>
      </c>
    </row>
    <row r="671" spans="1:5" x14ac:dyDescent="0.25">
      <c r="A671">
        <f t="shared" si="10"/>
        <v>20</v>
      </c>
      <c r="B671">
        <v>24</v>
      </c>
      <c r="C671" s="1">
        <v>15124</v>
      </c>
      <c r="D671" s="4" t="str">
        <f>VLOOKUP('Flow2 '!A671,'ALokasi Pelabuhan '!$A:$C,3,TRUE)</f>
        <v>P21</v>
      </c>
      <c r="E671" s="4" t="str">
        <f>VLOOKUP('Flow2 '!B671,'ALokasi Pelabuhan '!$A:$C,3,TRUE)</f>
        <v>P23</v>
      </c>
    </row>
    <row r="672" spans="1:5" x14ac:dyDescent="0.25">
      <c r="A672">
        <f t="shared" si="10"/>
        <v>20</v>
      </c>
      <c r="B672">
        <v>25</v>
      </c>
      <c r="C672" s="1">
        <v>35456</v>
      </c>
      <c r="D672" s="4" t="str">
        <f>VLOOKUP('Flow2 '!A672,'ALokasi Pelabuhan '!$A:$C,3,TRUE)</f>
        <v>P21</v>
      </c>
      <c r="E672" s="4" t="str">
        <f>VLOOKUP('Flow2 '!B672,'ALokasi Pelabuhan '!$A:$C,3,TRUE)</f>
        <v>P2</v>
      </c>
    </row>
    <row r="673" spans="1:5" x14ac:dyDescent="0.25">
      <c r="A673">
        <f t="shared" si="10"/>
        <v>20</v>
      </c>
      <c r="B673">
        <v>26</v>
      </c>
      <c r="C673" s="1">
        <v>57107</v>
      </c>
      <c r="D673" s="4" t="str">
        <f>VLOOKUP('Flow2 '!A673,'ALokasi Pelabuhan '!$A:$C,3,TRUE)</f>
        <v>P21</v>
      </c>
      <c r="E673" s="4" t="str">
        <f>VLOOKUP('Flow2 '!B673,'ALokasi Pelabuhan '!$A:$C,3,TRUE)</f>
        <v>P17</v>
      </c>
    </row>
    <row r="674" spans="1:5" x14ac:dyDescent="0.25">
      <c r="A674">
        <f t="shared" si="10"/>
        <v>20</v>
      </c>
      <c r="B674">
        <v>27</v>
      </c>
      <c r="C674" s="1">
        <v>151378</v>
      </c>
      <c r="D674" s="4" t="str">
        <f>VLOOKUP('Flow2 '!A674,'ALokasi Pelabuhan '!$A:$C,3,TRUE)</f>
        <v>P21</v>
      </c>
      <c r="E674" s="4" t="str">
        <f>VLOOKUP('Flow2 '!B674,'ALokasi Pelabuhan '!$A:$C,3,TRUE)</f>
        <v>P17</v>
      </c>
    </row>
    <row r="675" spans="1:5" x14ac:dyDescent="0.25">
      <c r="A675">
        <f t="shared" si="10"/>
        <v>20</v>
      </c>
      <c r="B675">
        <v>28</v>
      </c>
      <c r="C675" s="1">
        <v>44100</v>
      </c>
      <c r="D675" s="4" t="str">
        <f>VLOOKUP('Flow2 '!A675,'ALokasi Pelabuhan '!$A:$C,3,TRUE)</f>
        <v>P21</v>
      </c>
      <c r="E675" s="4" t="str">
        <f>VLOOKUP('Flow2 '!B675,'ALokasi Pelabuhan '!$A:$C,3,TRUE)</f>
        <v>P16</v>
      </c>
    </row>
    <row r="676" spans="1:5" x14ac:dyDescent="0.25">
      <c r="A676">
        <f t="shared" si="10"/>
        <v>20</v>
      </c>
      <c r="B676">
        <v>29</v>
      </c>
      <c r="C676" s="1">
        <v>16609</v>
      </c>
      <c r="D676" s="4" t="str">
        <f>VLOOKUP('Flow2 '!A676,'ALokasi Pelabuhan '!$A:$C,3,TRUE)</f>
        <v>P21</v>
      </c>
      <c r="E676" s="4" t="str">
        <f>VLOOKUP('Flow2 '!B676,'ALokasi Pelabuhan '!$A:$C,3,TRUE)</f>
        <v>P18</v>
      </c>
    </row>
    <row r="677" spans="1:5" x14ac:dyDescent="0.25">
      <c r="A677">
        <f t="shared" si="10"/>
        <v>20</v>
      </c>
      <c r="B677">
        <v>30</v>
      </c>
      <c r="C677" s="1">
        <v>27807</v>
      </c>
      <c r="D677" s="4" t="str">
        <f>VLOOKUP('Flow2 '!A677,'ALokasi Pelabuhan '!$A:$C,3,TRUE)</f>
        <v>P21</v>
      </c>
      <c r="E677" s="4" t="str">
        <f>VLOOKUP('Flow2 '!B677,'ALokasi Pelabuhan '!$A:$C,3,TRUE)</f>
        <v>P19</v>
      </c>
    </row>
    <row r="678" spans="1:5" x14ac:dyDescent="0.25">
      <c r="A678">
        <f t="shared" si="10"/>
        <v>20</v>
      </c>
      <c r="B678">
        <v>31</v>
      </c>
      <c r="C678" s="1">
        <v>28977</v>
      </c>
      <c r="D678" s="4" t="str">
        <f>VLOOKUP('Flow2 '!A678,'ALokasi Pelabuhan '!$A:$C,3,TRUE)</f>
        <v>P21</v>
      </c>
      <c r="E678" s="4" t="str">
        <f>VLOOKUP('Flow2 '!B678,'ALokasi Pelabuhan '!$A:$C,3,TRUE)</f>
        <v>P4</v>
      </c>
    </row>
    <row r="679" spans="1:5" x14ac:dyDescent="0.25">
      <c r="A679">
        <f t="shared" si="10"/>
        <v>20</v>
      </c>
      <c r="B679">
        <v>32</v>
      </c>
      <c r="C679" s="1">
        <v>17623</v>
      </c>
      <c r="D679" s="4" t="str">
        <f>VLOOKUP('Flow2 '!A679,'ALokasi Pelabuhan '!$A:$C,3,TRUE)</f>
        <v>P21</v>
      </c>
      <c r="E679" s="4" t="str">
        <f>VLOOKUP('Flow2 '!B679,'ALokasi Pelabuhan '!$A:$C,3,TRUE)</f>
        <v>P6</v>
      </c>
    </row>
    <row r="680" spans="1:5" x14ac:dyDescent="0.25">
      <c r="A680">
        <f t="shared" si="10"/>
        <v>20</v>
      </c>
      <c r="B680">
        <v>33</v>
      </c>
      <c r="C680" s="1">
        <v>6534.856785227098</v>
      </c>
      <c r="D680" s="4" t="str">
        <f>VLOOKUP('Flow2 '!A680,'ALokasi Pelabuhan '!$A:$C,3,TRUE)</f>
        <v>P21</v>
      </c>
      <c r="E680" s="4" t="str">
        <f>VLOOKUP('Flow2 '!B680,'ALokasi Pelabuhan '!$A:$C,3,TRUE)</f>
        <v>P2</v>
      </c>
    </row>
    <row r="681" spans="1:5" x14ac:dyDescent="0.25">
      <c r="A681">
        <f t="shared" si="10"/>
        <v>20</v>
      </c>
      <c r="B681">
        <v>34</v>
      </c>
      <c r="C681" s="1">
        <v>23462.14321477291</v>
      </c>
      <c r="D681" s="4" t="str">
        <f>VLOOKUP('Flow2 '!A681,'ALokasi Pelabuhan '!$A:$C,3,TRUE)</f>
        <v>P21</v>
      </c>
      <c r="E681" s="4" t="str">
        <f>VLOOKUP('Flow2 '!B681,'ALokasi Pelabuhan '!$A:$C,3,TRUE)</f>
        <v>P9</v>
      </c>
    </row>
    <row r="682" spans="1:5" x14ac:dyDescent="0.25">
      <c r="A682">
        <f t="shared" si="10"/>
        <v>21</v>
      </c>
      <c r="B682">
        <v>1</v>
      </c>
      <c r="C682" s="1">
        <v>28024</v>
      </c>
      <c r="D682" s="4" t="str">
        <f>VLOOKUP('Flow2 '!A682,'ALokasi Pelabuhan '!$A:$C,3,TRUE)</f>
        <v>P20</v>
      </c>
      <c r="E682" s="4" t="str">
        <f>VLOOKUP('Flow2 '!B682,'ALokasi Pelabuhan '!$A:$C,3,TRUE)</f>
        <v>P1</v>
      </c>
    </row>
    <row r="683" spans="1:5" x14ac:dyDescent="0.25">
      <c r="A683">
        <f t="shared" si="10"/>
        <v>21</v>
      </c>
      <c r="B683">
        <v>2</v>
      </c>
      <c r="C683" s="1">
        <v>63585</v>
      </c>
      <c r="D683" s="4" t="str">
        <f>VLOOKUP('Flow2 '!A683,'ALokasi Pelabuhan '!$A:$C,3,TRUE)</f>
        <v>P20</v>
      </c>
      <c r="E683" s="4" t="str">
        <f>VLOOKUP('Flow2 '!B683,'ALokasi Pelabuhan '!$A:$C,3,TRUE)</f>
        <v>P10</v>
      </c>
    </row>
    <row r="684" spans="1:5" x14ac:dyDescent="0.25">
      <c r="A684">
        <f t="shared" si="10"/>
        <v>21</v>
      </c>
      <c r="B684">
        <v>3</v>
      </c>
      <c r="C684" s="1">
        <v>31689</v>
      </c>
      <c r="D684" s="4" t="str">
        <f>VLOOKUP('Flow2 '!A684,'ALokasi Pelabuhan '!$A:$C,3,TRUE)</f>
        <v>P20</v>
      </c>
      <c r="E684" s="4" t="str">
        <f>VLOOKUP('Flow2 '!B684,'ALokasi Pelabuhan '!$A:$C,3,TRUE)</f>
        <v>P8</v>
      </c>
    </row>
    <row r="685" spans="1:5" x14ac:dyDescent="0.25">
      <c r="A685">
        <f t="shared" si="10"/>
        <v>21</v>
      </c>
      <c r="B685">
        <v>4</v>
      </c>
      <c r="C685" s="1">
        <v>39073</v>
      </c>
      <c r="D685" s="4" t="str">
        <f>VLOOKUP('Flow2 '!A685,'ALokasi Pelabuhan '!$A:$C,3,TRUE)</f>
        <v>P20</v>
      </c>
      <c r="E685" s="4" t="str">
        <f>VLOOKUP('Flow2 '!B685,'ALokasi Pelabuhan '!$A:$C,3,TRUE)</f>
        <v>P4</v>
      </c>
    </row>
    <row r="686" spans="1:5" x14ac:dyDescent="0.25">
      <c r="A686">
        <f t="shared" si="10"/>
        <v>21</v>
      </c>
      <c r="B686">
        <v>5</v>
      </c>
      <c r="C686" s="1">
        <v>25373</v>
      </c>
      <c r="D686" s="4" t="str">
        <f>VLOOKUP('Flow2 '!A686,'ALokasi Pelabuhan '!$A:$C,3,TRUE)</f>
        <v>P20</v>
      </c>
      <c r="E686" s="4" t="str">
        <f>VLOOKUP('Flow2 '!B686,'ALokasi Pelabuhan '!$A:$C,3,TRUE)</f>
        <v>P19</v>
      </c>
    </row>
    <row r="687" spans="1:5" x14ac:dyDescent="0.25">
      <c r="A687">
        <f t="shared" si="10"/>
        <v>21</v>
      </c>
      <c r="B687">
        <v>6</v>
      </c>
      <c r="C687" s="1">
        <v>66131</v>
      </c>
      <c r="D687" s="4" t="str">
        <f>VLOOKUP('Flow2 '!A687,'ALokasi Pelabuhan '!$A:$C,3,TRUE)</f>
        <v>P20</v>
      </c>
      <c r="E687" s="4" t="str">
        <f>VLOOKUP('Flow2 '!B687,'ALokasi Pelabuhan '!$A:$C,3,TRUE)</f>
        <v>P8</v>
      </c>
    </row>
    <row r="688" spans="1:5" x14ac:dyDescent="0.25">
      <c r="A688">
        <f t="shared" si="10"/>
        <v>21</v>
      </c>
      <c r="B688">
        <v>7</v>
      </c>
      <c r="C688" s="1">
        <v>14754</v>
      </c>
      <c r="D688" s="4" t="str">
        <f>VLOOKUP('Flow2 '!A688,'ALokasi Pelabuhan '!$A:$C,3,TRUE)</f>
        <v>P20</v>
      </c>
      <c r="E688" s="4" t="str">
        <f>VLOOKUP('Flow2 '!B688,'ALokasi Pelabuhan '!$A:$C,3,TRUE)</f>
        <v>P5</v>
      </c>
    </row>
    <row r="689" spans="1:5" x14ac:dyDescent="0.25">
      <c r="A689">
        <f t="shared" si="10"/>
        <v>21</v>
      </c>
      <c r="B689">
        <v>8</v>
      </c>
      <c r="C689" s="1">
        <v>62998</v>
      </c>
      <c r="D689" s="4" t="str">
        <f>VLOOKUP('Flow2 '!A689,'ALokasi Pelabuhan '!$A:$C,3,TRUE)</f>
        <v>P20</v>
      </c>
      <c r="E689" s="4" t="str">
        <f>VLOOKUP('Flow2 '!B689,'ALokasi Pelabuhan '!$A:$C,3,TRUE)</f>
        <v>P8</v>
      </c>
    </row>
    <row r="690" spans="1:5" x14ac:dyDescent="0.25">
      <c r="A690">
        <f t="shared" si="10"/>
        <v>21</v>
      </c>
      <c r="B690">
        <v>9</v>
      </c>
      <c r="C690" s="1">
        <v>24940</v>
      </c>
      <c r="D690" s="4" t="str">
        <f>VLOOKUP('Flow2 '!A690,'ALokasi Pelabuhan '!$A:$C,3,TRUE)</f>
        <v>P20</v>
      </c>
      <c r="E690" s="4" t="str">
        <f>VLOOKUP('Flow2 '!B690,'ALokasi Pelabuhan '!$A:$C,3,TRUE)</f>
        <v>P9</v>
      </c>
    </row>
    <row r="691" spans="1:5" x14ac:dyDescent="0.25">
      <c r="A691">
        <f t="shared" si="10"/>
        <v>21</v>
      </c>
      <c r="B691">
        <v>10</v>
      </c>
      <c r="C691" s="1">
        <v>18269</v>
      </c>
      <c r="D691" s="4" t="str">
        <f>VLOOKUP('Flow2 '!A691,'ALokasi Pelabuhan '!$A:$C,3,TRUE)</f>
        <v>P20</v>
      </c>
      <c r="E691" s="4" t="str">
        <f>VLOOKUP('Flow2 '!B691,'ALokasi Pelabuhan '!$A:$C,3,TRUE)</f>
        <v>P10</v>
      </c>
    </row>
    <row r="692" spans="1:5" x14ac:dyDescent="0.25">
      <c r="A692">
        <f t="shared" si="10"/>
        <v>21</v>
      </c>
      <c r="B692">
        <v>11</v>
      </c>
      <c r="C692" s="1">
        <v>81530</v>
      </c>
      <c r="D692" s="4" t="str">
        <f>VLOOKUP('Flow2 '!A692,'ALokasi Pelabuhan '!$A:$C,3,TRUE)</f>
        <v>P20</v>
      </c>
      <c r="E692" s="4" t="str">
        <f>VLOOKUP('Flow2 '!B692,'ALokasi Pelabuhan '!$A:$C,3,TRUE)</f>
        <v>P11</v>
      </c>
    </row>
    <row r="693" spans="1:5" x14ac:dyDescent="0.25">
      <c r="A693">
        <f t="shared" si="10"/>
        <v>21</v>
      </c>
      <c r="B693">
        <v>12</v>
      </c>
      <c r="C693" s="1">
        <v>443242</v>
      </c>
      <c r="D693" s="4" t="str">
        <f>VLOOKUP('Flow2 '!A693,'ALokasi Pelabuhan '!$A:$C,3,TRUE)</f>
        <v>P20</v>
      </c>
      <c r="E693" s="4" t="str">
        <f>VLOOKUP('Flow2 '!B693,'ALokasi Pelabuhan '!$A:$C,3,TRUE)</f>
        <v>P13</v>
      </c>
    </row>
    <row r="694" spans="1:5" x14ac:dyDescent="0.25">
      <c r="A694">
        <f t="shared" si="10"/>
        <v>21</v>
      </c>
      <c r="B694">
        <v>13</v>
      </c>
      <c r="C694" s="1">
        <v>412665</v>
      </c>
      <c r="D694" s="4" t="str">
        <f>VLOOKUP('Flow2 '!A694,'ALokasi Pelabuhan '!$A:$C,3,TRUE)</f>
        <v>P20</v>
      </c>
      <c r="E694" s="4" t="str">
        <f>VLOOKUP('Flow2 '!B694,'ALokasi Pelabuhan '!$A:$C,3,TRUE)</f>
        <v>P12</v>
      </c>
    </row>
    <row r="695" spans="1:5" x14ac:dyDescent="0.25">
      <c r="A695">
        <f t="shared" si="10"/>
        <v>21</v>
      </c>
      <c r="B695">
        <v>14</v>
      </c>
      <c r="C695" s="1">
        <v>42188</v>
      </c>
      <c r="D695" s="4" t="str">
        <f>VLOOKUP('Flow2 '!A695,'ALokasi Pelabuhan '!$A:$C,3,TRUE)</f>
        <v>P20</v>
      </c>
      <c r="E695" s="4" t="str">
        <f>VLOOKUP('Flow2 '!B695,'ALokasi Pelabuhan '!$A:$C,3,TRUE)</f>
        <v>P14</v>
      </c>
    </row>
    <row r="696" spans="1:5" x14ac:dyDescent="0.25">
      <c r="A696">
        <f t="shared" si="10"/>
        <v>21</v>
      </c>
      <c r="B696">
        <v>15</v>
      </c>
      <c r="C696" s="1">
        <v>496595</v>
      </c>
      <c r="D696" s="4" t="str">
        <f>VLOOKUP('Flow2 '!A696,'ALokasi Pelabuhan '!$A:$C,3,TRUE)</f>
        <v>P20</v>
      </c>
      <c r="E696" s="4" t="str">
        <f>VLOOKUP('Flow2 '!B696,'ALokasi Pelabuhan '!$A:$C,3,TRUE)</f>
        <v>P15</v>
      </c>
    </row>
    <row r="697" spans="1:5" x14ac:dyDescent="0.25">
      <c r="A697">
        <f t="shared" si="10"/>
        <v>21</v>
      </c>
      <c r="B697">
        <v>16</v>
      </c>
      <c r="C697" s="1">
        <v>101681</v>
      </c>
      <c r="D697" s="4" t="str">
        <f>VLOOKUP('Flow2 '!A697,'ALokasi Pelabuhan '!$A:$C,3,TRUE)</f>
        <v>P20</v>
      </c>
      <c r="E697" s="4" t="str">
        <f>VLOOKUP('Flow2 '!B697,'ALokasi Pelabuhan '!$A:$C,3,TRUE)</f>
        <v>P6</v>
      </c>
    </row>
    <row r="698" spans="1:5" x14ac:dyDescent="0.25">
      <c r="A698">
        <f t="shared" si="10"/>
        <v>21</v>
      </c>
      <c r="B698">
        <v>17</v>
      </c>
      <c r="C698" s="1">
        <v>55069</v>
      </c>
      <c r="D698" s="4" t="str">
        <f>VLOOKUP('Flow2 '!A698,'ALokasi Pelabuhan '!$A:$C,3,TRUE)</f>
        <v>P20</v>
      </c>
      <c r="E698" s="4" t="str">
        <f>VLOOKUP('Flow2 '!B698,'ALokasi Pelabuhan '!$A:$C,3,TRUE)</f>
        <v>P3</v>
      </c>
    </row>
    <row r="699" spans="1:5" x14ac:dyDescent="0.25">
      <c r="A699">
        <f t="shared" si="10"/>
        <v>21</v>
      </c>
      <c r="B699">
        <v>18</v>
      </c>
      <c r="C699" s="1">
        <v>64041</v>
      </c>
      <c r="D699" s="4" t="str">
        <f>VLOOKUP('Flow2 '!A699,'ALokasi Pelabuhan '!$A:$C,3,TRUE)</f>
        <v>P20</v>
      </c>
      <c r="E699" s="4" t="str">
        <f>VLOOKUP('Flow2 '!B699,'ALokasi Pelabuhan '!$A:$C,3,TRUE)</f>
        <v>P7</v>
      </c>
    </row>
    <row r="700" spans="1:5" x14ac:dyDescent="0.25">
      <c r="A700">
        <f t="shared" si="10"/>
        <v>21</v>
      </c>
      <c r="B700">
        <v>19</v>
      </c>
      <c r="C700" s="1">
        <v>59447</v>
      </c>
      <c r="D700" s="4" t="str">
        <f>VLOOKUP('Flow2 '!A700,'ALokasi Pelabuhan '!$A:$C,3,TRUE)</f>
        <v>P20</v>
      </c>
      <c r="E700" s="4" t="str">
        <f>VLOOKUP('Flow2 '!B700,'ALokasi Pelabuhan '!$A:$C,3,TRUE)</f>
        <v>P22</v>
      </c>
    </row>
    <row r="701" spans="1:5" x14ac:dyDescent="0.25">
      <c r="A701">
        <f t="shared" si="10"/>
        <v>21</v>
      </c>
      <c r="B701">
        <v>20</v>
      </c>
      <c r="C701" s="1">
        <v>125676</v>
      </c>
      <c r="D701" s="4" t="str">
        <f>VLOOKUP('Flow2 '!A701,'ALokasi Pelabuhan '!$A:$C,3,TRUE)</f>
        <v>P20</v>
      </c>
      <c r="E701" s="4" t="str">
        <f>VLOOKUP('Flow2 '!B701,'ALokasi Pelabuhan '!$A:$C,3,TRUE)</f>
        <v>P21</v>
      </c>
    </row>
    <row r="702" spans="1:5" x14ac:dyDescent="0.25">
      <c r="A702">
        <f t="shared" si="10"/>
        <v>21</v>
      </c>
      <c r="B702">
        <v>21</v>
      </c>
      <c r="C702" s="1">
        <v>598584</v>
      </c>
      <c r="D702" s="4" t="str">
        <f>VLOOKUP('Flow2 '!A702,'ALokasi Pelabuhan '!$A:$C,3,TRUE)</f>
        <v>P20</v>
      </c>
      <c r="E702" s="4" t="str">
        <f>VLOOKUP('Flow2 '!B702,'ALokasi Pelabuhan '!$A:$C,3,TRUE)</f>
        <v>P20</v>
      </c>
    </row>
    <row r="703" spans="1:5" x14ac:dyDescent="0.25">
      <c r="A703">
        <f t="shared" si="10"/>
        <v>21</v>
      </c>
      <c r="B703">
        <v>22</v>
      </c>
      <c r="C703" s="1">
        <v>210939</v>
      </c>
      <c r="D703" s="4" t="str">
        <f>VLOOKUP('Flow2 '!A703,'ALokasi Pelabuhan '!$A:$C,3,TRUE)</f>
        <v>P20</v>
      </c>
      <c r="E703" s="4" t="str">
        <f>VLOOKUP('Flow2 '!B703,'ALokasi Pelabuhan '!$A:$C,3,TRUE)</f>
        <v>P20</v>
      </c>
    </row>
    <row r="704" spans="1:5" x14ac:dyDescent="0.25">
      <c r="A704">
        <f t="shared" si="10"/>
        <v>21</v>
      </c>
      <c r="B704">
        <v>23</v>
      </c>
      <c r="C704" s="1">
        <v>91885</v>
      </c>
      <c r="D704" s="4" t="str">
        <f>VLOOKUP('Flow2 '!A704,'ALokasi Pelabuhan '!$A:$C,3,TRUE)</f>
        <v>P20</v>
      </c>
      <c r="E704" s="4" t="str">
        <f>VLOOKUP('Flow2 '!B704,'ALokasi Pelabuhan '!$A:$C,3,TRUE)</f>
        <v>P24</v>
      </c>
    </row>
    <row r="705" spans="1:5" x14ac:dyDescent="0.25">
      <c r="A705">
        <f t="shared" si="10"/>
        <v>21</v>
      </c>
      <c r="B705">
        <v>24</v>
      </c>
      <c r="C705" s="1">
        <v>8887</v>
      </c>
      <c r="D705" s="4" t="str">
        <f>VLOOKUP('Flow2 '!A705,'ALokasi Pelabuhan '!$A:$C,3,TRUE)</f>
        <v>P20</v>
      </c>
      <c r="E705" s="4" t="str">
        <f>VLOOKUP('Flow2 '!B705,'ALokasi Pelabuhan '!$A:$C,3,TRUE)</f>
        <v>P23</v>
      </c>
    </row>
    <row r="706" spans="1:5" x14ac:dyDescent="0.25">
      <c r="A706">
        <f t="shared" si="10"/>
        <v>21</v>
      </c>
      <c r="B706">
        <v>25</v>
      </c>
      <c r="C706" s="1">
        <v>20921</v>
      </c>
      <c r="D706" s="4" t="str">
        <f>VLOOKUP('Flow2 '!A706,'ALokasi Pelabuhan '!$A:$C,3,TRUE)</f>
        <v>P20</v>
      </c>
      <c r="E706" s="4" t="str">
        <f>VLOOKUP('Flow2 '!B706,'ALokasi Pelabuhan '!$A:$C,3,TRUE)</f>
        <v>P2</v>
      </c>
    </row>
    <row r="707" spans="1:5" x14ac:dyDescent="0.25">
      <c r="A707">
        <f t="shared" ref="A707:A770" si="11">INT((ROW()-ROW($A$2))/34)+1</f>
        <v>21</v>
      </c>
      <c r="B707">
        <v>26</v>
      </c>
      <c r="C707" s="1">
        <v>40322</v>
      </c>
      <c r="D707" s="4" t="str">
        <f>VLOOKUP('Flow2 '!A707,'ALokasi Pelabuhan '!$A:$C,3,TRUE)</f>
        <v>P20</v>
      </c>
      <c r="E707" s="4" t="str">
        <f>VLOOKUP('Flow2 '!B707,'ALokasi Pelabuhan '!$A:$C,3,TRUE)</f>
        <v>P17</v>
      </c>
    </row>
    <row r="708" spans="1:5" x14ac:dyDescent="0.25">
      <c r="A708">
        <f t="shared" si="11"/>
        <v>21</v>
      </c>
      <c r="B708">
        <v>27</v>
      </c>
      <c r="C708" s="1">
        <v>117711</v>
      </c>
      <c r="D708" s="4" t="str">
        <f>VLOOKUP('Flow2 '!A708,'ALokasi Pelabuhan '!$A:$C,3,TRUE)</f>
        <v>P20</v>
      </c>
      <c r="E708" s="4" t="str">
        <f>VLOOKUP('Flow2 '!B708,'ALokasi Pelabuhan '!$A:$C,3,TRUE)</f>
        <v>P17</v>
      </c>
    </row>
    <row r="709" spans="1:5" x14ac:dyDescent="0.25">
      <c r="A709">
        <f t="shared" si="11"/>
        <v>21</v>
      </c>
      <c r="B709">
        <v>28</v>
      </c>
      <c r="C709" s="1">
        <v>30163</v>
      </c>
      <c r="D709" s="4" t="str">
        <f>VLOOKUP('Flow2 '!A709,'ALokasi Pelabuhan '!$A:$C,3,TRUE)</f>
        <v>P20</v>
      </c>
      <c r="E709" s="4" t="str">
        <f>VLOOKUP('Flow2 '!B709,'ALokasi Pelabuhan '!$A:$C,3,TRUE)</f>
        <v>P16</v>
      </c>
    </row>
    <row r="710" spans="1:5" x14ac:dyDescent="0.25">
      <c r="A710">
        <f t="shared" si="11"/>
        <v>21</v>
      </c>
      <c r="B710">
        <v>29</v>
      </c>
      <c r="C710" s="1">
        <v>10148</v>
      </c>
      <c r="D710" s="4" t="str">
        <f>VLOOKUP('Flow2 '!A710,'ALokasi Pelabuhan '!$A:$C,3,TRUE)</f>
        <v>P20</v>
      </c>
      <c r="E710" s="4" t="str">
        <f>VLOOKUP('Flow2 '!B710,'ALokasi Pelabuhan '!$A:$C,3,TRUE)</f>
        <v>P18</v>
      </c>
    </row>
    <row r="711" spans="1:5" x14ac:dyDescent="0.25">
      <c r="A711">
        <f t="shared" si="11"/>
        <v>21</v>
      </c>
      <c r="B711">
        <v>30</v>
      </c>
      <c r="C711" s="1">
        <v>21545</v>
      </c>
      <c r="D711" s="4" t="str">
        <f>VLOOKUP('Flow2 '!A711,'ALokasi Pelabuhan '!$A:$C,3,TRUE)</f>
        <v>P20</v>
      </c>
      <c r="E711" s="4" t="str">
        <f>VLOOKUP('Flow2 '!B711,'ALokasi Pelabuhan '!$A:$C,3,TRUE)</f>
        <v>P19</v>
      </c>
    </row>
    <row r="712" spans="1:5" x14ac:dyDescent="0.25">
      <c r="A712">
        <f t="shared" si="11"/>
        <v>21</v>
      </c>
      <c r="B712">
        <v>31</v>
      </c>
      <c r="C712" s="1">
        <v>15324</v>
      </c>
      <c r="D712" s="4" t="str">
        <f>VLOOKUP('Flow2 '!A712,'ALokasi Pelabuhan '!$A:$C,3,TRUE)</f>
        <v>P20</v>
      </c>
      <c r="E712" s="4" t="str">
        <f>VLOOKUP('Flow2 '!B712,'ALokasi Pelabuhan '!$A:$C,3,TRUE)</f>
        <v>P4</v>
      </c>
    </row>
    <row r="713" spans="1:5" x14ac:dyDescent="0.25">
      <c r="A713">
        <f t="shared" si="11"/>
        <v>21</v>
      </c>
      <c r="B713">
        <v>32</v>
      </c>
      <c r="C713" s="1">
        <v>8669</v>
      </c>
      <c r="D713" s="4" t="str">
        <f>VLOOKUP('Flow2 '!A713,'ALokasi Pelabuhan '!$A:$C,3,TRUE)</f>
        <v>P20</v>
      </c>
      <c r="E713" s="4" t="str">
        <f>VLOOKUP('Flow2 '!B713,'ALokasi Pelabuhan '!$A:$C,3,TRUE)</f>
        <v>P6</v>
      </c>
    </row>
    <row r="714" spans="1:5" x14ac:dyDescent="0.25">
      <c r="A714">
        <f t="shared" si="11"/>
        <v>21</v>
      </c>
      <c r="B714">
        <v>33</v>
      </c>
      <c r="C714" s="1">
        <v>3364.9164217961052</v>
      </c>
      <c r="D714" s="4" t="str">
        <f>VLOOKUP('Flow2 '!A714,'ALokasi Pelabuhan '!$A:$C,3,TRUE)</f>
        <v>P20</v>
      </c>
      <c r="E714" s="4" t="str">
        <f>VLOOKUP('Flow2 '!B714,'ALokasi Pelabuhan '!$A:$C,3,TRUE)</f>
        <v>P2</v>
      </c>
    </row>
    <row r="715" spans="1:5" x14ac:dyDescent="0.25">
      <c r="A715">
        <f t="shared" si="11"/>
        <v>21</v>
      </c>
      <c r="B715">
        <v>34</v>
      </c>
      <c r="C715" s="1">
        <v>12081.083578203899</v>
      </c>
      <c r="D715" s="4" t="str">
        <f>VLOOKUP('Flow2 '!A715,'ALokasi Pelabuhan '!$A:$C,3,TRUE)</f>
        <v>P20</v>
      </c>
      <c r="E715" s="4" t="str">
        <f>VLOOKUP('Flow2 '!B715,'ALokasi Pelabuhan '!$A:$C,3,TRUE)</f>
        <v>P9</v>
      </c>
    </row>
    <row r="716" spans="1:5" x14ac:dyDescent="0.25">
      <c r="A716">
        <f t="shared" si="11"/>
        <v>22</v>
      </c>
      <c r="B716">
        <v>1</v>
      </c>
      <c r="C716" s="1">
        <v>69861</v>
      </c>
      <c r="D716" s="4" t="str">
        <f>VLOOKUP('Flow2 '!A716,'ALokasi Pelabuhan '!$A:$C,3,TRUE)</f>
        <v>P20</v>
      </c>
      <c r="E716" s="4" t="str">
        <f>VLOOKUP('Flow2 '!B716,'ALokasi Pelabuhan '!$A:$C,3,TRUE)</f>
        <v>P1</v>
      </c>
    </row>
    <row r="717" spans="1:5" x14ac:dyDescent="0.25">
      <c r="A717">
        <f t="shared" si="11"/>
        <v>22</v>
      </c>
      <c r="B717">
        <v>2</v>
      </c>
      <c r="C717" s="1">
        <v>149213</v>
      </c>
      <c r="D717" s="4" t="str">
        <f>VLOOKUP('Flow2 '!A717,'ALokasi Pelabuhan '!$A:$C,3,TRUE)</f>
        <v>P20</v>
      </c>
      <c r="E717" s="4" t="str">
        <f>VLOOKUP('Flow2 '!B717,'ALokasi Pelabuhan '!$A:$C,3,TRUE)</f>
        <v>P10</v>
      </c>
    </row>
    <row r="718" spans="1:5" x14ac:dyDescent="0.25">
      <c r="A718">
        <f t="shared" si="11"/>
        <v>22</v>
      </c>
      <c r="B718">
        <v>3</v>
      </c>
      <c r="C718" s="1">
        <v>68990</v>
      </c>
      <c r="D718" s="4" t="str">
        <f>VLOOKUP('Flow2 '!A718,'ALokasi Pelabuhan '!$A:$C,3,TRUE)</f>
        <v>P20</v>
      </c>
      <c r="E718" s="4" t="str">
        <f>VLOOKUP('Flow2 '!B718,'ALokasi Pelabuhan '!$A:$C,3,TRUE)</f>
        <v>P8</v>
      </c>
    </row>
    <row r="719" spans="1:5" x14ac:dyDescent="0.25">
      <c r="A719">
        <f t="shared" si="11"/>
        <v>22</v>
      </c>
      <c r="B719">
        <v>4</v>
      </c>
      <c r="C719" s="1">
        <v>89713</v>
      </c>
      <c r="D719" s="4" t="str">
        <f>VLOOKUP('Flow2 '!A719,'ALokasi Pelabuhan '!$A:$C,3,TRUE)</f>
        <v>P20</v>
      </c>
      <c r="E719" s="4" t="str">
        <f>VLOOKUP('Flow2 '!B719,'ALokasi Pelabuhan '!$A:$C,3,TRUE)</f>
        <v>P4</v>
      </c>
    </row>
    <row r="720" spans="1:5" x14ac:dyDescent="0.25">
      <c r="A720">
        <f t="shared" si="11"/>
        <v>22</v>
      </c>
      <c r="B720">
        <v>5</v>
      </c>
      <c r="C720" s="1">
        <v>51370</v>
      </c>
      <c r="D720" s="4" t="str">
        <f>VLOOKUP('Flow2 '!A720,'ALokasi Pelabuhan '!$A:$C,3,TRUE)</f>
        <v>P20</v>
      </c>
      <c r="E720" s="4" t="str">
        <f>VLOOKUP('Flow2 '!B720,'ALokasi Pelabuhan '!$A:$C,3,TRUE)</f>
        <v>P19</v>
      </c>
    </row>
    <row r="721" spans="1:5" x14ac:dyDescent="0.25">
      <c r="A721">
        <f t="shared" si="11"/>
        <v>22</v>
      </c>
      <c r="B721">
        <v>6</v>
      </c>
      <c r="C721" s="1">
        <v>130997</v>
      </c>
      <c r="D721" s="4" t="str">
        <f>VLOOKUP('Flow2 '!A721,'ALokasi Pelabuhan '!$A:$C,3,TRUE)</f>
        <v>P20</v>
      </c>
      <c r="E721" s="4" t="str">
        <f>VLOOKUP('Flow2 '!B721,'ALokasi Pelabuhan '!$A:$C,3,TRUE)</f>
        <v>P8</v>
      </c>
    </row>
    <row r="722" spans="1:5" x14ac:dyDescent="0.25">
      <c r="A722">
        <f t="shared" si="11"/>
        <v>22</v>
      </c>
      <c r="B722">
        <v>7</v>
      </c>
      <c r="C722" s="1">
        <v>29896</v>
      </c>
      <c r="D722" s="4" t="str">
        <f>VLOOKUP('Flow2 '!A722,'ALokasi Pelabuhan '!$A:$C,3,TRUE)</f>
        <v>P20</v>
      </c>
      <c r="E722" s="4" t="str">
        <f>VLOOKUP('Flow2 '!B722,'ALokasi Pelabuhan '!$A:$C,3,TRUE)</f>
        <v>P5</v>
      </c>
    </row>
    <row r="723" spans="1:5" x14ac:dyDescent="0.25">
      <c r="A723">
        <f t="shared" si="11"/>
        <v>22</v>
      </c>
      <c r="B723">
        <v>8</v>
      </c>
      <c r="C723" s="1">
        <v>124921</v>
      </c>
      <c r="D723" s="4" t="str">
        <f>VLOOKUP('Flow2 '!A723,'ALokasi Pelabuhan '!$A:$C,3,TRUE)</f>
        <v>P20</v>
      </c>
      <c r="E723" s="4" t="str">
        <f>VLOOKUP('Flow2 '!B723,'ALokasi Pelabuhan '!$A:$C,3,TRUE)</f>
        <v>P8</v>
      </c>
    </row>
    <row r="724" spans="1:5" x14ac:dyDescent="0.25">
      <c r="A724">
        <f t="shared" si="11"/>
        <v>22</v>
      </c>
      <c r="B724">
        <v>9</v>
      </c>
      <c r="C724" s="1">
        <v>50288</v>
      </c>
      <c r="D724" s="4" t="str">
        <f>VLOOKUP('Flow2 '!A724,'ALokasi Pelabuhan '!$A:$C,3,TRUE)</f>
        <v>P20</v>
      </c>
      <c r="E724" s="4" t="str">
        <f>VLOOKUP('Flow2 '!B724,'ALokasi Pelabuhan '!$A:$C,3,TRUE)</f>
        <v>P9</v>
      </c>
    </row>
    <row r="725" spans="1:5" x14ac:dyDescent="0.25">
      <c r="A725">
        <f t="shared" si="11"/>
        <v>22</v>
      </c>
      <c r="B725">
        <v>10</v>
      </c>
      <c r="C725" s="1">
        <v>37395</v>
      </c>
      <c r="D725" s="4" t="str">
        <f>VLOOKUP('Flow2 '!A725,'ALokasi Pelabuhan '!$A:$C,3,TRUE)</f>
        <v>P20</v>
      </c>
      <c r="E725" s="4" t="str">
        <f>VLOOKUP('Flow2 '!B725,'ALokasi Pelabuhan '!$A:$C,3,TRUE)</f>
        <v>P10</v>
      </c>
    </row>
    <row r="726" spans="1:5" x14ac:dyDescent="0.25">
      <c r="A726">
        <f t="shared" si="11"/>
        <v>22</v>
      </c>
      <c r="B726">
        <v>11</v>
      </c>
      <c r="C726" s="1">
        <v>169667</v>
      </c>
      <c r="D726" s="4" t="str">
        <f>VLOOKUP('Flow2 '!A726,'ALokasi Pelabuhan '!$A:$C,3,TRUE)</f>
        <v>P20</v>
      </c>
      <c r="E726" s="4" t="str">
        <f>VLOOKUP('Flow2 '!B726,'ALokasi Pelabuhan '!$A:$C,3,TRUE)</f>
        <v>P11</v>
      </c>
    </row>
    <row r="727" spans="1:5" x14ac:dyDescent="0.25">
      <c r="A727">
        <f t="shared" si="11"/>
        <v>22</v>
      </c>
      <c r="B727">
        <v>12</v>
      </c>
      <c r="C727" s="1">
        <v>915975</v>
      </c>
      <c r="D727" s="4" t="str">
        <f>VLOOKUP('Flow2 '!A727,'ALokasi Pelabuhan '!$A:$C,3,TRUE)</f>
        <v>P20</v>
      </c>
      <c r="E727" s="4" t="str">
        <f>VLOOKUP('Flow2 '!B727,'ALokasi Pelabuhan '!$A:$C,3,TRUE)</f>
        <v>P13</v>
      </c>
    </row>
    <row r="728" spans="1:5" x14ac:dyDescent="0.25">
      <c r="A728">
        <f t="shared" si="11"/>
        <v>22</v>
      </c>
      <c r="B728">
        <v>13</v>
      </c>
      <c r="C728" s="1">
        <v>901957</v>
      </c>
      <c r="D728" s="4" t="str">
        <f>VLOOKUP('Flow2 '!A728,'ALokasi Pelabuhan '!$A:$C,3,TRUE)</f>
        <v>P20</v>
      </c>
      <c r="E728" s="4" t="str">
        <f>VLOOKUP('Flow2 '!B728,'ALokasi Pelabuhan '!$A:$C,3,TRUE)</f>
        <v>P12</v>
      </c>
    </row>
    <row r="729" spans="1:5" x14ac:dyDescent="0.25">
      <c r="A729">
        <f t="shared" si="11"/>
        <v>22</v>
      </c>
      <c r="B729">
        <v>14</v>
      </c>
      <c r="C729" s="1">
        <v>95348</v>
      </c>
      <c r="D729" s="4" t="str">
        <f>VLOOKUP('Flow2 '!A729,'ALokasi Pelabuhan '!$A:$C,3,TRUE)</f>
        <v>P20</v>
      </c>
      <c r="E729" s="4" t="str">
        <f>VLOOKUP('Flow2 '!B729,'ALokasi Pelabuhan '!$A:$C,3,TRUE)</f>
        <v>P14</v>
      </c>
    </row>
    <row r="730" spans="1:5" x14ac:dyDescent="0.25">
      <c r="A730">
        <f t="shared" si="11"/>
        <v>22</v>
      </c>
      <c r="B730">
        <v>15</v>
      </c>
      <c r="C730" s="1">
        <v>1252303</v>
      </c>
      <c r="D730" s="4" t="str">
        <f>VLOOKUP('Flow2 '!A730,'ALokasi Pelabuhan '!$A:$C,3,TRUE)</f>
        <v>P20</v>
      </c>
      <c r="E730" s="4" t="str">
        <f>VLOOKUP('Flow2 '!B730,'ALokasi Pelabuhan '!$A:$C,3,TRUE)</f>
        <v>P15</v>
      </c>
    </row>
    <row r="731" spans="1:5" x14ac:dyDescent="0.25">
      <c r="A731">
        <f t="shared" si="11"/>
        <v>22</v>
      </c>
      <c r="B731">
        <v>16</v>
      </c>
      <c r="C731" s="1">
        <v>208077</v>
      </c>
      <c r="D731" s="4" t="str">
        <f>VLOOKUP('Flow2 '!A731,'ALokasi Pelabuhan '!$A:$C,3,TRUE)</f>
        <v>P20</v>
      </c>
      <c r="E731" s="4" t="str">
        <f>VLOOKUP('Flow2 '!B731,'ALokasi Pelabuhan '!$A:$C,3,TRUE)</f>
        <v>P6</v>
      </c>
    </row>
    <row r="732" spans="1:5" x14ac:dyDescent="0.25">
      <c r="A732">
        <f t="shared" si="11"/>
        <v>22</v>
      </c>
      <c r="B732">
        <v>17</v>
      </c>
      <c r="C732" s="1">
        <v>150931</v>
      </c>
      <c r="D732" s="4" t="str">
        <f>VLOOKUP('Flow2 '!A732,'ALokasi Pelabuhan '!$A:$C,3,TRUE)</f>
        <v>P20</v>
      </c>
      <c r="E732" s="4" t="str">
        <f>VLOOKUP('Flow2 '!B732,'ALokasi Pelabuhan '!$A:$C,3,TRUE)</f>
        <v>P3</v>
      </c>
    </row>
    <row r="733" spans="1:5" x14ac:dyDescent="0.25">
      <c r="A733">
        <f t="shared" si="11"/>
        <v>22</v>
      </c>
      <c r="B733">
        <v>18</v>
      </c>
      <c r="C733" s="1">
        <v>183601</v>
      </c>
      <c r="D733" s="4" t="str">
        <f>VLOOKUP('Flow2 '!A733,'ALokasi Pelabuhan '!$A:$C,3,TRUE)</f>
        <v>P20</v>
      </c>
      <c r="E733" s="4" t="str">
        <f>VLOOKUP('Flow2 '!B733,'ALokasi Pelabuhan '!$A:$C,3,TRUE)</f>
        <v>P7</v>
      </c>
    </row>
    <row r="734" spans="1:5" x14ac:dyDescent="0.25">
      <c r="A734">
        <f t="shared" si="11"/>
        <v>22</v>
      </c>
      <c r="B734">
        <v>19</v>
      </c>
      <c r="C734" s="1">
        <v>170836</v>
      </c>
      <c r="D734" s="4" t="str">
        <f>VLOOKUP('Flow2 '!A734,'ALokasi Pelabuhan '!$A:$C,3,TRUE)</f>
        <v>P20</v>
      </c>
      <c r="E734" s="4" t="str">
        <f>VLOOKUP('Flow2 '!B734,'ALokasi Pelabuhan '!$A:$C,3,TRUE)</f>
        <v>P22</v>
      </c>
    </row>
    <row r="735" spans="1:5" x14ac:dyDescent="0.25">
      <c r="A735">
        <f t="shared" si="11"/>
        <v>22</v>
      </c>
      <c r="B735">
        <v>20</v>
      </c>
      <c r="C735" s="1">
        <v>203689</v>
      </c>
      <c r="D735" s="4" t="str">
        <f>VLOOKUP('Flow2 '!A735,'ALokasi Pelabuhan '!$A:$C,3,TRUE)</f>
        <v>P20</v>
      </c>
      <c r="E735" s="4" t="str">
        <f>VLOOKUP('Flow2 '!B735,'ALokasi Pelabuhan '!$A:$C,3,TRUE)</f>
        <v>P21</v>
      </c>
    </row>
    <row r="736" spans="1:5" x14ac:dyDescent="0.25">
      <c r="A736">
        <f t="shared" si="11"/>
        <v>22</v>
      </c>
      <c r="B736">
        <v>21</v>
      </c>
      <c r="C736" s="1">
        <v>323164</v>
      </c>
      <c r="D736" s="4" t="str">
        <f>VLOOKUP('Flow2 '!A736,'ALokasi Pelabuhan '!$A:$C,3,TRUE)</f>
        <v>P20</v>
      </c>
      <c r="E736" s="4" t="str">
        <f>VLOOKUP('Flow2 '!B736,'ALokasi Pelabuhan '!$A:$C,3,TRUE)</f>
        <v>P20</v>
      </c>
    </row>
    <row r="737" spans="1:5" x14ac:dyDescent="0.25">
      <c r="A737">
        <f t="shared" si="11"/>
        <v>22</v>
      </c>
      <c r="B737">
        <v>22</v>
      </c>
      <c r="C737" s="1">
        <v>2348639</v>
      </c>
      <c r="D737" s="4" t="str">
        <f>VLOOKUP('Flow2 '!A737,'ALokasi Pelabuhan '!$A:$C,3,TRUE)</f>
        <v>P20</v>
      </c>
      <c r="E737" s="4" t="str">
        <f>VLOOKUP('Flow2 '!B737,'ALokasi Pelabuhan '!$A:$C,3,TRUE)</f>
        <v>P20</v>
      </c>
    </row>
    <row r="738" spans="1:5" x14ac:dyDescent="0.25">
      <c r="A738">
        <f t="shared" si="11"/>
        <v>22</v>
      </c>
      <c r="B738">
        <v>23</v>
      </c>
      <c r="C738" s="1">
        <v>250336</v>
      </c>
      <c r="D738" s="4" t="str">
        <f>VLOOKUP('Flow2 '!A738,'ALokasi Pelabuhan '!$A:$C,3,TRUE)</f>
        <v>P20</v>
      </c>
      <c r="E738" s="4" t="str">
        <f>VLOOKUP('Flow2 '!B738,'ALokasi Pelabuhan '!$A:$C,3,TRUE)</f>
        <v>P24</v>
      </c>
    </row>
    <row r="739" spans="1:5" x14ac:dyDescent="0.25">
      <c r="A739">
        <f t="shared" si="11"/>
        <v>22</v>
      </c>
      <c r="B739">
        <v>24</v>
      </c>
      <c r="C739" s="1">
        <v>20306</v>
      </c>
      <c r="D739" s="4" t="str">
        <f>VLOOKUP('Flow2 '!A739,'ALokasi Pelabuhan '!$A:$C,3,TRUE)</f>
        <v>P20</v>
      </c>
      <c r="E739" s="4" t="str">
        <f>VLOOKUP('Flow2 '!B739,'ALokasi Pelabuhan '!$A:$C,3,TRUE)</f>
        <v>P23</v>
      </c>
    </row>
    <row r="740" spans="1:5" x14ac:dyDescent="0.25">
      <c r="A740">
        <f t="shared" si="11"/>
        <v>22</v>
      </c>
      <c r="B740">
        <v>25</v>
      </c>
      <c r="C740" s="1">
        <v>58700</v>
      </c>
      <c r="D740" s="4" t="str">
        <f>VLOOKUP('Flow2 '!A740,'ALokasi Pelabuhan '!$A:$C,3,TRUE)</f>
        <v>P20</v>
      </c>
      <c r="E740" s="4" t="str">
        <f>VLOOKUP('Flow2 '!B740,'ALokasi Pelabuhan '!$A:$C,3,TRUE)</f>
        <v>P2</v>
      </c>
    </row>
    <row r="741" spans="1:5" x14ac:dyDescent="0.25">
      <c r="A741">
        <f t="shared" si="11"/>
        <v>22</v>
      </c>
      <c r="B741">
        <v>26</v>
      </c>
      <c r="C741" s="1">
        <v>117922</v>
      </c>
      <c r="D741" s="4" t="str">
        <f>VLOOKUP('Flow2 '!A741,'ALokasi Pelabuhan '!$A:$C,3,TRUE)</f>
        <v>P20</v>
      </c>
      <c r="E741" s="4" t="str">
        <f>VLOOKUP('Flow2 '!B741,'ALokasi Pelabuhan '!$A:$C,3,TRUE)</f>
        <v>P17</v>
      </c>
    </row>
    <row r="742" spans="1:5" x14ac:dyDescent="0.25">
      <c r="A742">
        <f t="shared" si="11"/>
        <v>22</v>
      </c>
      <c r="B742">
        <v>27</v>
      </c>
      <c r="C742" s="1">
        <v>373173</v>
      </c>
      <c r="D742" s="4" t="str">
        <f>VLOOKUP('Flow2 '!A742,'ALokasi Pelabuhan '!$A:$C,3,TRUE)</f>
        <v>P20</v>
      </c>
      <c r="E742" s="4" t="str">
        <f>VLOOKUP('Flow2 '!B742,'ALokasi Pelabuhan '!$A:$C,3,TRUE)</f>
        <v>P17</v>
      </c>
    </row>
    <row r="743" spans="1:5" x14ac:dyDescent="0.25">
      <c r="A743">
        <f t="shared" si="11"/>
        <v>22</v>
      </c>
      <c r="B743">
        <v>28</v>
      </c>
      <c r="C743" s="1">
        <v>91241</v>
      </c>
      <c r="D743" s="4" t="str">
        <f>VLOOKUP('Flow2 '!A743,'ALokasi Pelabuhan '!$A:$C,3,TRUE)</f>
        <v>P20</v>
      </c>
      <c r="E743" s="4" t="str">
        <f>VLOOKUP('Flow2 '!B743,'ALokasi Pelabuhan '!$A:$C,3,TRUE)</f>
        <v>P16</v>
      </c>
    </row>
    <row r="744" spans="1:5" x14ac:dyDescent="0.25">
      <c r="A744">
        <f t="shared" si="11"/>
        <v>22</v>
      </c>
      <c r="B744">
        <v>29</v>
      </c>
      <c r="C744" s="1">
        <v>29414</v>
      </c>
      <c r="D744" s="4" t="str">
        <f>VLOOKUP('Flow2 '!A744,'ALokasi Pelabuhan '!$A:$C,3,TRUE)</f>
        <v>P20</v>
      </c>
      <c r="E744" s="4" t="str">
        <f>VLOOKUP('Flow2 '!B744,'ALokasi Pelabuhan '!$A:$C,3,TRUE)</f>
        <v>P18</v>
      </c>
    </row>
    <row r="745" spans="1:5" x14ac:dyDescent="0.25">
      <c r="A745">
        <f t="shared" si="11"/>
        <v>22</v>
      </c>
      <c r="B745">
        <v>30</v>
      </c>
      <c r="C745" s="1">
        <v>72752</v>
      </c>
      <c r="D745" s="4" t="str">
        <f>VLOOKUP('Flow2 '!A745,'ALokasi Pelabuhan '!$A:$C,3,TRUE)</f>
        <v>P20</v>
      </c>
      <c r="E745" s="4" t="str">
        <f>VLOOKUP('Flow2 '!B745,'ALokasi Pelabuhan '!$A:$C,3,TRUE)</f>
        <v>P19</v>
      </c>
    </row>
    <row r="746" spans="1:5" x14ac:dyDescent="0.25">
      <c r="A746">
        <f t="shared" si="11"/>
        <v>22</v>
      </c>
      <c r="B746">
        <v>31</v>
      </c>
      <c r="C746" s="1">
        <v>46529</v>
      </c>
      <c r="D746" s="4" t="str">
        <f>VLOOKUP('Flow2 '!A746,'ALokasi Pelabuhan '!$A:$C,3,TRUE)</f>
        <v>P20</v>
      </c>
      <c r="E746" s="4" t="str">
        <f>VLOOKUP('Flow2 '!B746,'ALokasi Pelabuhan '!$A:$C,3,TRUE)</f>
        <v>P4</v>
      </c>
    </row>
    <row r="747" spans="1:5" x14ac:dyDescent="0.25">
      <c r="A747">
        <f t="shared" si="11"/>
        <v>22</v>
      </c>
      <c r="B747">
        <v>32</v>
      </c>
      <c r="C747" s="1">
        <v>27684</v>
      </c>
      <c r="D747" s="4" t="str">
        <f>VLOOKUP('Flow2 '!A747,'ALokasi Pelabuhan '!$A:$C,3,TRUE)</f>
        <v>P20</v>
      </c>
      <c r="E747" s="4" t="str">
        <f>VLOOKUP('Flow2 '!B747,'ALokasi Pelabuhan '!$A:$C,3,TRUE)</f>
        <v>P6</v>
      </c>
    </row>
    <row r="748" spans="1:5" x14ac:dyDescent="0.25">
      <c r="A748">
        <f t="shared" si="11"/>
        <v>22</v>
      </c>
      <c r="B748">
        <v>33</v>
      </c>
      <c r="C748" s="1">
        <v>6135.7549540261098</v>
      </c>
      <c r="D748" s="4" t="str">
        <f>VLOOKUP('Flow2 '!A748,'ALokasi Pelabuhan '!$A:$C,3,TRUE)</f>
        <v>P20</v>
      </c>
      <c r="E748" s="4" t="str">
        <f>VLOOKUP('Flow2 '!B748,'ALokasi Pelabuhan '!$A:$C,3,TRUE)</f>
        <v>P2</v>
      </c>
    </row>
    <row r="749" spans="1:5" x14ac:dyDescent="0.25">
      <c r="A749">
        <f t="shared" si="11"/>
        <v>22</v>
      </c>
      <c r="B749">
        <v>34</v>
      </c>
      <c r="C749" s="1">
        <v>22029.245045973898</v>
      </c>
      <c r="D749" s="4" t="str">
        <f>VLOOKUP('Flow2 '!A749,'ALokasi Pelabuhan '!$A:$C,3,TRUE)</f>
        <v>P20</v>
      </c>
      <c r="E749" s="4" t="str">
        <f>VLOOKUP('Flow2 '!B749,'ALokasi Pelabuhan '!$A:$C,3,TRUE)</f>
        <v>P9</v>
      </c>
    </row>
    <row r="750" spans="1:5" x14ac:dyDescent="0.25">
      <c r="A750">
        <f t="shared" si="11"/>
        <v>23</v>
      </c>
      <c r="B750">
        <v>1</v>
      </c>
      <c r="C750" s="1">
        <v>56342</v>
      </c>
      <c r="D750" s="4" t="str">
        <f>VLOOKUP('Flow2 '!A750,'ALokasi Pelabuhan '!$A:$C,3,TRUE)</f>
        <v>P24</v>
      </c>
      <c r="E750" s="4" t="str">
        <f>VLOOKUP('Flow2 '!B750,'ALokasi Pelabuhan '!$A:$C,3,TRUE)</f>
        <v>P1</v>
      </c>
    </row>
    <row r="751" spans="1:5" x14ac:dyDescent="0.25">
      <c r="A751">
        <f t="shared" si="11"/>
        <v>23</v>
      </c>
      <c r="B751">
        <v>2</v>
      </c>
      <c r="C751" s="1">
        <v>105675</v>
      </c>
      <c r="D751" s="4" t="str">
        <f>VLOOKUP('Flow2 '!A751,'ALokasi Pelabuhan '!$A:$C,3,TRUE)</f>
        <v>P24</v>
      </c>
      <c r="E751" s="4" t="str">
        <f>VLOOKUP('Flow2 '!B751,'ALokasi Pelabuhan '!$A:$C,3,TRUE)</f>
        <v>P10</v>
      </c>
    </row>
    <row r="752" spans="1:5" x14ac:dyDescent="0.25">
      <c r="A752">
        <f t="shared" si="11"/>
        <v>23</v>
      </c>
      <c r="B752">
        <v>3</v>
      </c>
      <c r="C752" s="1">
        <v>65309</v>
      </c>
      <c r="D752" s="4" t="str">
        <f>VLOOKUP('Flow2 '!A752,'ALokasi Pelabuhan '!$A:$C,3,TRUE)</f>
        <v>P24</v>
      </c>
      <c r="E752" s="4" t="str">
        <f>VLOOKUP('Flow2 '!B752,'ALokasi Pelabuhan '!$A:$C,3,TRUE)</f>
        <v>P8</v>
      </c>
    </row>
    <row r="753" spans="1:5" x14ac:dyDescent="0.25">
      <c r="A753">
        <f t="shared" si="11"/>
        <v>23</v>
      </c>
      <c r="B753">
        <v>4</v>
      </c>
      <c r="C753" s="1">
        <v>82432</v>
      </c>
      <c r="D753" s="4" t="str">
        <f>VLOOKUP('Flow2 '!A753,'ALokasi Pelabuhan '!$A:$C,3,TRUE)</f>
        <v>P24</v>
      </c>
      <c r="E753" s="4" t="str">
        <f>VLOOKUP('Flow2 '!B753,'ALokasi Pelabuhan '!$A:$C,3,TRUE)</f>
        <v>P4</v>
      </c>
    </row>
    <row r="754" spans="1:5" x14ac:dyDescent="0.25">
      <c r="A754">
        <f t="shared" si="11"/>
        <v>23</v>
      </c>
      <c r="B754">
        <v>5</v>
      </c>
      <c r="C754" s="1">
        <v>35177</v>
      </c>
      <c r="D754" s="4" t="str">
        <f>VLOOKUP('Flow2 '!A754,'ALokasi Pelabuhan '!$A:$C,3,TRUE)</f>
        <v>P24</v>
      </c>
      <c r="E754" s="4" t="str">
        <f>VLOOKUP('Flow2 '!B754,'ALokasi Pelabuhan '!$A:$C,3,TRUE)</f>
        <v>P19</v>
      </c>
    </row>
    <row r="755" spans="1:5" x14ac:dyDescent="0.25">
      <c r="A755">
        <f t="shared" si="11"/>
        <v>23</v>
      </c>
      <c r="B755">
        <v>6</v>
      </c>
      <c r="C755" s="1">
        <v>127464</v>
      </c>
      <c r="D755" s="4" t="str">
        <f>VLOOKUP('Flow2 '!A755,'ALokasi Pelabuhan '!$A:$C,3,TRUE)</f>
        <v>P24</v>
      </c>
      <c r="E755" s="4" t="str">
        <f>VLOOKUP('Flow2 '!B755,'ALokasi Pelabuhan '!$A:$C,3,TRUE)</f>
        <v>P8</v>
      </c>
    </row>
    <row r="756" spans="1:5" x14ac:dyDescent="0.25">
      <c r="A756">
        <f t="shared" si="11"/>
        <v>23</v>
      </c>
      <c r="B756">
        <v>7</v>
      </c>
      <c r="C756" s="1">
        <v>22673</v>
      </c>
      <c r="D756" s="4" t="str">
        <f>VLOOKUP('Flow2 '!A756,'ALokasi Pelabuhan '!$A:$C,3,TRUE)</f>
        <v>P24</v>
      </c>
      <c r="E756" s="4" t="str">
        <f>VLOOKUP('Flow2 '!B756,'ALokasi Pelabuhan '!$A:$C,3,TRUE)</f>
        <v>P5</v>
      </c>
    </row>
    <row r="757" spans="1:5" x14ac:dyDescent="0.25">
      <c r="A757">
        <f t="shared" si="11"/>
        <v>23</v>
      </c>
      <c r="B757">
        <v>8</v>
      </c>
      <c r="C757" s="1">
        <v>116287</v>
      </c>
      <c r="D757" s="4" t="str">
        <f>VLOOKUP('Flow2 '!A757,'ALokasi Pelabuhan '!$A:$C,3,TRUE)</f>
        <v>P24</v>
      </c>
      <c r="E757" s="4" t="str">
        <f>VLOOKUP('Flow2 '!B757,'ALokasi Pelabuhan '!$A:$C,3,TRUE)</f>
        <v>P8</v>
      </c>
    </row>
    <row r="758" spans="1:5" x14ac:dyDescent="0.25">
      <c r="A758">
        <f t="shared" si="11"/>
        <v>23</v>
      </c>
      <c r="B758">
        <v>9</v>
      </c>
      <c r="C758" s="1">
        <v>16840</v>
      </c>
      <c r="D758" s="4" t="str">
        <f>VLOOKUP('Flow2 '!A758,'ALokasi Pelabuhan '!$A:$C,3,TRUE)</f>
        <v>P24</v>
      </c>
      <c r="E758" s="4" t="str">
        <f>VLOOKUP('Flow2 '!B758,'ALokasi Pelabuhan '!$A:$C,3,TRUE)</f>
        <v>P9</v>
      </c>
    </row>
    <row r="759" spans="1:5" x14ac:dyDescent="0.25">
      <c r="A759">
        <f t="shared" si="11"/>
        <v>23</v>
      </c>
      <c r="B759">
        <v>10</v>
      </c>
      <c r="C759" s="1">
        <v>9817</v>
      </c>
      <c r="D759" s="4" t="str">
        <f>VLOOKUP('Flow2 '!A759,'ALokasi Pelabuhan '!$A:$C,3,TRUE)</f>
        <v>P24</v>
      </c>
      <c r="E759" s="4" t="str">
        <f>VLOOKUP('Flow2 '!B759,'ALokasi Pelabuhan '!$A:$C,3,TRUE)</f>
        <v>P10</v>
      </c>
    </row>
    <row r="760" spans="1:5" x14ac:dyDescent="0.25">
      <c r="A760">
        <f t="shared" si="11"/>
        <v>23</v>
      </c>
      <c r="B760">
        <v>11</v>
      </c>
      <c r="C760" s="1">
        <v>36506</v>
      </c>
      <c r="D760" s="4" t="str">
        <f>VLOOKUP('Flow2 '!A760,'ALokasi Pelabuhan '!$A:$C,3,TRUE)</f>
        <v>P24</v>
      </c>
      <c r="E760" s="4" t="str">
        <f>VLOOKUP('Flow2 '!B760,'ALokasi Pelabuhan '!$A:$C,3,TRUE)</f>
        <v>P11</v>
      </c>
    </row>
    <row r="761" spans="1:5" x14ac:dyDescent="0.25">
      <c r="A761">
        <f t="shared" si="11"/>
        <v>23</v>
      </c>
      <c r="B761">
        <v>12</v>
      </c>
      <c r="C761" s="1">
        <v>369296</v>
      </c>
      <c r="D761" s="4" t="str">
        <f>VLOOKUP('Flow2 '!A761,'ALokasi Pelabuhan '!$A:$C,3,TRUE)</f>
        <v>P24</v>
      </c>
      <c r="E761" s="4" t="str">
        <f>VLOOKUP('Flow2 '!B761,'ALokasi Pelabuhan '!$A:$C,3,TRUE)</f>
        <v>P13</v>
      </c>
    </row>
    <row r="762" spans="1:5" x14ac:dyDescent="0.25">
      <c r="A762">
        <f t="shared" si="11"/>
        <v>23</v>
      </c>
      <c r="B762">
        <v>13</v>
      </c>
      <c r="C762" s="1">
        <v>405597</v>
      </c>
      <c r="D762" s="4" t="str">
        <f>VLOOKUP('Flow2 '!A762,'ALokasi Pelabuhan '!$A:$C,3,TRUE)</f>
        <v>P24</v>
      </c>
      <c r="E762" s="4" t="str">
        <f>VLOOKUP('Flow2 '!B762,'ALokasi Pelabuhan '!$A:$C,3,TRUE)</f>
        <v>P12</v>
      </c>
    </row>
    <row r="763" spans="1:5" x14ac:dyDescent="0.25">
      <c r="A763">
        <f t="shared" si="11"/>
        <v>23</v>
      </c>
      <c r="B763">
        <v>14</v>
      </c>
      <c r="C763" s="1">
        <v>24987</v>
      </c>
      <c r="D763" s="4" t="str">
        <f>VLOOKUP('Flow2 '!A763,'ALokasi Pelabuhan '!$A:$C,3,TRUE)</f>
        <v>P24</v>
      </c>
      <c r="E763" s="4" t="str">
        <f>VLOOKUP('Flow2 '!B763,'ALokasi Pelabuhan '!$A:$C,3,TRUE)</f>
        <v>P14</v>
      </c>
    </row>
    <row r="764" spans="1:5" x14ac:dyDescent="0.25">
      <c r="A764">
        <f t="shared" si="11"/>
        <v>23</v>
      </c>
      <c r="B764">
        <v>15</v>
      </c>
      <c r="C764" s="1">
        <v>548103</v>
      </c>
      <c r="D764" s="4" t="str">
        <f>VLOOKUP('Flow2 '!A764,'ALokasi Pelabuhan '!$A:$C,3,TRUE)</f>
        <v>P24</v>
      </c>
      <c r="E764" s="4" t="str">
        <f>VLOOKUP('Flow2 '!B764,'ALokasi Pelabuhan '!$A:$C,3,TRUE)</f>
        <v>P15</v>
      </c>
    </row>
    <row r="765" spans="1:5" x14ac:dyDescent="0.25">
      <c r="A765">
        <f t="shared" si="11"/>
        <v>23</v>
      </c>
      <c r="B765">
        <v>16</v>
      </c>
      <c r="C765" s="1">
        <v>87707</v>
      </c>
      <c r="D765" s="4" t="str">
        <f>VLOOKUP('Flow2 '!A765,'ALokasi Pelabuhan '!$A:$C,3,TRUE)</f>
        <v>P24</v>
      </c>
      <c r="E765" s="4" t="str">
        <f>VLOOKUP('Flow2 '!B765,'ALokasi Pelabuhan '!$A:$C,3,TRUE)</f>
        <v>P6</v>
      </c>
    </row>
    <row r="766" spans="1:5" x14ac:dyDescent="0.25">
      <c r="A766">
        <f t="shared" si="11"/>
        <v>23</v>
      </c>
      <c r="B766">
        <v>17</v>
      </c>
      <c r="C766" s="1">
        <v>48324</v>
      </c>
      <c r="D766" s="4" t="str">
        <f>VLOOKUP('Flow2 '!A766,'ALokasi Pelabuhan '!$A:$C,3,TRUE)</f>
        <v>P24</v>
      </c>
      <c r="E766" s="4" t="str">
        <f>VLOOKUP('Flow2 '!B766,'ALokasi Pelabuhan '!$A:$C,3,TRUE)</f>
        <v>P3</v>
      </c>
    </row>
    <row r="767" spans="1:5" x14ac:dyDescent="0.25">
      <c r="A767">
        <f t="shared" si="11"/>
        <v>23</v>
      </c>
      <c r="B767">
        <v>18</v>
      </c>
      <c r="C767" s="1">
        <v>100252</v>
      </c>
      <c r="D767" s="4" t="str">
        <f>VLOOKUP('Flow2 '!A767,'ALokasi Pelabuhan '!$A:$C,3,TRUE)</f>
        <v>P24</v>
      </c>
      <c r="E767" s="4" t="str">
        <f>VLOOKUP('Flow2 '!B767,'ALokasi Pelabuhan '!$A:$C,3,TRUE)</f>
        <v>P7</v>
      </c>
    </row>
    <row r="768" spans="1:5" x14ac:dyDescent="0.25">
      <c r="A768">
        <f t="shared" si="11"/>
        <v>23</v>
      </c>
      <c r="B768">
        <v>19</v>
      </c>
      <c r="C768" s="1">
        <v>81934</v>
      </c>
      <c r="D768" s="4" t="str">
        <f>VLOOKUP('Flow2 '!A768,'ALokasi Pelabuhan '!$A:$C,3,TRUE)</f>
        <v>P24</v>
      </c>
      <c r="E768" s="4" t="str">
        <f>VLOOKUP('Flow2 '!B768,'ALokasi Pelabuhan '!$A:$C,3,TRUE)</f>
        <v>P22</v>
      </c>
    </row>
    <row r="769" spans="1:5" x14ac:dyDescent="0.25">
      <c r="A769">
        <f t="shared" si="11"/>
        <v>23</v>
      </c>
      <c r="B769">
        <v>20</v>
      </c>
      <c r="C769" s="1">
        <v>128309</v>
      </c>
      <c r="D769" s="4" t="str">
        <f>VLOOKUP('Flow2 '!A769,'ALokasi Pelabuhan '!$A:$C,3,TRUE)</f>
        <v>P24</v>
      </c>
      <c r="E769" s="4" t="str">
        <f>VLOOKUP('Flow2 '!B769,'ALokasi Pelabuhan '!$A:$C,3,TRUE)</f>
        <v>P21</v>
      </c>
    </row>
    <row r="770" spans="1:5" x14ac:dyDescent="0.25">
      <c r="A770">
        <f t="shared" si="11"/>
        <v>23</v>
      </c>
      <c r="B770">
        <v>21</v>
      </c>
      <c r="C770" s="1">
        <v>167446</v>
      </c>
      <c r="D770" s="4" t="str">
        <f>VLOOKUP('Flow2 '!A770,'ALokasi Pelabuhan '!$A:$C,3,TRUE)</f>
        <v>P24</v>
      </c>
      <c r="E770" s="4" t="str">
        <f>VLOOKUP('Flow2 '!B770,'ALokasi Pelabuhan '!$A:$C,3,TRUE)</f>
        <v>P20</v>
      </c>
    </row>
    <row r="771" spans="1:5" x14ac:dyDescent="0.25">
      <c r="A771">
        <f t="shared" ref="A771:A834" si="12">INT((ROW()-ROW($A$2))/34)+1</f>
        <v>23</v>
      </c>
      <c r="B771">
        <v>22</v>
      </c>
      <c r="C771" s="1">
        <v>264406</v>
      </c>
      <c r="D771" s="4" t="str">
        <f>VLOOKUP('Flow2 '!A771,'ALokasi Pelabuhan '!$A:$C,3,TRUE)</f>
        <v>P24</v>
      </c>
      <c r="E771" s="4" t="str">
        <f>VLOOKUP('Flow2 '!B771,'ALokasi Pelabuhan '!$A:$C,3,TRUE)</f>
        <v>P20</v>
      </c>
    </row>
    <row r="772" spans="1:5" x14ac:dyDescent="0.25">
      <c r="A772">
        <f t="shared" si="12"/>
        <v>23</v>
      </c>
      <c r="B772">
        <v>23</v>
      </c>
      <c r="C772" s="1">
        <v>1041097</v>
      </c>
      <c r="D772" s="4" t="str">
        <f>VLOOKUP('Flow2 '!A772,'ALokasi Pelabuhan '!$A:$C,3,TRUE)</f>
        <v>P24</v>
      </c>
      <c r="E772" s="4" t="str">
        <f>VLOOKUP('Flow2 '!B772,'ALokasi Pelabuhan '!$A:$C,3,TRUE)</f>
        <v>P24</v>
      </c>
    </row>
    <row r="773" spans="1:5" x14ac:dyDescent="0.25">
      <c r="A773">
        <f t="shared" si="12"/>
        <v>23</v>
      </c>
      <c r="B773">
        <v>24</v>
      </c>
      <c r="C773" s="1">
        <v>17065</v>
      </c>
      <c r="D773" s="4" t="str">
        <f>VLOOKUP('Flow2 '!A773,'ALokasi Pelabuhan '!$A:$C,3,TRUE)</f>
        <v>P24</v>
      </c>
      <c r="E773" s="4" t="str">
        <f>VLOOKUP('Flow2 '!B773,'ALokasi Pelabuhan '!$A:$C,3,TRUE)</f>
        <v>P23</v>
      </c>
    </row>
    <row r="774" spans="1:5" x14ac:dyDescent="0.25">
      <c r="A774">
        <f t="shared" si="12"/>
        <v>23</v>
      </c>
      <c r="B774">
        <v>25</v>
      </c>
      <c r="C774" s="1">
        <v>57215</v>
      </c>
      <c r="D774" s="4" t="str">
        <f>VLOOKUP('Flow2 '!A774,'ALokasi Pelabuhan '!$A:$C,3,TRUE)</f>
        <v>P24</v>
      </c>
      <c r="E774" s="4" t="str">
        <f>VLOOKUP('Flow2 '!B774,'ALokasi Pelabuhan '!$A:$C,3,TRUE)</f>
        <v>P2</v>
      </c>
    </row>
    <row r="775" spans="1:5" x14ac:dyDescent="0.25">
      <c r="A775">
        <f t="shared" si="12"/>
        <v>23</v>
      </c>
      <c r="B775">
        <v>26</v>
      </c>
      <c r="C775" s="1">
        <v>169883</v>
      </c>
      <c r="D775" s="4" t="str">
        <f>VLOOKUP('Flow2 '!A775,'ALokasi Pelabuhan '!$A:$C,3,TRUE)</f>
        <v>P24</v>
      </c>
      <c r="E775" s="4" t="str">
        <f>VLOOKUP('Flow2 '!B775,'ALokasi Pelabuhan '!$A:$C,3,TRUE)</f>
        <v>P17</v>
      </c>
    </row>
    <row r="776" spans="1:5" x14ac:dyDescent="0.25">
      <c r="A776">
        <f t="shared" si="12"/>
        <v>23</v>
      </c>
      <c r="B776">
        <v>27</v>
      </c>
      <c r="C776" s="1">
        <v>394945</v>
      </c>
      <c r="D776" s="4" t="str">
        <f>VLOOKUP('Flow2 '!A776,'ALokasi Pelabuhan '!$A:$C,3,TRUE)</f>
        <v>P24</v>
      </c>
      <c r="E776" s="4" t="str">
        <f>VLOOKUP('Flow2 '!B776,'ALokasi Pelabuhan '!$A:$C,3,TRUE)</f>
        <v>P17</v>
      </c>
    </row>
    <row r="777" spans="1:5" x14ac:dyDescent="0.25">
      <c r="A777">
        <f t="shared" si="12"/>
        <v>23</v>
      </c>
      <c r="B777">
        <v>28</v>
      </c>
      <c r="C777" s="1">
        <v>68337</v>
      </c>
      <c r="D777" s="4" t="str">
        <f>VLOOKUP('Flow2 '!A777,'ALokasi Pelabuhan '!$A:$C,3,TRUE)</f>
        <v>P24</v>
      </c>
      <c r="E777" s="4" t="str">
        <f>VLOOKUP('Flow2 '!B777,'ALokasi Pelabuhan '!$A:$C,3,TRUE)</f>
        <v>P16</v>
      </c>
    </row>
    <row r="778" spans="1:5" x14ac:dyDescent="0.25">
      <c r="A778">
        <f t="shared" si="12"/>
        <v>23</v>
      </c>
      <c r="B778">
        <v>29</v>
      </c>
      <c r="C778" s="1">
        <v>34249</v>
      </c>
      <c r="D778" s="4" t="str">
        <f>VLOOKUP('Flow2 '!A778,'ALokasi Pelabuhan '!$A:$C,3,TRUE)</f>
        <v>P24</v>
      </c>
      <c r="E778" s="4" t="str">
        <f>VLOOKUP('Flow2 '!B778,'ALokasi Pelabuhan '!$A:$C,3,TRUE)</f>
        <v>P18</v>
      </c>
    </row>
    <row r="779" spans="1:5" x14ac:dyDescent="0.25">
      <c r="A779">
        <f t="shared" si="12"/>
        <v>23</v>
      </c>
      <c r="B779">
        <v>30</v>
      </c>
      <c r="C779" s="1">
        <v>67967</v>
      </c>
      <c r="D779" s="4" t="str">
        <f>VLOOKUP('Flow2 '!A779,'ALokasi Pelabuhan '!$A:$C,3,TRUE)</f>
        <v>P24</v>
      </c>
      <c r="E779" s="4" t="str">
        <f>VLOOKUP('Flow2 '!B779,'ALokasi Pelabuhan '!$A:$C,3,TRUE)</f>
        <v>P19</v>
      </c>
    </row>
    <row r="780" spans="1:5" x14ac:dyDescent="0.25">
      <c r="A780">
        <f t="shared" si="12"/>
        <v>23</v>
      </c>
      <c r="B780">
        <v>31</v>
      </c>
      <c r="C780" s="1">
        <v>38452</v>
      </c>
      <c r="D780" s="4" t="str">
        <f>VLOOKUP('Flow2 '!A780,'ALokasi Pelabuhan '!$A:$C,3,TRUE)</f>
        <v>P24</v>
      </c>
      <c r="E780" s="4" t="str">
        <f>VLOOKUP('Flow2 '!B780,'ALokasi Pelabuhan '!$A:$C,3,TRUE)</f>
        <v>P4</v>
      </c>
    </row>
    <row r="781" spans="1:5" x14ac:dyDescent="0.25">
      <c r="A781">
        <f t="shared" si="12"/>
        <v>23</v>
      </c>
      <c r="B781">
        <v>32</v>
      </c>
      <c r="C781" s="1">
        <v>24113</v>
      </c>
      <c r="D781" s="4" t="str">
        <f>VLOOKUP('Flow2 '!A781,'ALokasi Pelabuhan '!$A:$C,3,TRUE)</f>
        <v>P24</v>
      </c>
      <c r="E781" s="4" t="str">
        <f>VLOOKUP('Flow2 '!B781,'ALokasi Pelabuhan '!$A:$C,3,TRUE)</f>
        <v>P6</v>
      </c>
    </row>
    <row r="782" spans="1:5" x14ac:dyDescent="0.25">
      <c r="A782">
        <f t="shared" si="12"/>
        <v>23</v>
      </c>
      <c r="B782">
        <v>33</v>
      </c>
      <c r="C782" s="1">
        <v>2749.053497775803</v>
      </c>
      <c r="D782" s="4" t="str">
        <f>VLOOKUP('Flow2 '!A782,'ALokasi Pelabuhan '!$A:$C,3,TRUE)</f>
        <v>P24</v>
      </c>
      <c r="E782" s="4" t="str">
        <f>VLOOKUP('Flow2 '!B782,'ALokasi Pelabuhan '!$A:$C,3,TRUE)</f>
        <v>P2</v>
      </c>
    </row>
    <row r="783" spans="1:5" x14ac:dyDescent="0.25">
      <c r="A783">
        <f t="shared" si="12"/>
        <v>23</v>
      </c>
      <c r="B783">
        <v>34</v>
      </c>
      <c r="C783" s="1">
        <v>9869.9465022242002</v>
      </c>
      <c r="D783" s="4" t="str">
        <f>VLOOKUP('Flow2 '!A783,'ALokasi Pelabuhan '!$A:$C,3,TRUE)</f>
        <v>P24</v>
      </c>
      <c r="E783" s="4" t="str">
        <f>VLOOKUP('Flow2 '!B783,'ALokasi Pelabuhan '!$A:$C,3,TRUE)</f>
        <v>P9</v>
      </c>
    </row>
    <row r="784" spans="1:5" x14ac:dyDescent="0.25">
      <c r="A784">
        <f t="shared" si="12"/>
        <v>24</v>
      </c>
      <c r="B784">
        <v>1</v>
      </c>
      <c r="C784" s="1">
        <v>13872</v>
      </c>
      <c r="D784" s="4" t="str">
        <f>VLOOKUP('Flow2 '!A784,'ALokasi Pelabuhan '!$A:$C,3,TRUE)</f>
        <v>P23</v>
      </c>
      <c r="E784" s="4" t="str">
        <f>VLOOKUP('Flow2 '!B784,'ALokasi Pelabuhan '!$A:$C,3,TRUE)</f>
        <v>P1</v>
      </c>
    </row>
    <row r="785" spans="1:5" x14ac:dyDescent="0.25">
      <c r="A785">
        <f t="shared" si="12"/>
        <v>24</v>
      </c>
      <c r="B785">
        <v>2</v>
      </c>
      <c r="C785" s="1">
        <v>35875</v>
      </c>
      <c r="D785" s="4" t="str">
        <f>VLOOKUP('Flow2 '!A785,'ALokasi Pelabuhan '!$A:$C,3,TRUE)</f>
        <v>P23</v>
      </c>
      <c r="E785" s="4" t="str">
        <f>VLOOKUP('Flow2 '!B785,'ALokasi Pelabuhan '!$A:$C,3,TRUE)</f>
        <v>P10</v>
      </c>
    </row>
    <row r="786" spans="1:5" x14ac:dyDescent="0.25">
      <c r="A786">
        <f t="shared" si="12"/>
        <v>24</v>
      </c>
      <c r="B786">
        <v>3</v>
      </c>
      <c r="C786" s="1">
        <v>14482</v>
      </c>
      <c r="D786" s="4" t="str">
        <f>VLOOKUP('Flow2 '!A786,'ALokasi Pelabuhan '!$A:$C,3,TRUE)</f>
        <v>P23</v>
      </c>
      <c r="E786" s="4" t="str">
        <f>VLOOKUP('Flow2 '!B786,'ALokasi Pelabuhan '!$A:$C,3,TRUE)</f>
        <v>P8</v>
      </c>
    </row>
    <row r="787" spans="1:5" x14ac:dyDescent="0.25">
      <c r="A787">
        <f t="shared" si="12"/>
        <v>24</v>
      </c>
      <c r="B787">
        <v>4</v>
      </c>
      <c r="C787" s="1">
        <v>18490</v>
      </c>
      <c r="D787" s="4" t="str">
        <f>VLOOKUP('Flow2 '!A787,'ALokasi Pelabuhan '!$A:$C,3,TRUE)</f>
        <v>P23</v>
      </c>
      <c r="E787" s="4" t="str">
        <f>VLOOKUP('Flow2 '!B787,'ALokasi Pelabuhan '!$A:$C,3,TRUE)</f>
        <v>P4</v>
      </c>
    </row>
    <row r="788" spans="1:5" x14ac:dyDescent="0.25">
      <c r="A788">
        <f t="shared" si="12"/>
        <v>24</v>
      </c>
      <c r="B788">
        <v>5</v>
      </c>
      <c r="C788" s="1">
        <v>10219</v>
      </c>
      <c r="D788" s="4" t="str">
        <f>VLOOKUP('Flow2 '!A788,'ALokasi Pelabuhan '!$A:$C,3,TRUE)</f>
        <v>P23</v>
      </c>
      <c r="E788" s="4" t="str">
        <f>VLOOKUP('Flow2 '!B788,'ALokasi Pelabuhan '!$A:$C,3,TRUE)</f>
        <v>P19</v>
      </c>
    </row>
    <row r="789" spans="1:5" x14ac:dyDescent="0.25">
      <c r="A789">
        <f t="shared" si="12"/>
        <v>24</v>
      </c>
      <c r="B789">
        <v>6</v>
      </c>
      <c r="C789" s="1">
        <v>24741</v>
      </c>
      <c r="D789" s="4" t="str">
        <f>VLOOKUP('Flow2 '!A789,'ALokasi Pelabuhan '!$A:$C,3,TRUE)</f>
        <v>P23</v>
      </c>
      <c r="E789" s="4" t="str">
        <f>VLOOKUP('Flow2 '!B789,'ALokasi Pelabuhan '!$A:$C,3,TRUE)</f>
        <v>P8</v>
      </c>
    </row>
    <row r="790" spans="1:5" x14ac:dyDescent="0.25">
      <c r="A790">
        <f t="shared" si="12"/>
        <v>24</v>
      </c>
      <c r="B790">
        <v>7</v>
      </c>
      <c r="C790" s="1">
        <v>5376</v>
      </c>
      <c r="D790" s="4" t="str">
        <f>VLOOKUP('Flow2 '!A790,'ALokasi Pelabuhan '!$A:$C,3,TRUE)</f>
        <v>P23</v>
      </c>
      <c r="E790" s="4" t="str">
        <f>VLOOKUP('Flow2 '!B790,'ALokasi Pelabuhan '!$A:$C,3,TRUE)</f>
        <v>P5</v>
      </c>
    </row>
    <row r="791" spans="1:5" x14ac:dyDescent="0.25">
      <c r="A791">
        <f t="shared" si="12"/>
        <v>24</v>
      </c>
      <c r="B791">
        <v>8</v>
      </c>
      <c r="C791" s="1">
        <v>23527</v>
      </c>
      <c r="D791" s="4" t="str">
        <f>VLOOKUP('Flow2 '!A791,'ALokasi Pelabuhan '!$A:$C,3,TRUE)</f>
        <v>P23</v>
      </c>
      <c r="E791" s="4" t="str">
        <f>VLOOKUP('Flow2 '!B791,'ALokasi Pelabuhan '!$A:$C,3,TRUE)</f>
        <v>P8</v>
      </c>
    </row>
    <row r="792" spans="1:5" x14ac:dyDescent="0.25">
      <c r="A792">
        <f t="shared" si="12"/>
        <v>24</v>
      </c>
      <c r="B792">
        <v>9</v>
      </c>
      <c r="C792" s="1">
        <v>6624</v>
      </c>
      <c r="D792" s="4" t="str">
        <f>VLOOKUP('Flow2 '!A792,'ALokasi Pelabuhan '!$A:$C,3,TRUE)</f>
        <v>P23</v>
      </c>
      <c r="E792" s="4" t="str">
        <f>VLOOKUP('Flow2 '!B792,'ALokasi Pelabuhan '!$A:$C,3,TRUE)</f>
        <v>P9</v>
      </c>
    </row>
    <row r="793" spans="1:5" x14ac:dyDescent="0.25">
      <c r="A793">
        <f t="shared" si="12"/>
        <v>24</v>
      </c>
      <c r="B793">
        <v>10</v>
      </c>
      <c r="C793" s="1">
        <v>7488</v>
      </c>
      <c r="D793" s="4" t="str">
        <f>VLOOKUP('Flow2 '!A793,'ALokasi Pelabuhan '!$A:$C,3,TRUE)</f>
        <v>P23</v>
      </c>
      <c r="E793" s="4" t="str">
        <f>VLOOKUP('Flow2 '!B793,'ALokasi Pelabuhan '!$A:$C,3,TRUE)</f>
        <v>P10</v>
      </c>
    </row>
    <row r="794" spans="1:5" x14ac:dyDescent="0.25">
      <c r="A794">
        <f t="shared" si="12"/>
        <v>24</v>
      </c>
      <c r="B794">
        <v>11</v>
      </c>
      <c r="C794" s="1">
        <v>30375</v>
      </c>
      <c r="D794" s="4" t="str">
        <f>VLOOKUP('Flow2 '!A794,'ALokasi Pelabuhan '!$A:$C,3,TRUE)</f>
        <v>P23</v>
      </c>
      <c r="E794" s="4" t="str">
        <f>VLOOKUP('Flow2 '!B794,'ALokasi Pelabuhan '!$A:$C,3,TRUE)</f>
        <v>P11</v>
      </c>
    </row>
    <row r="795" spans="1:5" x14ac:dyDescent="0.25">
      <c r="A795">
        <f t="shared" si="12"/>
        <v>24</v>
      </c>
      <c r="B795">
        <v>12</v>
      </c>
      <c r="C795" s="1">
        <v>143354</v>
      </c>
      <c r="D795" s="4" t="str">
        <f>VLOOKUP('Flow2 '!A795,'ALokasi Pelabuhan '!$A:$C,3,TRUE)</f>
        <v>P23</v>
      </c>
      <c r="E795" s="4" t="str">
        <f>VLOOKUP('Flow2 '!B795,'ALokasi Pelabuhan '!$A:$C,3,TRUE)</f>
        <v>P13</v>
      </c>
    </row>
    <row r="796" spans="1:5" x14ac:dyDescent="0.25">
      <c r="A796">
        <f t="shared" si="12"/>
        <v>24</v>
      </c>
      <c r="B796">
        <v>13</v>
      </c>
      <c r="C796" s="1">
        <v>115546</v>
      </c>
      <c r="D796" s="4" t="str">
        <f>VLOOKUP('Flow2 '!A796,'ALokasi Pelabuhan '!$A:$C,3,TRUE)</f>
        <v>P23</v>
      </c>
      <c r="E796" s="4" t="str">
        <f>VLOOKUP('Flow2 '!B796,'ALokasi Pelabuhan '!$A:$C,3,TRUE)</f>
        <v>P12</v>
      </c>
    </row>
    <row r="797" spans="1:5" x14ac:dyDescent="0.25">
      <c r="A797">
        <f t="shared" si="12"/>
        <v>24</v>
      </c>
      <c r="B797">
        <v>14</v>
      </c>
      <c r="C797" s="1">
        <v>12247</v>
      </c>
      <c r="D797" s="4" t="str">
        <f>VLOOKUP('Flow2 '!A797,'ALokasi Pelabuhan '!$A:$C,3,TRUE)</f>
        <v>P23</v>
      </c>
      <c r="E797" s="4" t="str">
        <f>VLOOKUP('Flow2 '!B797,'ALokasi Pelabuhan '!$A:$C,3,TRUE)</f>
        <v>P14</v>
      </c>
    </row>
    <row r="798" spans="1:5" x14ac:dyDescent="0.25">
      <c r="A798">
        <f t="shared" si="12"/>
        <v>24</v>
      </c>
      <c r="B798">
        <v>15</v>
      </c>
      <c r="C798" s="1">
        <v>140672</v>
      </c>
      <c r="D798" s="4" t="str">
        <f>VLOOKUP('Flow2 '!A798,'ALokasi Pelabuhan '!$A:$C,3,TRUE)</f>
        <v>P23</v>
      </c>
      <c r="E798" s="4" t="str">
        <f>VLOOKUP('Flow2 '!B798,'ALokasi Pelabuhan '!$A:$C,3,TRUE)</f>
        <v>P15</v>
      </c>
    </row>
    <row r="799" spans="1:5" x14ac:dyDescent="0.25">
      <c r="A799">
        <f t="shared" si="12"/>
        <v>24</v>
      </c>
      <c r="B799">
        <v>16</v>
      </c>
      <c r="C799" s="1">
        <v>35224</v>
      </c>
      <c r="D799" s="4" t="str">
        <f>VLOOKUP('Flow2 '!A799,'ALokasi Pelabuhan '!$A:$C,3,TRUE)</f>
        <v>P23</v>
      </c>
      <c r="E799" s="4" t="str">
        <f>VLOOKUP('Flow2 '!B799,'ALokasi Pelabuhan '!$A:$C,3,TRUE)</f>
        <v>P6</v>
      </c>
    </row>
    <row r="800" spans="1:5" x14ac:dyDescent="0.25">
      <c r="A800">
        <f t="shared" si="12"/>
        <v>24</v>
      </c>
      <c r="B800">
        <v>17</v>
      </c>
      <c r="C800" s="1">
        <v>15598</v>
      </c>
      <c r="D800" s="4" t="str">
        <f>VLOOKUP('Flow2 '!A800,'ALokasi Pelabuhan '!$A:$C,3,TRUE)</f>
        <v>P23</v>
      </c>
      <c r="E800" s="4" t="str">
        <f>VLOOKUP('Flow2 '!B800,'ALokasi Pelabuhan '!$A:$C,3,TRUE)</f>
        <v>P3</v>
      </c>
    </row>
    <row r="801" spans="1:5" x14ac:dyDescent="0.25">
      <c r="A801">
        <f t="shared" si="12"/>
        <v>24</v>
      </c>
      <c r="B801">
        <v>18</v>
      </c>
      <c r="C801" s="1">
        <v>19088</v>
      </c>
      <c r="D801" s="4" t="str">
        <f>VLOOKUP('Flow2 '!A801,'ALokasi Pelabuhan '!$A:$C,3,TRUE)</f>
        <v>P23</v>
      </c>
      <c r="E801" s="4" t="str">
        <f>VLOOKUP('Flow2 '!B801,'ALokasi Pelabuhan '!$A:$C,3,TRUE)</f>
        <v>P7</v>
      </c>
    </row>
    <row r="802" spans="1:5" x14ac:dyDescent="0.25">
      <c r="A802">
        <f t="shared" si="12"/>
        <v>24</v>
      </c>
      <c r="B802">
        <v>19</v>
      </c>
      <c r="C802" s="1">
        <v>20764</v>
      </c>
      <c r="D802" s="4" t="str">
        <f>VLOOKUP('Flow2 '!A802,'ALokasi Pelabuhan '!$A:$C,3,TRUE)</f>
        <v>P23</v>
      </c>
      <c r="E802" s="4" t="str">
        <f>VLOOKUP('Flow2 '!B802,'ALokasi Pelabuhan '!$A:$C,3,TRUE)</f>
        <v>P22</v>
      </c>
    </row>
    <row r="803" spans="1:5" x14ac:dyDescent="0.25">
      <c r="A803">
        <f t="shared" si="12"/>
        <v>24</v>
      </c>
      <c r="B803">
        <v>20</v>
      </c>
      <c r="C803" s="1">
        <v>33167</v>
      </c>
      <c r="D803" s="4" t="str">
        <f>VLOOKUP('Flow2 '!A803,'ALokasi Pelabuhan '!$A:$C,3,TRUE)</f>
        <v>P23</v>
      </c>
      <c r="E803" s="4" t="str">
        <f>VLOOKUP('Flow2 '!B803,'ALokasi Pelabuhan '!$A:$C,3,TRUE)</f>
        <v>P21</v>
      </c>
    </row>
    <row r="804" spans="1:5" x14ac:dyDescent="0.25">
      <c r="A804">
        <f t="shared" si="12"/>
        <v>24</v>
      </c>
      <c r="B804">
        <v>21</v>
      </c>
      <c r="C804" s="1">
        <v>20173</v>
      </c>
      <c r="D804" s="4" t="str">
        <f>VLOOKUP('Flow2 '!A804,'ALokasi Pelabuhan '!$A:$C,3,TRUE)</f>
        <v>P23</v>
      </c>
      <c r="E804" s="4" t="str">
        <f>VLOOKUP('Flow2 '!B804,'ALokasi Pelabuhan '!$A:$C,3,TRUE)</f>
        <v>P20</v>
      </c>
    </row>
    <row r="805" spans="1:5" x14ac:dyDescent="0.25">
      <c r="A805">
        <f t="shared" si="12"/>
        <v>24</v>
      </c>
      <c r="B805">
        <v>22</v>
      </c>
      <c r="C805" s="1">
        <v>28339</v>
      </c>
      <c r="D805" s="4" t="str">
        <f>VLOOKUP('Flow2 '!A805,'ALokasi Pelabuhan '!$A:$C,3,TRUE)</f>
        <v>P23</v>
      </c>
      <c r="E805" s="4" t="str">
        <f>VLOOKUP('Flow2 '!B805,'ALokasi Pelabuhan '!$A:$C,3,TRUE)</f>
        <v>P20</v>
      </c>
    </row>
    <row r="806" spans="1:5" x14ac:dyDescent="0.25">
      <c r="A806">
        <f t="shared" si="12"/>
        <v>24</v>
      </c>
      <c r="B806">
        <v>23</v>
      </c>
      <c r="C806" s="1">
        <v>48784</v>
      </c>
      <c r="D806" s="4" t="str">
        <f>VLOOKUP('Flow2 '!A806,'ALokasi Pelabuhan '!$A:$C,3,TRUE)</f>
        <v>P23</v>
      </c>
      <c r="E806" s="4" t="str">
        <f>VLOOKUP('Flow2 '!B806,'ALokasi Pelabuhan '!$A:$C,3,TRUE)</f>
        <v>P24</v>
      </c>
    </row>
    <row r="807" spans="1:5" x14ac:dyDescent="0.25">
      <c r="A807">
        <f t="shared" si="12"/>
        <v>24</v>
      </c>
      <c r="B807">
        <v>24</v>
      </c>
      <c r="C807" s="1">
        <v>23311</v>
      </c>
      <c r="D807" s="4" t="str">
        <f>VLOOKUP('Flow2 '!A807,'ALokasi Pelabuhan '!$A:$C,3,TRUE)</f>
        <v>P23</v>
      </c>
      <c r="E807" s="4" t="str">
        <f>VLOOKUP('Flow2 '!B807,'ALokasi Pelabuhan '!$A:$C,3,TRUE)</f>
        <v>P23</v>
      </c>
    </row>
    <row r="808" spans="1:5" x14ac:dyDescent="0.25">
      <c r="A808">
        <f t="shared" si="12"/>
        <v>24</v>
      </c>
      <c r="B808">
        <v>25</v>
      </c>
      <c r="C808" s="1">
        <v>15232</v>
      </c>
      <c r="D808" s="4" t="str">
        <f>VLOOKUP('Flow2 '!A808,'ALokasi Pelabuhan '!$A:$C,3,TRUE)</f>
        <v>P23</v>
      </c>
      <c r="E808" s="4" t="str">
        <f>VLOOKUP('Flow2 '!B808,'ALokasi Pelabuhan '!$A:$C,3,TRUE)</f>
        <v>P2</v>
      </c>
    </row>
    <row r="809" spans="1:5" x14ac:dyDescent="0.25">
      <c r="A809">
        <f t="shared" si="12"/>
        <v>24</v>
      </c>
      <c r="B809">
        <v>26</v>
      </c>
      <c r="C809" s="1">
        <v>25597</v>
      </c>
      <c r="D809" s="4" t="str">
        <f>VLOOKUP('Flow2 '!A809,'ALokasi Pelabuhan '!$A:$C,3,TRUE)</f>
        <v>P23</v>
      </c>
      <c r="E809" s="4" t="str">
        <f>VLOOKUP('Flow2 '!B809,'ALokasi Pelabuhan '!$A:$C,3,TRUE)</f>
        <v>P17</v>
      </c>
    </row>
    <row r="810" spans="1:5" x14ac:dyDescent="0.25">
      <c r="A810">
        <f t="shared" si="12"/>
        <v>24</v>
      </c>
      <c r="B810">
        <v>27</v>
      </c>
      <c r="C810" s="1">
        <v>46439</v>
      </c>
      <c r="D810" s="4" t="str">
        <f>VLOOKUP('Flow2 '!A810,'ALokasi Pelabuhan '!$A:$C,3,TRUE)</f>
        <v>P23</v>
      </c>
      <c r="E810" s="4" t="str">
        <f>VLOOKUP('Flow2 '!B810,'ALokasi Pelabuhan '!$A:$C,3,TRUE)</f>
        <v>P17</v>
      </c>
    </row>
    <row r="811" spans="1:5" x14ac:dyDescent="0.25">
      <c r="A811">
        <f t="shared" si="12"/>
        <v>24</v>
      </c>
      <c r="B811">
        <v>28</v>
      </c>
      <c r="C811" s="1">
        <v>13561</v>
      </c>
      <c r="D811" s="4" t="str">
        <f>VLOOKUP('Flow2 '!A811,'ALokasi Pelabuhan '!$A:$C,3,TRUE)</f>
        <v>P23</v>
      </c>
      <c r="E811" s="4" t="str">
        <f>VLOOKUP('Flow2 '!B811,'ALokasi Pelabuhan '!$A:$C,3,TRUE)</f>
        <v>P16</v>
      </c>
    </row>
    <row r="812" spans="1:5" x14ac:dyDescent="0.25">
      <c r="A812">
        <f t="shared" si="12"/>
        <v>24</v>
      </c>
      <c r="B812">
        <v>29</v>
      </c>
      <c r="C812" s="1">
        <v>7664</v>
      </c>
      <c r="D812" s="4" t="str">
        <f>VLOOKUP('Flow2 '!A812,'ALokasi Pelabuhan '!$A:$C,3,TRUE)</f>
        <v>P23</v>
      </c>
      <c r="E812" s="4" t="str">
        <f>VLOOKUP('Flow2 '!B812,'ALokasi Pelabuhan '!$A:$C,3,TRUE)</f>
        <v>P18</v>
      </c>
    </row>
    <row r="813" spans="1:5" x14ac:dyDescent="0.25">
      <c r="A813">
        <f t="shared" si="12"/>
        <v>24</v>
      </c>
      <c r="B813">
        <v>30</v>
      </c>
      <c r="C813" s="1">
        <v>9287</v>
      </c>
      <c r="D813" s="4" t="str">
        <f>VLOOKUP('Flow2 '!A813,'ALokasi Pelabuhan '!$A:$C,3,TRUE)</f>
        <v>P23</v>
      </c>
      <c r="E813" s="4" t="str">
        <f>VLOOKUP('Flow2 '!B813,'ALokasi Pelabuhan '!$A:$C,3,TRUE)</f>
        <v>P19</v>
      </c>
    </row>
    <row r="814" spans="1:5" x14ac:dyDescent="0.25">
      <c r="A814">
        <f t="shared" si="12"/>
        <v>24</v>
      </c>
      <c r="B814">
        <v>31</v>
      </c>
      <c r="C814" s="1">
        <v>7632</v>
      </c>
      <c r="D814" s="4" t="str">
        <f>VLOOKUP('Flow2 '!A814,'ALokasi Pelabuhan '!$A:$C,3,TRUE)</f>
        <v>P23</v>
      </c>
      <c r="E814" s="4" t="str">
        <f>VLOOKUP('Flow2 '!B814,'ALokasi Pelabuhan '!$A:$C,3,TRUE)</f>
        <v>P4</v>
      </c>
    </row>
    <row r="815" spans="1:5" x14ac:dyDescent="0.25">
      <c r="A815">
        <f t="shared" si="12"/>
        <v>24</v>
      </c>
      <c r="B815">
        <v>32</v>
      </c>
      <c r="C815" s="1">
        <v>5999</v>
      </c>
      <c r="D815" s="4" t="str">
        <f>VLOOKUP('Flow2 '!A815,'ALokasi Pelabuhan '!$A:$C,3,TRUE)</f>
        <v>P23</v>
      </c>
      <c r="E815" s="4" t="str">
        <f>VLOOKUP('Flow2 '!B815,'ALokasi Pelabuhan '!$A:$C,3,TRUE)</f>
        <v>P6</v>
      </c>
    </row>
    <row r="816" spans="1:5" x14ac:dyDescent="0.25">
      <c r="A816">
        <f t="shared" si="12"/>
        <v>24</v>
      </c>
      <c r="B816">
        <v>33</v>
      </c>
      <c r="C816" s="1">
        <v>1331.0656051517676</v>
      </c>
      <c r="D816" s="4" t="str">
        <f>VLOOKUP('Flow2 '!A816,'ALokasi Pelabuhan '!$A:$C,3,TRUE)</f>
        <v>P23</v>
      </c>
      <c r="E816" s="4" t="str">
        <f>VLOOKUP('Flow2 '!B816,'ALokasi Pelabuhan '!$A:$C,3,TRUE)</f>
        <v>P2</v>
      </c>
    </row>
    <row r="817" spans="1:5" x14ac:dyDescent="0.25">
      <c r="A817">
        <f t="shared" si="12"/>
        <v>24</v>
      </c>
      <c r="B817">
        <v>34</v>
      </c>
      <c r="C817" s="1">
        <v>4778.9343948482338</v>
      </c>
      <c r="D817" s="4" t="str">
        <f>VLOOKUP('Flow2 '!A817,'ALokasi Pelabuhan '!$A:$C,3,TRUE)</f>
        <v>P23</v>
      </c>
      <c r="E817" s="4" t="str">
        <f>VLOOKUP('Flow2 '!B817,'ALokasi Pelabuhan '!$A:$C,3,TRUE)</f>
        <v>P9</v>
      </c>
    </row>
    <row r="818" spans="1:5" x14ac:dyDescent="0.25">
      <c r="A818">
        <f t="shared" si="12"/>
        <v>25</v>
      </c>
      <c r="B818">
        <v>1</v>
      </c>
      <c r="C818" s="1">
        <v>32376</v>
      </c>
      <c r="D818" s="4" t="str">
        <f>VLOOKUP('Flow2 '!A818,'ALokasi Pelabuhan '!$A:$C,3,TRUE)</f>
        <v>P2</v>
      </c>
      <c r="E818" s="4" t="str">
        <f>VLOOKUP('Flow2 '!B818,'ALokasi Pelabuhan '!$A:$C,3,TRUE)</f>
        <v>P1</v>
      </c>
    </row>
    <row r="819" spans="1:5" x14ac:dyDescent="0.25">
      <c r="A819">
        <f t="shared" si="12"/>
        <v>25</v>
      </c>
      <c r="B819">
        <v>2</v>
      </c>
      <c r="C819" s="1">
        <v>74095</v>
      </c>
      <c r="D819" s="4" t="str">
        <f>VLOOKUP('Flow2 '!A819,'ALokasi Pelabuhan '!$A:$C,3,TRUE)</f>
        <v>P2</v>
      </c>
      <c r="E819" s="4" t="str">
        <f>VLOOKUP('Flow2 '!B819,'ALokasi Pelabuhan '!$A:$C,3,TRUE)</f>
        <v>P10</v>
      </c>
    </row>
    <row r="820" spans="1:5" x14ac:dyDescent="0.25">
      <c r="A820">
        <f t="shared" si="12"/>
        <v>25</v>
      </c>
      <c r="B820">
        <v>3</v>
      </c>
      <c r="C820" s="1">
        <v>30617</v>
      </c>
      <c r="D820" s="4" t="str">
        <f>VLOOKUP('Flow2 '!A820,'ALokasi Pelabuhan '!$A:$C,3,TRUE)</f>
        <v>P2</v>
      </c>
      <c r="E820" s="4" t="str">
        <f>VLOOKUP('Flow2 '!B820,'ALokasi Pelabuhan '!$A:$C,3,TRUE)</f>
        <v>P8</v>
      </c>
    </row>
    <row r="821" spans="1:5" x14ac:dyDescent="0.25">
      <c r="A821">
        <f t="shared" si="12"/>
        <v>25</v>
      </c>
      <c r="B821">
        <v>4</v>
      </c>
      <c r="C821" s="1">
        <v>37983</v>
      </c>
      <c r="D821" s="4" t="str">
        <f>VLOOKUP('Flow2 '!A821,'ALokasi Pelabuhan '!$A:$C,3,TRUE)</f>
        <v>P2</v>
      </c>
      <c r="E821" s="4" t="str">
        <f>VLOOKUP('Flow2 '!B821,'ALokasi Pelabuhan '!$A:$C,3,TRUE)</f>
        <v>P4</v>
      </c>
    </row>
    <row r="822" spans="1:5" x14ac:dyDescent="0.25">
      <c r="A822">
        <f t="shared" si="12"/>
        <v>25</v>
      </c>
      <c r="B822">
        <v>5</v>
      </c>
      <c r="C822" s="1">
        <v>22335</v>
      </c>
      <c r="D822" s="4" t="str">
        <f>VLOOKUP('Flow2 '!A822,'ALokasi Pelabuhan '!$A:$C,3,TRUE)</f>
        <v>P2</v>
      </c>
      <c r="E822" s="4" t="str">
        <f>VLOOKUP('Flow2 '!B822,'ALokasi Pelabuhan '!$A:$C,3,TRUE)</f>
        <v>P19</v>
      </c>
    </row>
    <row r="823" spans="1:5" x14ac:dyDescent="0.25">
      <c r="A823">
        <f t="shared" si="12"/>
        <v>25</v>
      </c>
      <c r="B823">
        <v>6</v>
      </c>
      <c r="C823" s="1">
        <v>50769</v>
      </c>
      <c r="D823" s="4" t="str">
        <f>VLOOKUP('Flow2 '!A823,'ALokasi Pelabuhan '!$A:$C,3,TRUE)</f>
        <v>P2</v>
      </c>
      <c r="E823" s="4" t="str">
        <f>VLOOKUP('Flow2 '!B823,'ALokasi Pelabuhan '!$A:$C,3,TRUE)</f>
        <v>P8</v>
      </c>
    </row>
    <row r="824" spans="1:5" x14ac:dyDescent="0.25">
      <c r="A824">
        <f t="shared" si="12"/>
        <v>25</v>
      </c>
      <c r="B824">
        <v>7</v>
      </c>
      <c r="C824" s="1">
        <v>11744</v>
      </c>
      <c r="D824" s="4" t="str">
        <f>VLOOKUP('Flow2 '!A824,'ALokasi Pelabuhan '!$A:$C,3,TRUE)</f>
        <v>P2</v>
      </c>
      <c r="E824" s="4" t="str">
        <f>VLOOKUP('Flow2 '!B824,'ALokasi Pelabuhan '!$A:$C,3,TRUE)</f>
        <v>P5</v>
      </c>
    </row>
    <row r="825" spans="1:5" x14ac:dyDescent="0.25">
      <c r="A825">
        <f t="shared" si="12"/>
        <v>25</v>
      </c>
      <c r="B825">
        <v>8</v>
      </c>
      <c r="C825" s="1">
        <v>48261</v>
      </c>
      <c r="D825" s="4" t="str">
        <f>VLOOKUP('Flow2 '!A825,'ALokasi Pelabuhan '!$A:$C,3,TRUE)</f>
        <v>P2</v>
      </c>
      <c r="E825" s="4" t="str">
        <f>VLOOKUP('Flow2 '!B825,'ALokasi Pelabuhan '!$A:$C,3,TRUE)</f>
        <v>P8</v>
      </c>
    </row>
    <row r="826" spans="1:5" x14ac:dyDescent="0.25">
      <c r="A826">
        <f t="shared" si="12"/>
        <v>25</v>
      </c>
      <c r="B826">
        <v>9</v>
      </c>
      <c r="C826" s="1">
        <v>15551</v>
      </c>
      <c r="D826" s="4" t="str">
        <f>VLOOKUP('Flow2 '!A826,'ALokasi Pelabuhan '!$A:$C,3,TRUE)</f>
        <v>P2</v>
      </c>
      <c r="E826" s="4" t="str">
        <f>VLOOKUP('Flow2 '!B826,'ALokasi Pelabuhan '!$A:$C,3,TRUE)</f>
        <v>P9</v>
      </c>
    </row>
    <row r="827" spans="1:5" x14ac:dyDescent="0.25">
      <c r="A827">
        <f t="shared" si="12"/>
        <v>25</v>
      </c>
      <c r="B827">
        <v>10</v>
      </c>
      <c r="C827" s="1">
        <v>14506</v>
      </c>
      <c r="D827" s="4" t="str">
        <f>VLOOKUP('Flow2 '!A827,'ALokasi Pelabuhan '!$A:$C,3,TRUE)</f>
        <v>P2</v>
      </c>
      <c r="E827" s="4" t="str">
        <f>VLOOKUP('Flow2 '!B827,'ALokasi Pelabuhan '!$A:$C,3,TRUE)</f>
        <v>P10</v>
      </c>
    </row>
    <row r="828" spans="1:5" x14ac:dyDescent="0.25">
      <c r="A828">
        <f t="shared" si="12"/>
        <v>25</v>
      </c>
      <c r="B828">
        <v>11</v>
      </c>
      <c r="C828" s="1">
        <v>66444</v>
      </c>
      <c r="D828" s="4" t="str">
        <f>VLOOKUP('Flow2 '!A828,'ALokasi Pelabuhan '!$A:$C,3,TRUE)</f>
        <v>P2</v>
      </c>
      <c r="E828" s="4" t="str">
        <f>VLOOKUP('Flow2 '!B828,'ALokasi Pelabuhan '!$A:$C,3,TRUE)</f>
        <v>P11</v>
      </c>
    </row>
    <row r="829" spans="1:5" x14ac:dyDescent="0.25">
      <c r="A829">
        <f t="shared" si="12"/>
        <v>25</v>
      </c>
      <c r="B829">
        <v>12</v>
      </c>
      <c r="C829" s="1">
        <v>316368</v>
      </c>
      <c r="D829" s="4" t="str">
        <f>VLOOKUP('Flow2 '!A829,'ALokasi Pelabuhan '!$A:$C,3,TRUE)</f>
        <v>P2</v>
      </c>
      <c r="E829" s="4" t="str">
        <f>VLOOKUP('Flow2 '!B829,'ALokasi Pelabuhan '!$A:$C,3,TRUE)</f>
        <v>P13</v>
      </c>
    </row>
    <row r="830" spans="1:5" x14ac:dyDescent="0.25">
      <c r="A830">
        <f t="shared" si="12"/>
        <v>25</v>
      </c>
      <c r="B830">
        <v>13</v>
      </c>
      <c r="C830" s="1">
        <v>259158</v>
      </c>
      <c r="D830" s="4" t="str">
        <f>VLOOKUP('Flow2 '!A830,'ALokasi Pelabuhan '!$A:$C,3,TRUE)</f>
        <v>P2</v>
      </c>
      <c r="E830" s="4" t="str">
        <f>VLOOKUP('Flow2 '!B830,'ALokasi Pelabuhan '!$A:$C,3,TRUE)</f>
        <v>P12</v>
      </c>
    </row>
    <row r="831" spans="1:5" x14ac:dyDescent="0.25">
      <c r="A831">
        <f t="shared" si="12"/>
        <v>25</v>
      </c>
      <c r="B831">
        <v>14</v>
      </c>
      <c r="C831" s="1">
        <v>28151</v>
      </c>
      <c r="D831" s="4" t="str">
        <f>VLOOKUP('Flow2 '!A831,'ALokasi Pelabuhan '!$A:$C,3,TRUE)</f>
        <v>P2</v>
      </c>
      <c r="E831" s="4" t="str">
        <f>VLOOKUP('Flow2 '!B831,'ALokasi Pelabuhan '!$A:$C,3,TRUE)</f>
        <v>P14</v>
      </c>
    </row>
    <row r="832" spans="1:5" x14ac:dyDescent="0.25">
      <c r="A832">
        <f t="shared" si="12"/>
        <v>25</v>
      </c>
      <c r="B832">
        <v>15</v>
      </c>
      <c r="C832" s="1">
        <v>339564</v>
      </c>
      <c r="D832" s="4" t="str">
        <f>VLOOKUP('Flow2 '!A832,'ALokasi Pelabuhan '!$A:$C,3,TRUE)</f>
        <v>P2</v>
      </c>
      <c r="E832" s="4" t="str">
        <f>VLOOKUP('Flow2 '!B832,'ALokasi Pelabuhan '!$A:$C,3,TRUE)</f>
        <v>P15</v>
      </c>
    </row>
    <row r="833" spans="1:5" x14ac:dyDescent="0.25">
      <c r="A833">
        <f t="shared" si="12"/>
        <v>25</v>
      </c>
      <c r="B833">
        <v>16</v>
      </c>
      <c r="C833" s="1">
        <v>78604</v>
      </c>
      <c r="D833" s="4" t="str">
        <f>VLOOKUP('Flow2 '!A833,'ALokasi Pelabuhan '!$A:$C,3,TRUE)</f>
        <v>P2</v>
      </c>
      <c r="E833" s="4" t="str">
        <f>VLOOKUP('Flow2 '!B833,'ALokasi Pelabuhan '!$A:$C,3,TRUE)</f>
        <v>P6</v>
      </c>
    </row>
    <row r="834" spans="1:5" x14ac:dyDescent="0.25">
      <c r="A834">
        <f t="shared" si="12"/>
        <v>25</v>
      </c>
      <c r="B834">
        <v>17</v>
      </c>
      <c r="C834" s="1">
        <v>42443</v>
      </c>
      <c r="D834" s="4" t="str">
        <f>VLOOKUP('Flow2 '!A834,'ALokasi Pelabuhan '!$A:$C,3,TRUE)</f>
        <v>P2</v>
      </c>
      <c r="E834" s="4" t="str">
        <f>VLOOKUP('Flow2 '!B834,'ALokasi Pelabuhan '!$A:$C,3,TRUE)</f>
        <v>P3</v>
      </c>
    </row>
    <row r="835" spans="1:5" x14ac:dyDescent="0.25">
      <c r="A835">
        <f t="shared" ref="A835:A898" si="13">INT((ROW()-ROW($A$2))/34)+1</f>
        <v>25</v>
      </c>
      <c r="B835">
        <v>18</v>
      </c>
      <c r="C835" s="1">
        <v>57884</v>
      </c>
      <c r="D835" s="4" t="str">
        <f>VLOOKUP('Flow2 '!A835,'ALokasi Pelabuhan '!$A:$C,3,TRUE)</f>
        <v>P2</v>
      </c>
      <c r="E835" s="4" t="str">
        <f>VLOOKUP('Flow2 '!B835,'ALokasi Pelabuhan '!$A:$C,3,TRUE)</f>
        <v>P7</v>
      </c>
    </row>
    <row r="836" spans="1:5" x14ac:dyDescent="0.25">
      <c r="A836">
        <f t="shared" si="13"/>
        <v>25</v>
      </c>
      <c r="B836">
        <v>19</v>
      </c>
      <c r="C836" s="1">
        <v>88665</v>
      </c>
      <c r="D836" s="4" t="str">
        <f>VLOOKUP('Flow2 '!A836,'ALokasi Pelabuhan '!$A:$C,3,TRUE)</f>
        <v>P2</v>
      </c>
      <c r="E836" s="4" t="str">
        <f>VLOOKUP('Flow2 '!B836,'ALokasi Pelabuhan '!$A:$C,3,TRUE)</f>
        <v>P22</v>
      </c>
    </row>
    <row r="837" spans="1:5" x14ac:dyDescent="0.25">
      <c r="A837">
        <f t="shared" si="13"/>
        <v>25</v>
      </c>
      <c r="B837">
        <v>20</v>
      </c>
      <c r="C837" s="1">
        <v>53051</v>
      </c>
      <c r="D837" s="4" t="str">
        <f>VLOOKUP('Flow2 '!A837,'ALokasi Pelabuhan '!$A:$C,3,TRUE)</f>
        <v>P2</v>
      </c>
      <c r="E837" s="4" t="str">
        <f>VLOOKUP('Flow2 '!B837,'ALokasi Pelabuhan '!$A:$C,3,TRUE)</f>
        <v>P21</v>
      </c>
    </row>
    <row r="838" spans="1:5" x14ac:dyDescent="0.25">
      <c r="A838">
        <f t="shared" si="13"/>
        <v>25</v>
      </c>
      <c r="B838">
        <v>21</v>
      </c>
      <c r="C838" s="1">
        <v>35343</v>
      </c>
      <c r="D838" s="4" t="str">
        <f>VLOOKUP('Flow2 '!A838,'ALokasi Pelabuhan '!$A:$C,3,TRUE)</f>
        <v>P2</v>
      </c>
      <c r="E838" s="4" t="str">
        <f>VLOOKUP('Flow2 '!B838,'ALokasi Pelabuhan '!$A:$C,3,TRUE)</f>
        <v>P20</v>
      </c>
    </row>
    <row r="839" spans="1:5" x14ac:dyDescent="0.25">
      <c r="A839">
        <f t="shared" si="13"/>
        <v>25</v>
      </c>
      <c r="B839">
        <v>22</v>
      </c>
      <c r="C839" s="1">
        <v>57566</v>
      </c>
      <c r="D839" s="4" t="str">
        <f>VLOOKUP('Flow2 '!A839,'ALokasi Pelabuhan '!$A:$C,3,TRUE)</f>
        <v>P2</v>
      </c>
      <c r="E839" s="4" t="str">
        <f>VLOOKUP('Flow2 '!B839,'ALokasi Pelabuhan '!$A:$C,3,TRUE)</f>
        <v>P20</v>
      </c>
    </row>
    <row r="840" spans="1:5" x14ac:dyDescent="0.25">
      <c r="A840">
        <f t="shared" si="13"/>
        <v>25</v>
      </c>
      <c r="B840">
        <v>23</v>
      </c>
      <c r="C840" s="1">
        <v>62474</v>
      </c>
      <c r="D840" s="4" t="str">
        <f>VLOOKUP('Flow2 '!A840,'ALokasi Pelabuhan '!$A:$C,3,TRUE)</f>
        <v>P2</v>
      </c>
      <c r="E840" s="4" t="str">
        <f>VLOOKUP('Flow2 '!B840,'ALokasi Pelabuhan '!$A:$C,3,TRUE)</f>
        <v>P24</v>
      </c>
    </row>
    <row r="841" spans="1:5" x14ac:dyDescent="0.25">
      <c r="A841">
        <f t="shared" si="13"/>
        <v>25</v>
      </c>
      <c r="B841">
        <v>24</v>
      </c>
      <c r="C841" s="1">
        <v>9541</v>
      </c>
      <c r="D841" s="4" t="str">
        <f>VLOOKUP('Flow2 '!A841,'ALokasi Pelabuhan '!$A:$C,3,TRUE)</f>
        <v>P2</v>
      </c>
      <c r="E841" s="4" t="str">
        <f>VLOOKUP('Flow2 '!B841,'ALokasi Pelabuhan '!$A:$C,3,TRUE)</f>
        <v>P23</v>
      </c>
    </row>
    <row r="842" spans="1:5" x14ac:dyDescent="0.25">
      <c r="A842">
        <f t="shared" si="13"/>
        <v>25</v>
      </c>
      <c r="B842">
        <v>25</v>
      </c>
      <c r="C842" s="1">
        <v>753384</v>
      </c>
      <c r="D842" s="4" t="str">
        <f>VLOOKUP('Flow2 '!A842,'ALokasi Pelabuhan '!$A:$C,3,TRUE)</f>
        <v>P2</v>
      </c>
      <c r="E842" s="4" t="str">
        <f>VLOOKUP('Flow2 '!B842,'ALokasi Pelabuhan '!$A:$C,3,TRUE)</f>
        <v>P2</v>
      </c>
    </row>
    <row r="843" spans="1:5" x14ac:dyDescent="0.25">
      <c r="A843">
        <f t="shared" si="13"/>
        <v>25</v>
      </c>
      <c r="B843">
        <v>26</v>
      </c>
      <c r="C843" s="1">
        <v>119721</v>
      </c>
      <c r="D843" s="4" t="str">
        <f>VLOOKUP('Flow2 '!A843,'ALokasi Pelabuhan '!$A:$C,3,TRUE)</f>
        <v>P2</v>
      </c>
      <c r="E843" s="4" t="str">
        <f>VLOOKUP('Flow2 '!B843,'ALokasi Pelabuhan '!$A:$C,3,TRUE)</f>
        <v>P17</v>
      </c>
    </row>
    <row r="844" spans="1:5" x14ac:dyDescent="0.25">
      <c r="A844">
        <f t="shared" si="13"/>
        <v>25</v>
      </c>
      <c r="B844">
        <v>27</v>
      </c>
      <c r="C844" s="1">
        <v>166852</v>
      </c>
      <c r="D844" s="4" t="str">
        <f>VLOOKUP('Flow2 '!A844,'ALokasi Pelabuhan '!$A:$C,3,TRUE)</f>
        <v>P2</v>
      </c>
      <c r="E844" s="4" t="str">
        <f>VLOOKUP('Flow2 '!B844,'ALokasi Pelabuhan '!$A:$C,3,TRUE)</f>
        <v>P17</v>
      </c>
    </row>
    <row r="845" spans="1:5" x14ac:dyDescent="0.25">
      <c r="A845">
        <f t="shared" si="13"/>
        <v>25</v>
      </c>
      <c r="B845">
        <v>28</v>
      </c>
      <c r="C845" s="1">
        <v>69981</v>
      </c>
      <c r="D845" s="4" t="str">
        <f>VLOOKUP('Flow2 '!A845,'ALokasi Pelabuhan '!$A:$C,3,TRUE)</f>
        <v>P2</v>
      </c>
      <c r="E845" s="4" t="str">
        <f>VLOOKUP('Flow2 '!B845,'ALokasi Pelabuhan '!$A:$C,3,TRUE)</f>
        <v>P16</v>
      </c>
    </row>
    <row r="846" spans="1:5" x14ac:dyDescent="0.25">
      <c r="A846">
        <f t="shared" si="13"/>
        <v>25</v>
      </c>
      <c r="B846">
        <v>29</v>
      </c>
      <c r="C846" s="1">
        <v>106665</v>
      </c>
      <c r="D846" s="4" t="str">
        <f>VLOOKUP('Flow2 '!A846,'ALokasi Pelabuhan '!$A:$C,3,TRUE)</f>
        <v>P2</v>
      </c>
      <c r="E846" s="4" t="str">
        <f>VLOOKUP('Flow2 '!B846,'ALokasi Pelabuhan '!$A:$C,3,TRUE)</f>
        <v>P18</v>
      </c>
    </row>
    <row r="847" spans="1:5" x14ac:dyDescent="0.25">
      <c r="A847">
        <f t="shared" si="13"/>
        <v>25</v>
      </c>
      <c r="B847">
        <v>30</v>
      </c>
      <c r="C847" s="1">
        <v>36755</v>
      </c>
      <c r="D847" s="4" t="str">
        <f>VLOOKUP('Flow2 '!A847,'ALokasi Pelabuhan '!$A:$C,3,TRUE)</f>
        <v>P2</v>
      </c>
      <c r="E847" s="4" t="str">
        <f>VLOOKUP('Flow2 '!B847,'ALokasi Pelabuhan '!$A:$C,3,TRUE)</f>
        <v>P19</v>
      </c>
    </row>
    <row r="848" spans="1:5" x14ac:dyDescent="0.25">
      <c r="A848">
        <f t="shared" si="13"/>
        <v>25</v>
      </c>
      <c r="B848">
        <v>31</v>
      </c>
      <c r="C848" s="1">
        <v>53342</v>
      </c>
      <c r="D848" s="4" t="str">
        <f>VLOOKUP('Flow2 '!A848,'ALokasi Pelabuhan '!$A:$C,3,TRUE)</f>
        <v>P2</v>
      </c>
      <c r="E848" s="4" t="str">
        <f>VLOOKUP('Flow2 '!B848,'ALokasi Pelabuhan '!$A:$C,3,TRUE)</f>
        <v>P4</v>
      </c>
    </row>
    <row r="849" spans="1:5" x14ac:dyDescent="0.25">
      <c r="A849">
        <f t="shared" si="13"/>
        <v>25</v>
      </c>
      <c r="B849">
        <v>32</v>
      </c>
      <c r="C849" s="1">
        <v>61392</v>
      </c>
      <c r="D849" s="4" t="str">
        <f>VLOOKUP('Flow2 '!A849,'ALokasi Pelabuhan '!$A:$C,3,TRUE)</f>
        <v>P2</v>
      </c>
      <c r="E849" s="4" t="str">
        <f>VLOOKUP('Flow2 '!B849,'ALokasi Pelabuhan '!$A:$C,3,TRUE)</f>
        <v>P6</v>
      </c>
    </row>
    <row r="850" spans="1:5" x14ac:dyDescent="0.25">
      <c r="A850">
        <f t="shared" si="13"/>
        <v>25</v>
      </c>
      <c r="B850">
        <v>33</v>
      </c>
      <c r="C850" s="1">
        <v>7074.4720886576924</v>
      </c>
      <c r="D850" s="4" t="str">
        <f>VLOOKUP('Flow2 '!A850,'ALokasi Pelabuhan '!$A:$C,3,TRUE)</f>
        <v>P2</v>
      </c>
      <c r="E850" s="4" t="str">
        <f>VLOOKUP('Flow2 '!B850,'ALokasi Pelabuhan '!$A:$C,3,TRUE)</f>
        <v>P2</v>
      </c>
    </row>
    <row r="851" spans="1:5" x14ac:dyDescent="0.25">
      <c r="A851">
        <f t="shared" si="13"/>
        <v>25</v>
      </c>
      <c r="B851">
        <v>34</v>
      </c>
      <c r="C851" s="1">
        <v>25399.527911342317</v>
      </c>
      <c r="D851" s="4" t="str">
        <f>VLOOKUP('Flow2 '!A851,'ALokasi Pelabuhan '!$A:$C,3,TRUE)</f>
        <v>P2</v>
      </c>
      <c r="E851" s="4" t="str">
        <f>VLOOKUP('Flow2 '!B851,'ALokasi Pelabuhan '!$A:$C,3,TRUE)</f>
        <v>P9</v>
      </c>
    </row>
    <row r="852" spans="1:5" x14ac:dyDescent="0.25">
      <c r="A852">
        <f t="shared" si="13"/>
        <v>26</v>
      </c>
      <c r="B852">
        <v>1</v>
      </c>
      <c r="C852" s="1">
        <v>65454</v>
      </c>
      <c r="D852" s="4" t="str">
        <f>VLOOKUP('Flow2 '!A852,'ALokasi Pelabuhan '!$A:$C,3,TRUE)</f>
        <v>P17</v>
      </c>
      <c r="E852" s="4" t="str">
        <f>VLOOKUP('Flow2 '!B852,'ALokasi Pelabuhan '!$A:$C,3,TRUE)</f>
        <v>P1</v>
      </c>
    </row>
    <row r="853" spans="1:5" x14ac:dyDescent="0.25">
      <c r="A853">
        <f t="shared" si="13"/>
        <v>26</v>
      </c>
      <c r="B853">
        <v>2</v>
      </c>
      <c r="C853" s="1">
        <v>157632</v>
      </c>
      <c r="D853" s="4" t="str">
        <f>VLOOKUP('Flow2 '!A853,'ALokasi Pelabuhan '!$A:$C,3,TRUE)</f>
        <v>P17</v>
      </c>
      <c r="E853" s="4" t="str">
        <f>VLOOKUP('Flow2 '!B853,'ALokasi Pelabuhan '!$A:$C,3,TRUE)</f>
        <v>P10</v>
      </c>
    </row>
    <row r="854" spans="1:5" x14ac:dyDescent="0.25">
      <c r="A854">
        <f t="shared" si="13"/>
        <v>26</v>
      </c>
      <c r="B854">
        <v>3</v>
      </c>
      <c r="C854" s="1">
        <v>65195</v>
      </c>
      <c r="D854" s="4" t="str">
        <f>VLOOKUP('Flow2 '!A854,'ALokasi Pelabuhan '!$A:$C,3,TRUE)</f>
        <v>P17</v>
      </c>
      <c r="E854" s="4" t="str">
        <f>VLOOKUP('Flow2 '!B854,'ALokasi Pelabuhan '!$A:$C,3,TRUE)</f>
        <v>P8</v>
      </c>
    </row>
    <row r="855" spans="1:5" x14ac:dyDescent="0.25">
      <c r="A855">
        <f t="shared" si="13"/>
        <v>26</v>
      </c>
      <c r="B855">
        <v>4</v>
      </c>
      <c r="C855" s="1">
        <v>83000</v>
      </c>
      <c r="D855" s="4" t="str">
        <f>VLOOKUP('Flow2 '!A855,'ALokasi Pelabuhan '!$A:$C,3,TRUE)</f>
        <v>P17</v>
      </c>
      <c r="E855" s="4" t="str">
        <f>VLOOKUP('Flow2 '!B855,'ALokasi Pelabuhan '!$A:$C,3,TRUE)</f>
        <v>P4</v>
      </c>
    </row>
    <row r="856" spans="1:5" x14ac:dyDescent="0.25">
      <c r="A856">
        <f t="shared" si="13"/>
        <v>26</v>
      </c>
      <c r="B856">
        <v>5</v>
      </c>
      <c r="C856" s="1">
        <v>49298</v>
      </c>
      <c r="D856" s="4" t="str">
        <f>VLOOKUP('Flow2 '!A856,'ALokasi Pelabuhan '!$A:$C,3,TRUE)</f>
        <v>P17</v>
      </c>
      <c r="E856" s="4" t="str">
        <f>VLOOKUP('Flow2 '!B856,'ALokasi Pelabuhan '!$A:$C,3,TRUE)</f>
        <v>P19</v>
      </c>
    </row>
    <row r="857" spans="1:5" x14ac:dyDescent="0.25">
      <c r="A857">
        <f t="shared" si="13"/>
        <v>26</v>
      </c>
      <c r="B857">
        <v>6</v>
      </c>
      <c r="C857" s="1">
        <v>111958</v>
      </c>
      <c r="D857" s="4" t="str">
        <f>VLOOKUP('Flow2 '!A857,'ALokasi Pelabuhan '!$A:$C,3,TRUE)</f>
        <v>P17</v>
      </c>
      <c r="E857" s="4" t="str">
        <f>VLOOKUP('Flow2 '!B857,'ALokasi Pelabuhan '!$A:$C,3,TRUE)</f>
        <v>P8</v>
      </c>
    </row>
    <row r="858" spans="1:5" x14ac:dyDescent="0.25">
      <c r="A858">
        <f t="shared" si="13"/>
        <v>26</v>
      </c>
      <c r="B858">
        <v>7</v>
      </c>
      <c r="C858" s="1">
        <v>25037</v>
      </c>
      <c r="D858" s="4" t="str">
        <f>VLOOKUP('Flow2 '!A858,'ALokasi Pelabuhan '!$A:$C,3,TRUE)</f>
        <v>P17</v>
      </c>
      <c r="E858" s="4" t="str">
        <f>VLOOKUP('Flow2 '!B858,'ALokasi Pelabuhan '!$A:$C,3,TRUE)</f>
        <v>P5</v>
      </c>
    </row>
    <row r="859" spans="1:5" x14ac:dyDescent="0.25">
      <c r="A859">
        <f t="shared" si="13"/>
        <v>26</v>
      </c>
      <c r="B859">
        <v>8</v>
      </c>
      <c r="C859" s="1">
        <v>108776</v>
      </c>
      <c r="D859" s="4" t="str">
        <f>VLOOKUP('Flow2 '!A859,'ALokasi Pelabuhan '!$A:$C,3,TRUE)</f>
        <v>P17</v>
      </c>
      <c r="E859" s="4" t="str">
        <f>VLOOKUP('Flow2 '!B859,'ALokasi Pelabuhan '!$A:$C,3,TRUE)</f>
        <v>P8</v>
      </c>
    </row>
    <row r="860" spans="1:5" x14ac:dyDescent="0.25">
      <c r="A860">
        <f t="shared" si="13"/>
        <v>26</v>
      </c>
      <c r="B860">
        <v>9</v>
      </c>
      <c r="C860" s="1">
        <v>32781</v>
      </c>
      <c r="D860" s="4" t="str">
        <f>VLOOKUP('Flow2 '!A860,'ALokasi Pelabuhan '!$A:$C,3,TRUE)</f>
        <v>P17</v>
      </c>
      <c r="E860" s="4" t="str">
        <f>VLOOKUP('Flow2 '!B860,'ALokasi Pelabuhan '!$A:$C,3,TRUE)</f>
        <v>P9</v>
      </c>
    </row>
    <row r="861" spans="1:5" x14ac:dyDescent="0.25">
      <c r="A861">
        <f t="shared" si="13"/>
        <v>26</v>
      </c>
      <c r="B861">
        <v>10</v>
      </c>
      <c r="C861" s="1">
        <v>31425</v>
      </c>
      <c r="D861" s="4" t="str">
        <f>VLOOKUP('Flow2 '!A861,'ALokasi Pelabuhan '!$A:$C,3,TRUE)</f>
        <v>P17</v>
      </c>
      <c r="E861" s="4" t="str">
        <f>VLOOKUP('Flow2 '!B861,'ALokasi Pelabuhan '!$A:$C,3,TRUE)</f>
        <v>P10</v>
      </c>
    </row>
    <row r="862" spans="1:5" x14ac:dyDescent="0.25">
      <c r="A862">
        <f t="shared" si="13"/>
        <v>26</v>
      </c>
      <c r="B862">
        <v>11</v>
      </c>
      <c r="C862" s="1">
        <v>156412</v>
      </c>
      <c r="D862" s="4" t="str">
        <f>VLOOKUP('Flow2 '!A862,'ALokasi Pelabuhan '!$A:$C,3,TRUE)</f>
        <v>P17</v>
      </c>
      <c r="E862" s="4" t="str">
        <f>VLOOKUP('Flow2 '!B862,'ALokasi Pelabuhan '!$A:$C,3,TRUE)</f>
        <v>P11</v>
      </c>
    </row>
    <row r="863" spans="1:5" x14ac:dyDescent="0.25">
      <c r="A863">
        <f t="shared" si="13"/>
        <v>26</v>
      </c>
      <c r="B863">
        <v>12</v>
      </c>
      <c r="C863" s="1">
        <v>720994</v>
      </c>
      <c r="D863" s="4" t="str">
        <f>VLOOKUP('Flow2 '!A863,'ALokasi Pelabuhan '!$A:$C,3,TRUE)</f>
        <v>P17</v>
      </c>
      <c r="E863" s="4" t="str">
        <f>VLOOKUP('Flow2 '!B863,'ALokasi Pelabuhan '!$A:$C,3,TRUE)</f>
        <v>P13</v>
      </c>
    </row>
    <row r="864" spans="1:5" x14ac:dyDescent="0.25">
      <c r="A864">
        <f t="shared" si="13"/>
        <v>26</v>
      </c>
      <c r="B864">
        <v>13</v>
      </c>
      <c r="C864" s="1">
        <v>603574</v>
      </c>
      <c r="D864" s="4" t="str">
        <f>VLOOKUP('Flow2 '!A864,'ALokasi Pelabuhan '!$A:$C,3,TRUE)</f>
        <v>P17</v>
      </c>
      <c r="E864" s="4" t="str">
        <f>VLOOKUP('Flow2 '!B864,'ALokasi Pelabuhan '!$A:$C,3,TRUE)</f>
        <v>P12</v>
      </c>
    </row>
    <row r="865" spans="1:5" x14ac:dyDescent="0.25">
      <c r="A865">
        <f t="shared" si="13"/>
        <v>26</v>
      </c>
      <c r="B865">
        <v>14</v>
      </c>
      <c r="C865" s="1">
        <v>65505</v>
      </c>
      <c r="D865" s="4" t="str">
        <f>VLOOKUP('Flow2 '!A865,'ALokasi Pelabuhan '!$A:$C,3,TRUE)</f>
        <v>P17</v>
      </c>
      <c r="E865" s="4" t="str">
        <f>VLOOKUP('Flow2 '!B865,'ALokasi Pelabuhan '!$A:$C,3,TRUE)</f>
        <v>P14</v>
      </c>
    </row>
    <row r="866" spans="1:5" x14ac:dyDescent="0.25">
      <c r="A866">
        <f t="shared" si="13"/>
        <v>26</v>
      </c>
      <c r="B866">
        <v>15</v>
      </c>
      <c r="C866" s="1">
        <v>832770</v>
      </c>
      <c r="D866" s="4" t="str">
        <f>VLOOKUP('Flow2 '!A866,'ALokasi Pelabuhan '!$A:$C,3,TRUE)</f>
        <v>P17</v>
      </c>
      <c r="E866" s="4" t="str">
        <f>VLOOKUP('Flow2 '!B866,'ALokasi Pelabuhan '!$A:$C,3,TRUE)</f>
        <v>P15</v>
      </c>
    </row>
    <row r="867" spans="1:5" x14ac:dyDescent="0.25">
      <c r="A867">
        <f t="shared" si="13"/>
        <v>26</v>
      </c>
      <c r="B867">
        <v>16</v>
      </c>
      <c r="C867" s="1">
        <v>179989</v>
      </c>
      <c r="D867" s="4" t="str">
        <f>VLOOKUP('Flow2 '!A867,'ALokasi Pelabuhan '!$A:$C,3,TRUE)</f>
        <v>P17</v>
      </c>
      <c r="E867" s="4" t="str">
        <f>VLOOKUP('Flow2 '!B867,'ALokasi Pelabuhan '!$A:$C,3,TRUE)</f>
        <v>P6</v>
      </c>
    </row>
    <row r="868" spans="1:5" x14ac:dyDescent="0.25">
      <c r="A868">
        <f t="shared" si="13"/>
        <v>26</v>
      </c>
      <c r="B868">
        <v>17</v>
      </c>
      <c r="C868" s="1">
        <v>103926</v>
      </c>
      <c r="D868" s="4" t="str">
        <f>VLOOKUP('Flow2 '!A868,'ALokasi Pelabuhan '!$A:$C,3,TRUE)</f>
        <v>P17</v>
      </c>
      <c r="E868" s="4" t="str">
        <f>VLOOKUP('Flow2 '!B868,'ALokasi Pelabuhan '!$A:$C,3,TRUE)</f>
        <v>P3</v>
      </c>
    </row>
    <row r="869" spans="1:5" x14ac:dyDescent="0.25">
      <c r="A869">
        <f t="shared" si="13"/>
        <v>26</v>
      </c>
      <c r="B869">
        <v>18</v>
      </c>
      <c r="C869" s="1">
        <v>142304</v>
      </c>
      <c r="D869" s="4" t="str">
        <f>VLOOKUP('Flow2 '!A869,'ALokasi Pelabuhan '!$A:$C,3,TRUE)</f>
        <v>P17</v>
      </c>
      <c r="E869" s="4" t="str">
        <f>VLOOKUP('Flow2 '!B869,'ALokasi Pelabuhan '!$A:$C,3,TRUE)</f>
        <v>P7</v>
      </c>
    </row>
    <row r="870" spans="1:5" x14ac:dyDescent="0.25">
      <c r="A870">
        <f t="shared" si="13"/>
        <v>26</v>
      </c>
      <c r="B870">
        <v>19</v>
      </c>
      <c r="C870" s="1">
        <v>195282</v>
      </c>
      <c r="D870" s="4" t="str">
        <f>VLOOKUP('Flow2 '!A870,'ALokasi Pelabuhan '!$A:$C,3,TRUE)</f>
        <v>P17</v>
      </c>
      <c r="E870" s="4" t="str">
        <f>VLOOKUP('Flow2 '!B870,'ALokasi Pelabuhan '!$A:$C,3,TRUE)</f>
        <v>P22</v>
      </c>
    </row>
    <row r="871" spans="1:5" x14ac:dyDescent="0.25">
      <c r="A871">
        <f t="shared" si="13"/>
        <v>26</v>
      </c>
      <c r="B871">
        <v>20</v>
      </c>
      <c r="C871" s="1">
        <v>124684</v>
      </c>
      <c r="D871" s="4" t="str">
        <f>VLOOKUP('Flow2 '!A871,'ALokasi Pelabuhan '!$A:$C,3,TRUE)</f>
        <v>P17</v>
      </c>
      <c r="E871" s="4" t="str">
        <f>VLOOKUP('Flow2 '!B871,'ALokasi Pelabuhan '!$A:$C,3,TRUE)</f>
        <v>P21</v>
      </c>
    </row>
    <row r="872" spans="1:5" x14ac:dyDescent="0.25">
      <c r="A872">
        <f t="shared" si="13"/>
        <v>26</v>
      </c>
      <c r="B872">
        <v>21</v>
      </c>
      <c r="C872" s="1">
        <v>92224</v>
      </c>
      <c r="D872" s="4" t="str">
        <f>VLOOKUP('Flow2 '!A872,'ALokasi Pelabuhan '!$A:$C,3,TRUE)</f>
        <v>P17</v>
      </c>
      <c r="E872" s="4" t="str">
        <f>VLOOKUP('Flow2 '!B872,'ALokasi Pelabuhan '!$A:$C,3,TRUE)</f>
        <v>P20</v>
      </c>
    </row>
    <row r="873" spans="1:5" x14ac:dyDescent="0.25">
      <c r="A873">
        <f t="shared" si="13"/>
        <v>26</v>
      </c>
      <c r="B873">
        <v>22</v>
      </c>
      <c r="C873" s="1">
        <v>159974</v>
      </c>
      <c r="D873" s="4" t="str">
        <f>VLOOKUP('Flow2 '!A873,'ALokasi Pelabuhan '!$A:$C,3,TRUE)</f>
        <v>P17</v>
      </c>
      <c r="E873" s="4" t="str">
        <f>VLOOKUP('Flow2 '!B873,'ALokasi Pelabuhan '!$A:$C,3,TRUE)</f>
        <v>P20</v>
      </c>
    </row>
    <row r="874" spans="1:5" x14ac:dyDescent="0.25">
      <c r="A874">
        <f t="shared" si="13"/>
        <v>26</v>
      </c>
      <c r="B874">
        <v>23</v>
      </c>
      <c r="C874" s="1">
        <v>186823</v>
      </c>
      <c r="D874" s="4" t="str">
        <f>VLOOKUP('Flow2 '!A874,'ALokasi Pelabuhan '!$A:$C,3,TRUE)</f>
        <v>P17</v>
      </c>
      <c r="E874" s="4" t="str">
        <f>VLOOKUP('Flow2 '!B874,'ALokasi Pelabuhan '!$A:$C,3,TRUE)</f>
        <v>P24</v>
      </c>
    </row>
    <row r="875" spans="1:5" x14ac:dyDescent="0.25">
      <c r="A875">
        <f t="shared" si="13"/>
        <v>26</v>
      </c>
      <c r="B875">
        <v>24</v>
      </c>
      <c r="C875" s="1">
        <v>22380</v>
      </c>
      <c r="D875" s="4" t="str">
        <f>VLOOKUP('Flow2 '!A875,'ALokasi Pelabuhan '!$A:$C,3,TRUE)</f>
        <v>P17</v>
      </c>
      <c r="E875" s="4" t="str">
        <f>VLOOKUP('Flow2 '!B875,'ALokasi Pelabuhan '!$A:$C,3,TRUE)</f>
        <v>P23</v>
      </c>
    </row>
    <row r="876" spans="1:5" x14ac:dyDescent="0.25">
      <c r="A876">
        <f t="shared" si="13"/>
        <v>26</v>
      </c>
      <c r="B876">
        <v>25</v>
      </c>
      <c r="C876" s="1">
        <v>187085</v>
      </c>
      <c r="D876" s="4" t="str">
        <f>VLOOKUP('Flow2 '!A876,'ALokasi Pelabuhan '!$A:$C,3,TRUE)</f>
        <v>P17</v>
      </c>
      <c r="E876" s="4" t="str">
        <f>VLOOKUP('Flow2 '!B876,'ALokasi Pelabuhan '!$A:$C,3,TRUE)</f>
        <v>P2</v>
      </c>
    </row>
    <row r="877" spans="1:5" x14ac:dyDescent="0.25">
      <c r="A877">
        <f t="shared" si="13"/>
        <v>26</v>
      </c>
      <c r="B877">
        <v>26</v>
      </c>
      <c r="C877" s="1">
        <v>747597</v>
      </c>
      <c r="D877" s="4" t="str">
        <f>VLOOKUP('Flow2 '!A877,'ALokasi Pelabuhan '!$A:$C,3,TRUE)</f>
        <v>P17</v>
      </c>
      <c r="E877" s="4" t="str">
        <f>VLOOKUP('Flow2 '!B877,'ALokasi Pelabuhan '!$A:$C,3,TRUE)</f>
        <v>P17</v>
      </c>
    </row>
    <row r="878" spans="1:5" x14ac:dyDescent="0.25">
      <c r="A878">
        <f t="shared" si="13"/>
        <v>26</v>
      </c>
      <c r="B878">
        <v>27</v>
      </c>
      <c r="C878" s="1">
        <v>571692</v>
      </c>
      <c r="D878" s="4" t="str">
        <f>VLOOKUP('Flow2 '!A878,'ALokasi Pelabuhan '!$A:$C,3,TRUE)</f>
        <v>P17</v>
      </c>
      <c r="E878" s="4" t="str">
        <f>VLOOKUP('Flow2 '!B878,'ALokasi Pelabuhan '!$A:$C,3,TRUE)</f>
        <v>P17</v>
      </c>
    </row>
    <row r="879" spans="1:5" x14ac:dyDescent="0.25">
      <c r="A879">
        <f t="shared" si="13"/>
        <v>26</v>
      </c>
      <c r="B879">
        <v>28</v>
      </c>
      <c r="C879" s="1">
        <v>228291</v>
      </c>
      <c r="D879" s="4" t="str">
        <f>VLOOKUP('Flow2 '!A879,'ALokasi Pelabuhan '!$A:$C,3,TRUE)</f>
        <v>P17</v>
      </c>
      <c r="E879" s="4" t="str">
        <f>VLOOKUP('Flow2 '!B879,'ALokasi Pelabuhan '!$A:$C,3,TRUE)</f>
        <v>P16</v>
      </c>
    </row>
    <row r="880" spans="1:5" x14ac:dyDescent="0.25">
      <c r="A880">
        <f t="shared" si="13"/>
        <v>26</v>
      </c>
      <c r="B880">
        <v>29</v>
      </c>
      <c r="C880" s="1">
        <v>136927</v>
      </c>
      <c r="D880" s="4" t="str">
        <f>VLOOKUP('Flow2 '!A880,'ALokasi Pelabuhan '!$A:$C,3,TRUE)</f>
        <v>P17</v>
      </c>
      <c r="E880" s="4" t="str">
        <f>VLOOKUP('Flow2 '!B880,'ALokasi Pelabuhan '!$A:$C,3,TRUE)</f>
        <v>P18</v>
      </c>
    </row>
    <row r="881" spans="1:5" x14ac:dyDescent="0.25">
      <c r="A881">
        <f t="shared" si="13"/>
        <v>26</v>
      </c>
      <c r="B881">
        <v>30</v>
      </c>
      <c r="C881" s="1">
        <v>121226</v>
      </c>
      <c r="D881" s="4" t="str">
        <f>VLOOKUP('Flow2 '!A881,'ALokasi Pelabuhan '!$A:$C,3,TRUE)</f>
        <v>P17</v>
      </c>
      <c r="E881" s="4" t="str">
        <f>VLOOKUP('Flow2 '!B881,'ALokasi Pelabuhan '!$A:$C,3,TRUE)</f>
        <v>P19</v>
      </c>
    </row>
    <row r="882" spans="1:5" x14ac:dyDescent="0.25">
      <c r="A882">
        <f t="shared" si="13"/>
        <v>26</v>
      </c>
      <c r="B882">
        <v>31</v>
      </c>
      <c r="C882" s="1">
        <v>80532</v>
      </c>
      <c r="D882" s="4" t="str">
        <f>VLOOKUP('Flow2 '!A882,'ALokasi Pelabuhan '!$A:$C,3,TRUE)</f>
        <v>P17</v>
      </c>
      <c r="E882" s="4" t="str">
        <f>VLOOKUP('Flow2 '!B882,'ALokasi Pelabuhan '!$A:$C,3,TRUE)</f>
        <v>P4</v>
      </c>
    </row>
    <row r="883" spans="1:5" x14ac:dyDescent="0.25">
      <c r="A883">
        <f t="shared" si="13"/>
        <v>26</v>
      </c>
      <c r="B883">
        <v>32</v>
      </c>
      <c r="C883" s="1">
        <v>65418</v>
      </c>
      <c r="D883" s="4" t="str">
        <f>VLOOKUP('Flow2 '!A883,'ALokasi Pelabuhan '!$A:$C,3,TRUE)</f>
        <v>P17</v>
      </c>
      <c r="E883" s="4" t="str">
        <f>VLOOKUP('Flow2 '!B883,'ALokasi Pelabuhan '!$A:$C,3,TRUE)</f>
        <v>P6</v>
      </c>
    </row>
    <row r="884" spans="1:5" x14ac:dyDescent="0.25">
      <c r="A884">
        <f t="shared" si="13"/>
        <v>26</v>
      </c>
      <c r="B884">
        <v>33</v>
      </c>
      <c r="C884" s="1">
        <v>10475.769517992316</v>
      </c>
      <c r="D884" s="4" t="str">
        <f>VLOOKUP('Flow2 '!A884,'ALokasi Pelabuhan '!$A:$C,3,TRUE)</f>
        <v>P17</v>
      </c>
      <c r="E884" s="4" t="str">
        <f>VLOOKUP('Flow2 '!B884,'ALokasi Pelabuhan '!$A:$C,3,TRUE)</f>
        <v>P2</v>
      </c>
    </row>
    <row r="885" spans="1:5" x14ac:dyDescent="0.25">
      <c r="A885">
        <f t="shared" si="13"/>
        <v>26</v>
      </c>
      <c r="B885">
        <v>34</v>
      </c>
      <c r="C885" s="1">
        <v>37611.230482007697</v>
      </c>
      <c r="D885" s="4" t="str">
        <f>VLOOKUP('Flow2 '!A885,'ALokasi Pelabuhan '!$A:$C,3,TRUE)</f>
        <v>P17</v>
      </c>
      <c r="E885" s="4" t="str">
        <f>VLOOKUP('Flow2 '!B885,'ALokasi Pelabuhan '!$A:$C,3,TRUE)</f>
        <v>P9</v>
      </c>
    </row>
    <row r="886" spans="1:5" x14ac:dyDescent="0.25">
      <c r="A886">
        <f t="shared" si="13"/>
        <v>27</v>
      </c>
      <c r="B886">
        <v>1</v>
      </c>
      <c r="C886" s="1">
        <v>173494</v>
      </c>
      <c r="D886" s="4" t="str">
        <f>VLOOKUP('Flow2 '!A886,'ALokasi Pelabuhan '!$A:$C,3,TRUE)</f>
        <v>P17</v>
      </c>
      <c r="E886" s="4" t="str">
        <f>VLOOKUP('Flow2 '!B886,'ALokasi Pelabuhan '!$A:$C,3,TRUE)</f>
        <v>P1</v>
      </c>
    </row>
    <row r="887" spans="1:5" x14ac:dyDescent="0.25">
      <c r="A887">
        <f t="shared" si="13"/>
        <v>27</v>
      </c>
      <c r="B887">
        <v>2</v>
      </c>
      <c r="C887" s="1">
        <v>396873</v>
      </c>
      <c r="D887" s="4" t="str">
        <f>VLOOKUP('Flow2 '!A887,'ALokasi Pelabuhan '!$A:$C,3,TRUE)</f>
        <v>P17</v>
      </c>
      <c r="E887" s="4" t="str">
        <f>VLOOKUP('Flow2 '!B887,'ALokasi Pelabuhan '!$A:$C,3,TRUE)</f>
        <v>P10</v>
      </c>
    </row>
    <row r="888" spans="1:5" x14ac:dyDescent="0.25">
      <c r="A888">
        <f t="shared" si="13"/>
        <v>27</v>
      </c>
      <c r="B888">
        <v>3</v>
      </c>
      <c r="C888" s="1">
        <v>173935</v>
      </c>
      <c r="D888" s="4" t="str">
        <f>VLOOKUP('Flow2 '!A888,'ALokasi Pelabuhan '!$A:$C,3,TRUE)</f>
        <v>P17</v>
      </c>
      <c r="E888" s="4" t="str">
        <f>VLOOKUP('Flow2 '!B888,'ALokasi Pelabuhan '!$A:$C,3,TRUE)</f>
        <v>P8</v>
      </c>
    </row>
    <row r="889" spans="1:5" x14ac:dyDescent="0.25">
      <c r="A889">
        <f t="shared" si="13"/>
        <v>27</v>
      </c>
      <c r="B889">
        <v>4</v>
      </c>
      <c r="C889" s="1">
        <v>219087</v>
      </c>
      <c r="D889" s="4" t="str">
        <f>VLOOKUP('Flow2 '!A889,'ALokasi Pelabuhan '!$A:$C,3,TRUE)</f>
        <v>P17</v>
      </c>
      <c r="E889" s="4" t="str">
        <f>VLOOKUP('Flow2 '!B889,'ALokasi Pelabuhan '!$A:$C,3,TRUE)</f>
        <v>P4</v>
      </c>
    </row>
    <row r="890" spans="1:5" x14ac:dyDescent="0.25">
      <c r="A890">
        <f t="shared" si="13"/>
        <v>27</v>
      </c>
      <c r="B890">
        <v>5</v>
      </c>
      <c r="C890" s="1">
        <v>132036</v>
      </c>
      <c r="D890" s="4" t="str">
        <f>VLOOKUP('Flow2 '!A890,'ALokasi Pelabuhan '!$A:$C,3,TRUE)</f>
        <v>P17</v>
      </c>
      <c r="E890" s="4" t="str">
        <f>VLOOKUP('Flow2 '!B890,'ALokasi Pelabuhan '!$A:$C,3,TRUE)</f>
        <v>P19</v>
      </c>
    </row>
    <row r="891" spans="1:5" x14ac:dyDescent="0.25">
      <c r="A891">
        <f t="shared" si="13"/>
        <v>27</v>
      </c>
      <c r="B891">
        <v>6</v>
      </c>
      <c r="C891" s="1">
        <v>307034</v>
      </c>
      <c r="D891" s="4" t="str">
        <f>VLOOKUP('Flow2 '!A891,'ALokasi Pelabuhan '!$A:$C,3,TRUE)</f>
        <v>P17</v>
      </c>
      <c r="E891" s="4" t="str">
        <f>VLOOKUP('Flow2 '!B891,'ALokasi Pelabuhan '!$A:$C,3,TRUE)</f>
        <v>P8</v>
      </c>
    </row>
    <row r="892" spans="1:5" x14ac:dyDescent="0.25">
      <c r="A892">
        <f t="shared" si="13"/>
        <v>27</v>
      </c>
      <c r="B892">
        <v>7</v>
      </c>
      <c r="C892" s="1">
        <v>70327</v>
      </c>
      <c r="D892" s="4" t="str">
        <f>VLOOKUP('Flow2 '!A892,'ALokasi Pelabuhan '!$A:$C,3,TRUE)</f>
        <v>P17</v>
      </c>
      <c r="E892" s="4" t="str">
        <f>VLOOKUP('Flow2 '!B892,'ALokasi Pelabuhan '!$A:$C,3,TRUE)</f>
        <v>P5</v>
      </c>
    </row>
    <row r="893" spans="1:5" x14ac:dyDescent="0.25">
      <c r="A893">
        <f t="shared" si="13"/>
        <v>27</v>
      </c>
      <c r="B893">
        <v>8</v>
      </c>
      <c r="C893" s="1">
        <v>295372</v>
      </c>
      <c r="D893" s="4" t="str">
        <f>VLOOKUP('Flow2 '!A893,'ALokasi Pelabuhan '!$A:$C,3,TRUE)</f>
        <v>P17</v>
      </c>
      <c r="E893" s="4" t="str">
        <f>VLOOKUP('Flow2 '!B893,'ALokasi Pelabuhan '!$A:$C,3,TRUE)</f>
        <v>P8</v>
      </c>
    </row>
    <row r="894" spans="1:5" x14ac:dyDescent="0.25">
      <c r="A894">
        <f t="shared" si="13"/>
        <v>27</v>
      </c>
      <c r="B894">
        <v>9</v>
      </c>
      <c r="C894" s="1">
        <v>105106</v>
      </c>
      <c r="D894" s="4" t="str">
        <f>VLOOKUP('Flow2 '!A894,'ALokasi Pelabuhan '!$A:$C,3,TRUE)</f>
        <v>P17</v>
      </c>
      <c r="E894" s="4" t="str">
        <f>VLOOKUP('Flow2 '!B894,'ALokasi Pelabuhan '!$A:$C,3,TRUE)</f>
        <v>P9</v>
      </c>
    </row>
    <row r="895" spans="1:5" x14ac:dyDescent="0.25">
      <c r="A895">
        <f t="shared" si="13"/>
        <v>27</v>
      </c>
      <c r="B895">
        <v>10</v>
      </c>
      <c r="C895" s="1">
        <v>85875</v>
      </c>
      <c r="D895" s="4" t="str">
        <f>VLOOKUP('Flow2 '!A895,'ALokasi Pelabuhan '!$A:$C,3,TRUE)</f>
        <v>P17</v>
      </c>
      <c r="E895" s="4" t="str">
        <f>VLOOKUP('Flow2 '!B895,'ALokasi Pelabuhan '!$A:$C,3,TRUE)</f>
        <v>P10</v>
      </c>
    </row>
    <row r="896" spans="1:5" x14ac:dyDescent="0.25">
      <c r="A896">
        <f t="shared" si="13"/>
        <v>27</v>
      </c>
      <c r="B896">
        <v>11</v>
      </c>
      <c r="C896" s="1">
        <v>430076</v>
      </c>
      <c r="D896" s="4" t="str">
        <f>VLOOKUP('Flow2 '!A896,'ALokasi Pelabuhan '!$A:$C,3,TRUE)</f>
        <v>P17</v>
      </c>
      <c r="E896" s="4" t="str">
        <f>VLOOKUP('Flow2 '!B896,'ALokasi Pelabuhan '!$A:$C,3,TRUE)</f>
        <v>P11</v>
      </c>
    </row>
    <row r="897" spans="1:5" x14ac:dyDescent="0.25">
      <c r="A897">
        <f t="shared" si="13"/>
        <v>27</v>
      </c>
      <c r="B897">
        <v>12</v>
      </c>
      <c r="C897" s="1">
        <v>2015410</v>
      </c>
      <c r="D897" s="4" t="str">
        <f>VLOOKUP('Flow2 '!A897,'ALokasi Pelabuhan '!$A:$C,3,TRUE)</f>
        <v>P17</v>
      </c>
      <c r="E897" s="4" t="str">
        <f>VLOOKUP('Flow2 '!B897,'ALokasi Pelabuhan '!$A:$C,3,TRUE)</f>
        <v>P13</v>
      </c>
    </row>
    <row r="898" spans="1:5" x14ac:dyDescent="0.25">
      <c r="A898">
        <f t="shared" si="13"/>
        <v>27</v>
      </c>
      <c r="B898">
        <v>13</v>
      </c>
      <c r="C898" s="1">
        <v>1771360</v>
      </c>
      <c r="D898" s="4" t="str">
        <f>VLOOKUP('Flow2 '!A898,'ALokasi Pelabuhan '!$A:$C,3,TRUE)</f>
        <v>P17</v>
      </c>
      <c r="E898" s="4" t="str">
        <f>VLOOKUP('Flow2 '!B898,'ALokasi Pelabuhan '!$A:$C,3,TRUE)</f>
        <v>P12</v>
      </c>
    </row>
    <row r="899" spans="1:5" x14ac:dyDescent="0.25">
      <c r="A899">
        <f t="shared" ref="A899:A962" si="14">INT((ROW()-ROW($A$2))/34)+1</f>
        <v>27</v>
      </c>
      <c r="B899">
        <v>14</v>
      </c>
      <c r="C899" s="1">
        <v>195105</v>
      </c>
      <c r="D899" s="4" t="str">
        <f>VLOOKUP('Flow2 '!A899,'ALokasi Pelabuhan '!$A:$C,3,TRUE)</f>
        <v>P17</v>
      </c>
      <c r="E899" s="4" t="str">
        <f>VLOOKUP('Flow2 '!B899,'ALokasi Pelabuhan '!$A:$C,3,TRUE)</f>
        <v>P14</v>
      </c>
    </row>
    <row r="900" spans="1:5" x14ac:dyDescent="0.25">
      <c r="A900">
        <f t="shared" si="14"/>
        <v>27</v>
      </c>
      <c r="B900">
        <v>15</v>
      </c>
      <c r="C900" s="1">
        <v>2675357</v>
      </c>
      <c r="D900" s="4" t="str">
        <f>VLOOKUP('Flow2 '!A900,'ALokasi Pelabuhan '!$A:$C,3,TRUE)</f>
        <v>P17</v>
      </c>
      <c r="E900" s="4" t="str">
        <f>VLOOKUP('Flow2 '!B900,'ALokasi Pelabuhan '!$A:$C,3,TRUE)</f>
        <v>P15</v>
      </c>
    </row>
    <row r="901" spans="1:5" x14ac:dyDescent="0.25">
      <c r="A901">
        <f t="shared" si="14"/>
        <v>27</v>
      </c>
      <c r="B901">
        <v>16</v>
      </c>
      <c r="C901" s="1">
        <v>498779</v>
      </c>
      <c r="D901" s="4" t="str">
        <f>VLOOKUP('Flow2 '!A901,'ALokasi Pelabuhan '!$A:$C,3,TRUE)</f>
        <v>P17</v>
      </c>
      <c r="E901" s="4" t="str">
        <f>VLOOKUP('Flow2 '!B901,'ALokasi Pelabuhan '!$A:$C,3,TRUE)</f>
        <v>P6</v>
      </c>
    </row>
    <row r="902" spans="1:5" x14ac:dyDescent="0.25">
      <c r="A902">
        <f t="shared" si="14"/>
        <v>27</v>
      </c>
      <c r="B902">
        <v>17</v>
      </c>
      <c r="C902" s="1">
        <v>390570</v>
      </c>
      <c r="D902" s="4" t="str">
        <f>VLOOKUP('Flow2 '!A902,'ALokasi Pelabuhan '!$A:$C,3,TRUE)</f>
        <v>P17</v>
      </c>
      <c r="E902" s="4" t="str">
        <f>VLOOKUP('Flow2 '!B902,'ALokasi Pelabuhan '!$A:$C,3,TRUE)</f>
        <v>P3</v>
      </c>
    </row>
    <row r="903" spans="1:5" x14ac:dyDescent="0.25">
      <c r="A903">
        <f t="shared" si="14"/>
        <v>27</v>
      </c>
      <c r="B903">
        <v>18</v>
      </c>
      <c r="C903" s="1">
        <v>605314</v>
      </c>
      <c r="D903" s="4" t="str">
        <f>VLOOKUP('Flow2 '!A903,'ALokasi Pelabuhan '!$A:$C,3,TRUE)</f>
        <v>P17</v>
      </c>
      <c r="E903" s="4" t="str">
        <f>VLOOKUP('Flow2 '!B903,'ALokasi Pelabuhan '!$A:$C,3,TRUE)</f>
        <v>P7</v>
      </c>
    </row>
    <row r="904" spans="1:5" x14ac:dyDescent="0.25">
      <c r="A904">
        <f t="shared" si="14"/>
        <v>27</v>
      </c>
      <c r="B904">
        <v>19</v>
      </c>
      <c r="C904" s="1">
        <v>799083</v>
      </c>
      <c r="D904" s="4" t="str">
        <f>VLOOKUP('Flow2 '!A904,'ALokasi Pelabuhan '!$A:$C,3,TRUE)</f>
        <v>P17</v>
      </c>
      <c r="E904" s="4" t="str">
        <f>VLOOKUP('Flow2 '!B904,'ALokasi Pelabuhan '!$A:$C,3,TRUE)</f>
        <v>P22</v>
      </c>
    </row>
    <row r="905" spans="1:5" x14ac:dyDescent="0.25">
      <c r="A905">
        <f t="shared" si="14"/>
        <v>27</v>
      </c>
      <c r="B905">
        <v>20</v>
      </c>
      <c r="C905" s="1">
        <v>340711</v>
      </c>
      <c r="D905" s="4" t="str">
        <f>VLOOKUP('Flow2 '!A905,'ALokasi Pelabuhan '!$A:$C,3,TRUE)</f>
        <v>P17</v>
      </c>
      <c r="E905" s="4" t="str">
        <f>VLOOKUP('Flow2 '!B905,'ALokasi Pelabuhan '!$A:$C,3,TRUE)</f>
        <v>P21</v>
      </c>
    </row>
    <row r="906" spans="1:5" x14ac:dyDescent="0.25">
      <c r="A906">
        <f t="shared" si="14"/>
        <v>27</v>
      </c>
      <c r="B906">
        <v>21</v>
      </c>
      <c r="C906" s="1">
        <v>273076</v>
      </c>
      <c r="D906" s="4" t="str">
        <f>VLOOKUP('Flow2 '!A906,'ALokasi Pelabuhan '!$A:$C,3,TRUE)</f>
        <v>P17</v>
      </c>
      <c r="E906" s="4" t="str">
        <f>VLOOKUP('Flow2 '!B906,'ALokasi Pelabuhan '!$A:$C,3,TRUE)</f>
        <v>P20</v>
      </c>
    </row>
    <row r="907" spans="1:5" x14ac:dyDescent="0.25">
      <c r="A907">
        <f t="shared" si="14"/>
        <v>27</v>
      </c>
      <c r="B907">
        <v>22</v>
      </c>
      <c r="C907" s="1">
        <v>529675</v>
      </c>
      <c r="D907" s="4" t="str">
        <f>VLOOKUP('Flow2 '!A907,'ALokasi Pelabuhan '!$A:$C,3,TRUE)</f>
        <v>P17</v>
      </c>
      <c r="E907" s="4" t="str">
        <f>VLOOKUP('Flow2 '!B907,'ALokasi Pelabuhan '!$A:$C,3,TRUE)</f>
        <v>P20</v>
      </c>
    </row>
    <row r="908" spans="1:5" x14ac:dyDescent="0.25">
      <c r="A908">
        <f t="shared" si="14"/>
        <v>27</v>
      </c>
      <c r="B908">
        <v>23</v>
      </c>
      <c r="C908" s="1">
        <v>415739</v>
      </c>
      <c r="D908" s="4" t="str">
        <f>VLOOKUP('Flow2 '!A908,'ALokasi Pelabuhan '!$A:$C,3,TRUE)</f>
        <v>P17</v>
      </c>
      <c r="E908" s="4" t="str">
        <f>VLOOKUP('Flow2 '!B908,'ALokasi Pelabuhan '!$A:$C,3,TRUE)</f>
        <v>P24</v>
      </c>
    </row>
    <row r="909" spans="1:5" x14ac:dyDescent="0.25">
      <c r="A909">
        <f t="shared" si="14"/>
        <v>27</v>
      </c>
      <c r="B909">
        <v>24</v>
      </c>
      <c r="C909" s="1">
        <v>43894</v>
      </c>
      <c r="D909" s="4" t="str">
        <f>VLOOKUP('Flow2 '!A909,'ALokasi Pelabuhan '!$A:$C,3,TRUE)</f>
        <v>P17</v>
      </c>
      <c r="E909" s="4" t="str">
        <f>VLOOKUP('Flow2 '!B909,'ALokasi Pelabuhan '!$A:$C,3,TRUE)</f>
        <v>P23</v>
      </c>
    </row>
    <row r="910" spans="1:5" x14ac:dyDescent="0.25">
      <c r="A910">
        <f t="shared" si="14"/>
        <v>27</v>
      </c>
      <c r="B910">
        <v>25</v>
      </c>
      <c r="C910" s="1">
        <v>253467</v>
      </c>
      <c r="D910" s="4" t="str">
        <f>VLOOKUP('Flow2 '!A910,'ALokasi Pelabuhan '!$A:$C,3,TRUE)</f>
        <v>P17</v>
      </c>
      <c r="E910" s="4" t="str">
        <f>VLOOKUP('Flow2 '!B910,'ALokasi Pelabuhan '!$A:$C,3,TRUE)</f>
        <v>P2</v>
      </c>
    </row>
    <row r="911" spans="1:5" x14ac:dyDescent="0.25">
      <c r="A911">
        <f t="shared" si="14"/>
        <v>27</v>
      </c>
      <c r="B911">
        <v>26</v>
      </c>
      <c r="C911" s="1">
        <v>585594</v>
      </c>
      <c r="D911" s="4" t="str">
        <f>VLOOKUP('Flow2 '!A911,'ALokasi Pelabuhan '!$A:$C,3,TRUE)</f>
        <v>P17</v>
      </c>
      <c r="E911" s="4" t="str">
        <f>VLOOKUP('Flow2 '!B911,'ALokasi Pelabuhan '!$A:$C,3,TRUE)</f>
        <v>P17</v>
      </c>
    </row>
    <row r="912" spans="1:5" x14ac:dyDescent="0.25">
      <c r="A912">
        <f t="shared" si="14"/>
        <v>27</v>
      </c>
      <c r="B912">
        <v>27</v>
      </c>
      <c r="C912" s="1">
        <v>8393623</v>
      </c>
      <c r="D912" s="4" t="str">
        <f>VLOOKUP('Flow2 '!A912,'ALokasi Pelabuhan '!$A:$C,3,TRUE)</f>
        <v>P17</v>
      </c>
      <c r="E912" s="4" t="str">
        <f>VLOOKUP('Flow2 '!B912,'ALokasi Pelabuhan '!$A:$C,3,TRUE)</f>
        <v>P17</v>
      </c>
    </row>
    <row r="913" spans="1:5" x14ac:dyDescent="0.25">
      <c r="A913">
        <f t="shared" si="14"/>
        <v>27</v>
      </c>
      <c r="B913">
        <v>28</v>
      </c>
      <c r="C913" s="1">
        <v>730843</v>
      </c>
      <c r="D913" s="4" t="str">
        <f>VLOOKUP('Flow2 '!A913,'ALokasi Pelabuhan '!$A:$C,3,TRUE)</f>
        <v>P17</v>
      </c>
      <c r="E913" s="4" t="str">
        <f>VLOOKUP('Flow2 '!B913,'ALokasi Pelabuhan '!$A:$C,3,TRUE)</f>
        <v>P16</v>
      </c>
    </row>
    <row r="914" spans="1:5" x14ac:dyDescent="0.25">
      <c r="A914">
        <f t="shared" si="14"/>
        <v>27</v>
      </c>
      <c r="B914">
        <v>29</v>
      </c>
      <c r="C914" s="1">
        <v>129947</v>
      </c>
      <c r="D914" s="4" t="str">
        <f>VLOOKUP('Flow2 '!A914,'ALokasi Pelabuhan '!$A:$C,3,TRUE)</f>
        <v>P17</v>
      </c>
      <c r="E914" s="4" t="str">
        <f>VLOOKUP('Flow2 '!B914,'ALokasi Pelabuhan '!$A:$C,3,TRUE)</f>
        <v>P18</v>
      </c>
    </row>
    <row r="915" spans="1:5" x14ac:dyDescent="0.25">
      <c r="A915">
        <f t="shared" si="14"/>
        <v>27</v>
      </c>
      <c r="B915">
        <v>30</v>
      </c>
      <c r="C915" s="1">
        <v>556027</v>
      </c>
      <c r="D915" s="4" t="str">
        <f>VLOOKUP('Flow2 '!A915,'ALokasi Pelabuhan '!$A:$C,3,TRUE)</f>
        <v>P17</v>
      </c>
      <c r="E915" s="4" t="str">
        <f>VLOOKUP('Flow2 '!B915,'ALokasi Pelabuhan '!$A:$C,3,TRUE)</f>
        <v>P19</v>
      </c>
    </row>
    <row r="916" spans="1:5" x14ac:dyDescent="0.25">
      <c r="A916">
        <f t="shared" si="14"/>
        <v>27</v>
      </c>
      <c r="B916">
        <v>31</v>
      </c>
      <c r="C916" s="1">
        <v>196021</v>
      </c>
      <c r="D916" s="4" t="str">
        <f>VLOOKUP('Flow2 '!A916,'ALokasi Pelabuhan '!$A:$C,3,TRUE)</f>
        <v>P17</v>
      </c>
      <c r="E916" s="4" t="str">
        <f>VLOOKUP('Flow2 '!B916,'ALokasi Pelabuhan '!$A:$C,3,TRUE)</f>
        <v>P4</v>
      </c>
    </row>
    <row r="917" spans="1:5" x14ac:dyDescent="0.25">
      <c r="A917">
        <f t="shared" si="14"/>
        <v>27</v>
      </c>
      <c r="B917">
        <v>32</v>
      </c>
      <c r="C917" s="1">
        <v>119181</v>
      </c>
      <c r="D917" s="4" t="str">
        <f>VLOOKUP('Flow2 '!A917,'ALokasi Pelabuhan '!$A:$C,3,TRUE)</f>
        <v>P17</v>
      </c>
      <c r="E917" s="4" t="str">
        <f>VLOOKUP('Flow2 '!B917,'ALokasi Pelabuhan '!$A:$C,3,TRUE)</f>
        <v>P6</v>
      </c>
    </row>
    <row r="918" spans="1:5" x14ac:dyDescent="0.25">
      <c r="A918">
        <f t="shared" si="14"/>
        <v>27</v>
      </c>
      <c r="B918">
        <v>33</v>
      </c>
      <c r="C918" s="1">
        <v>28185.259726502543</v>
      </c>
      <c r="D918" s="4" t="str">
        <f>VLOOKUP('Flow2 '!A918,'ALokasi Pelabuhan '!$A:$C,3,TRUE)</f>
        <v>P17</v>
      </c>
      <c r="E918" s="4" t="str">
        <f>VLOOKUP('Flow2 '!B918,'ALokasi Pelabuhan '!$A:$C,3,TRUE)</f>
        <v>P2</v>
      </c>
    </row>
    <row r="919" spans="1:5" x14ac:dyDescent="0.25">
      <c r="A919">
        <f t="shared" si="14"/>
        <v>27</v>
      </c>
      <c r="B919">
        <v>34</v>
      </c>
      <c r="C919" s="1">
        <v>101193.74027349749</v>
      </c>
      <c r="D919" s="4" t="str">
        <f>VLOOKUP('Flow2 '!A919,'ALokasi Pelabuhan '!$A:$C,3,TRUE)</f>
        <v>P17</v>
      </c>
      <c r="E919" s="4" t="str">
        <f>VLOOKUP('Flow2 '!B919,'ALokasi Pelabuhan '!$A:$C,3,TRUE)</f>
        <v>P9</v>
      </c>
    </row>
    <row r="920" spans="1:5" x14ac:dyDescent="0.25">
      <c r="A920">
        <f t="shared" si="14"/>
        <v>28</v>
      </c>
      <c r="B920">
        <v>1</v>
      </c>
      <c r="C920" s="1">
        <v>34909</v>
      </c>
      <c r="D920" s="4" t="str">
        <f>VLOOKUP('Flow2 '!A920,'ALokasi Pelabuhan '!$A:$C,3,TRUE)</f>
        <v>P16</v>
      </c>
      <c r="E920" s="4" t="str">
        <f>VLOOKUP('Flow2 '!B920,'ALokasi Pelabuhan '!$A:$C,3,TRUE)</f>
        <v>P1</v>
      </c>
    </row>
    <row r="921" spans="1:5" x14ac:dyDescent="0.25">
      <c r="A921">
        <f t="shared" si="14"/>
        <v>28</v>
      </c>
      <c r="B921">
        <v>2</v>
      </c>
      <c r="C921" s="1">
        <v>86095</v>
      </c>
      <c r="D921" s="4" t="str">
        <f>VLOOKUP('Flow2 '!A921,'ALokasi Pelabuhan '!$A:$C,3,TRUE)</f>
        <v>P16</v>
      </c>
      <c r="E921" s="4" t="str">
        <f>VLOOKUP('Flow2 '!B921,'ALokasi Pelabuhan '!$A:$C,3,TRUE)</f>
        <v>P10</v>
      </c>
    </row>
    <row r="922" spans="1:5" x14ac:dyDescent="0.25">
      <c r="A922">
        <f t="shared" si="14"/>
        <v>28</v>
      </c>
      <c r="B922">
        <v>3</v>
      </c>
      <c r="C922" s="1">
        <v>36228</v>
      </c>
      <c r="D922" s="4" t="str">
        <f>VLOOKUP('Flow2 '!A922,'ALokasi Pelabuhan '!$A:$C,3,TRUE)</f>
        <v>P16</v>
      </c>
      <c r="E922" s="4" t="str">
        <f>VLOOKUP('Flow2 '!B922,'ALokasi Pelabuhan '!$A:$C,3,TRUE)</f>
        <v>P8</v>
      </c>
    </row>
    <row r="923" spans="1:5" x14ac:dyDescent="0.25">
      <c r="A923">
        <f t="shared" si="14"/>
        <v>28</v>
      </c>
      <c r="B923">
        <v>4</v>
      </c>
      <c r="C923" s="1">
        <v>44586</v>
      </c>
      <c r="D923" s="4" t="str">
        <f>VLOOKUP('Flow2 '!A923,'ALokasi Pelabuhan '!$A:$C,3,TRUE)</f>
        <v>P16</v>
      </c>
      <c r="E923" s="4" t="str">
        <f>VLOOKUP('Flow2 '!B923,'ALokasi Pelabuhan '!$A:$C,3,TRUE)</f>
        <v>P4</v>
      </c>
    </row>
    <row r="924" spans="1:5" x14ac:dyDescent="0.25">
      <c r="A924">
        <f t="shared" si="14"/>
        <v>28</v>
      </c>
      <c r="B924">
        <v>5</v>
      </c>
      <c r="C924" s="1">
        <v>25583</v>
      </c>
      <c r="D924" s="4" t="str">
        <f>VLOOKUP('Flow2 '!A924,'ALokasi Pelabuhan '!$A:$C,3,TRUE)</f>
        <v>P16</v>
      </c>
      <c r="E924" s="4" t="str">
        <f>VLOOKUP('Flow2 '!B924,'ALokasi Pelabuhan '!$A:$C,3,TRUE)</f>
        <v>P19</v>
      </c>
    </row>
    <row r="925" spans="1:5" x14ac:dyDescent="0.25">
      <c r="A925">
        <f t="shared" si="14"/>
        <v>28</v>
      </c>
      <c r="B925">
        <v>6</v>
      </c>
      <c r="C925" s="1">
        <v>63218</v>
      </c>
      <c r="D925" s="4" t="str">
        <f>VLOOKUP('Flow2 '!A925,'ALokasi Pelabuhan '!$A:$C,3,TRUE)</f>
        <v>P16</v>
      </c>
      <c r="E925" s="4" t="str">
        <f>VLOOKUP('Flow2 '!B925,'ALokasi Pelabuhan '!$A:$C,3,TRUE)</f>
        <v>P8</v>
      </c>
    </row>
    <row r="926" spans="1:5" x14ac:dyDescent="0.25">
      <c r="A926">
        <f t="shared" si="14"/>
        <v>28</v>
      </c>
      <c r="B926">
        <v>7</v>
      </c>
      <c r="C926" s="1">
        <v>14214</v>
      </c>
      <c r="D926" s="4" t="str">
        <f>VLOOKUP('Flow2 '!A926,'ALokasi Pelabuhan '!$A:$C,3,TRUE)</f>
        <v>P16</v>
      </c>
      <c r="E926" s="4" t="str">
        <f>VLOOKUP('Flow2 '!B926,'ALokasi Pelabuhan '!$A:$C,3,TRUE)</f>
        <v>P5</v>
      </c>
    </row>
    <row r="927" spans="1:5" x14ac:dyDescent="0.25">
      <c r="A927">
        <f t="shared" si="14"/>
        <v>28</v>
      </c>
      <c r="B927">
        <v>8</v>
      </c>
      <c r="C927" s="1">
        <v>62841</v>
      </c>
      <c r="D927" s="4" t="str">
        <f>VLOOKUP('Flow2 '!A927,'ALokasi Pelabuhan '!$A:$C,3,TRUE)</f>
        <v>P16</v>
      </c>
      <c r="E927" s="4" t="str">
        <f>VLOOKUP('Flow2 '!B927,'ALokasi Pelabuhan '!$A:$C,3,TRUE)</f>
        <v>P8</v>
      </c>
    </row>
    <row r="928" spans="1:5" x14ac:dyDescent="0.25">
      <c r="A928">
        <f t="shared" si="14"/>
        <v>28</v>
      </c>
      <c r="B928">
        <v>9</v>
      </c>
      <c r="C928" s="1">
        <v>18018</v>
      </c>
      <c r="D928" s="4" t="str">
        <f>VLOOKUP('Flow2 '!A928,'ALokasi Pelabuhan '!$A:$C,3,TRUE)</f>
        <v>P16</v>
      </c>
      <c r="E928" s="4" t="str">
        <f>VLOOKUP('Flow2 '!B928,'ALokasi Pelabuhan '!$A:$C,3,TRUE)</f>
        <v>P9</v>
      </c>
    </row>
    <row r="929" spans="1:5" x14ac:dyDescent="0.25">
      <c r="A929">
        <f t="shared" si="14"/>
        <v>28</v>
      </c>
      <c r="B929">
        <v>10</v>
      </c>
      <c r="C929" s="1">
        <v>16832</v>
      </c>
      <c r="D929" s="4" t="str">
        <f>VLOOKUP('Flow2 '!A929,'ALokasi Pelabuhan '!$A:$C,3,TRUE)</f>
        <v>P16</v>
      </c>
      <c r="E929" s="4" t="str">
        <f>VLOOKUP('Flow2 '!B929,'ALokasi Pelabuhan '!$A:$C,3,TRUE)</f>
        <v>P10</v>
      </c>
    </row>
    <row r="930" spans="1:5" x14ac:dyDescent="0.25">
      <c r="A930">
        <f t="shared" si="14"/>
        <v>28</v>
      </c>
      <c r="B930">
        <v>11</v>
      </c>
      <c r="C930" s="1">
        <v>86921</v>
      </c>
      <c r="D930" s="4" t="str">
        <f>VLOOKUP('Flow2 '!A930,'ALokasi Pelabuhan '!$A:$C,3,TRUE)</f>
        <v>P16</v>
      </c>
      <c r="E930" s="4" t="str">
        <f>VLOOKUP('Flow2 '!B930,'ALokasi Pelabuhan '!$A:$C,3,TRUE)</f>
        <v>P11</v>
      </c>
    </row>
    <row r="931" spans="1:5" x14ac:dyDescent="0.25">
      <c r="A931">
        <f t="shared" si="14"/>
        <v>28</v>
      </c>
      <c r="B931">
        <v>12</v>
      </c>
      <c r="C931" s="1">
        <v>414873</v>
      </c>
      <c r="D931" s="4" t="str">
        <f>VLOOKUP('Flow2 '!A931,'ALokasi Pelabuhan '!$A:$C,3,TRUE)</f>
        <v>P16</v>
      </c>
      <c r="E931" s="4" t="str">
        <f>VLOOKUP('Flow2 '!B931,'ALokasi Pelabuhan '!$A:$C,3,TRUE)</f>
        <v>P13</v>
      </c>
    </row>
    <row r="932" spans="1:5" x14ac:dyDescent="0.25">
      <c r="A932">
        <f t="shared" si="14"/>
        <v>28</v>
      </c>
      <c r="B932">
        <v>13</v>
      </c>
      <c r="C932" s="1">
        <v>358457</v>
      </c>
      <c r="D932" s="4" t="str">
        <f>VLOOKUP('Flow2 '!A932,'ALokasi Pelabuhan '!$A:$C,3,TRUE)</f>
        <v>P16</v>
      </c>
      <c r="E932" s="4" t="str">
        <f>VLOOKUP('Flow2 '!B932,'ALokasi Pelabuhan '!$A:$C,3,TRUE)</f>
        <v>P12</v>
      </c>
    </row>
    <row r="933" spans="1:5" x14ac:dyDescent="0.25">
      <c r="A933">
        <f t="shared" si="14"/>
        <v>28</v>
      </c>
      <c r="B933">
        <v>14</v>
      </c>
      <c r="C933" s="1">
        <v>39425</v>
      </c>
      <c r="D933" s="4" t="str">
        <f>VLOOKUP('Flow2 '!A933,'ALokasi Pelabuhan '!$A:$C,3,TRUE)</f>
        <v>P16</v>
      </c>
      <c r="E933" s="4" t="str">
        <f>VLOOKUP('Flow2 '!B933,'ALokasi Pelabuhan '!$A:$C,3,TRUE)</f>
        <v>P14</v>
      </c>
    </row>
    <row r="934" spans="1:5" x14ac:dyDescent="0.25">
      <c r="A934">
        <f t="shared" si="14"/>
        <v>28</v>
      </c>
      <c r="B934">
        <v>15</v>
      </c>
      <c r="C934" s="1">
        <v>505502</v>
      </c>
      <c r="D934" s="4" t="str">
        <f>VLOOKUP('Flow2 '!A934,'ALokasi Pelabuhan '!$A:$C,3,TRUE)</f>
        <v>P16</v>
      </c>
      <c r="E934" s="4" t="str">
        <f>VLOOKUP('Flow2 '!B934,'ALokasi Pelabuhan '!$A:$C,3,TRUE)</f>
        <v>P15</v>
      </c>
    </row>
    <row r="935" spans="1:5" x14ac:dyDescent="0.25">
      <c r="A935">
        <f t="shared" si="14"/>
        <v>28</v>
      </c>
      <c r="B935">
        <v>16</v>
      </c>
      <c r="C935" s="1">
        <v>100186</v>
      </c>
      <c r="D935" s="4" t="str">
        <f>VLOOKUP('Flow2 '!A935,'ALokasi Pelabuhan '!$A:$C,3,TRUE)</f>
        <v>P16</v>
      </c>
      <c r="E935" s="4" t="str">
        <f>VLOOKUP('Flow2 '!B935,'ALokasi Pelabuhan '!$A:$C,3,TRUE)</f>
        <v>P6</v>
      </c>
    </row>
    <row r="936" spans="1:5" x14ac:dyDescent="0.25">
      <c r="A936">
        <f t="shared" si="14"/>
        <v>28</v>
      </c>
      <c r="B936">
        <v>17</v>
      </c>
      <c r="C936" s="1">
        <v>69633</v>
      </c>
      <c r="D936" s="4" t="str">
        <f>VLOOKUP('Flow2 '!A936,'ALokasi Pelabuhan '!$A:$C,3,TRUE)</f>
        <v>P16</v>
      </c>
      <c r="E936" s="4" t="str">
        <f>VLOOKUP('Flow2 '!B936,'ALokasi Pelabuhan '!$A:$C,3,TRUE)</f>
        <v>P3</v>
      </c>
    </row>
    <row r="937" spans="1:5" x14ac:dyDescent="0.25">
      <c r="A937">
        <f t="shared" si="14"/>
        <v>28</v>
      </c>
      <c r="B937">
        <v>18</v>
      </c>
      <c r="C937" s="1">
        <v>103050</v>
      </c>
      <c r="D937" s="4" t="str">
        <f>VLOOKUP('Flow2 '!A937,'ALokasi Pelabuhan '!$A:$C,3,TRUE)</f>
        <v>P16</v>
      </c>
      <c r="E937" s="4" t="str">
        <f>VLOOKUP('Flow2 '!B937,'ALokasi Pelabuhan '!$A:$C,3,TRUE)</f>
        <v>P7</v>
      </c>
    </row>
    <row r="938" spans="1:5" x14ac:dyDescent="0.25">
      <c r="A938">
        <f t="shared" si="14"/>
        <v>28</v>
      </c>
      <c r="B938">
        <v>19</v>
      </c>
      <c r="C938" s="1">
        <v>176815</v>
      </c>
      <c r="D938" s="4" t="str">
        <f>VLOOKUP('Flow2 '!A938,'ALokasi Pelabuhan '!$A:$C,3,TRUE)</f>
        <v>P16</v>
      </c>
      <c r="E938" s="4" t="str">
        <f>VLOOKUP('Flow2 '!B938,'ALokasi Pelabuhan '!$A:$C,3,TRUE)</f>
        <v>P22</v>
      </c>
    </row>
    <row r="939" spans="1:5" x14ac:dyDescent="0.25">
      <c r="A939">
        <f t="shared" si="14"/>
        <v>28</v>
      </c>
      <c r="B939">
        <v>20</v>
      </c>
      <c r="C939" s="1">
        <v>62096</v>
      </c>
      <c r="D939" s="4" t="str">
        <f>VLOOKUP('Flow2 '!A939,'ALokasi Pelabuhan '!$A:$C,3,TRUE)</f>
        <v>P16</v>
      </c>
      <c r="E939" s="4" t="str">
        <f>VLOOKUP('Flow2 '!B939,'ALokasi Pelabuhan '!$A:$C,3,TRUE)</f>
        <v>P21</v>
      </c>
    </row>
    <row r="940" spans="1:5" x14ac:dyDescent="0.25">
      <c r="A940">
        <f t="shared" si="14"/>
        <v>28</v>
      </c>
      <c r="B940">
        <v>21</v>
      </c>
      <c r="C940" s="1">
        <v>45289</v>
      </c>
      <c r="D940" s="4" t="str">
        <f>VLOOKUP('Flow2 '!A940,'ALokasi Pelabuhan '!$A:$C,3,TRUE)</f>
        <v>P16</v>
      </c>
      <c r="E940" s="4" t="str">
        <f>VLOOKUP('Flow2 '!B940,'ALokasi Pelabuhan '!$A:$C,3,TRUE)</f>
        <v>P20</v>
      </c>
    </row>
    <row r="941" spans="1:5" x14ac:dyDescent="0.25">
      <c r="A941">
        <f t="shared" si="14"/>
        <v>28</v>
      </c>
      <c r="B941">
        <v>22</v>
      </c>
      <c r="C941" s="1">
        <v>82760</v>
      </c>
      <c r="D941" s="4" t="str">
        <f>VLOOKUP('Flow2 '!A941,'ALokasi Pelabuhan '!$A:$C,3,TRUE)</f>
        <v>P16</v>
      </c>
      <c r="E941" s="4" t="str">
        <f>VLOOKUP('Flow2 '!B941,'ALokasi Pelabuhan '!$A:$C,3,TRUE)</f>
        <v>P20</v>
      </c>
    </row>
    <row r="942" spans="1:5" x14ac:dyDescent="0.25">
      <c r="A942">
        <f t="shared" si="14"/>
        <v>28</v>
      </c>
      <c r="B942">
        <v>23</v>
      </c>
      <c r="C942" s="1">
        <v>68855</v>
      </c>
      <c r="D942" s="4" t="str">
        <f>VLOOKUP('Flow2 '!A942,'ALokasi Pelabuhan '!$A:$C,3,TRUE)</f>
        <v>P16</v>
      </c>
      <c r="E942" s="4" t="str">
        <f>VLOOKUP('Flow2 '!B942,'ALokasi Pelabuhan '!$A:$C,3,TRUE)</f>
        <v>P24</v>
      </c>
    </row>
    <row r="943" spans="1:5" x14ac:dyDescent="0.25">
      <c r="A943">
        <f t="shared" si="14"/>
        <v>28</v>
      </c>
      <c r="B943">
        <v>24</v>
      </c>
      <c r="C943" s="1">
        <v>8079</v>
      </c>
      <c r="D943" s="4" t="str">
        <f>VLOOKUP('Flow2 '!A943,'ALokasi Pelabuhan '!$A:$C,3,TRUE)</f>
        <v>P16</v>
      </c>
      <c r="E943" s="4" t="str">
        <f>VLOOKUP('Flow2 '!B943,'ALokasi Pelabuhan '!$A:$C,3,TRUE)</f>
        <v>P23</v>
      </c>
    </row>
    <row r="944" spans="1:5" x14ac:dyDescent="0.25">
      <c r="A944">
        <f t="shared" si="14"/>
        <v>28</v>
      </c>
      <c r="B944">
        <v>25</v>
      </c>
      <c r="C944" s="1">
        <v>65740</v>
      </c>
      <c r="D944" s="4" t="str">
        <f>VLOOKUP('Flow2 '!A944,'ALokasi Pelabuhan '!$A:$C,3,TRUE)</f>
        <v>P16</v>
      </c>
      <c r="E944" s="4" t="str">
        <f>VLOOKUP('Flow2 '!B944,'ALokasi Pelabuhan '!$A:$C,3,TRUE)</f>
        <v>P2</v>
      </c>
    </row>
    <row r="945" spans="1:5" x14ac:dyDescent="0.25">
      <c r="A945">
        <f t="shared" si="14"/>
        <v>28</v>
      </c>
      <c r="B945">
        <v>26</v>
      </c>
      <c r="C945" s="1">
        <v>125790</v>
      </c>
      <c r="D945" s="4" t="str">
        <f>VLOOKUP('Flow2 '!A945,'ALokasi Pelabuhan '!$A:$C,3,TRUE)</f>
        <v>P16</v>
      </c>
      <c r="E945" s="4" t="str">
        <f>VLOOKUP('Flow2 '!B945,'ALokasi Pelabuhan '!$A:$C,3,TRUE)</f>
        <v>P17</v>
      </c>
    </row>
    <row r="946" spans="1:5" x14ac:dyDescent="0.25">
      <c r="A946">
        <f t="shared" si="14"/>
        <v>28</v>
      </c>
      <c r="B946">
        <v>27</v>
      </c>
      <c r="C946" s="1">
        <v>445886</v>
      </c>
      <c r="D946" s="4" t="str">
        <f>VLOOKUP('Flow2 '!A946,'ALokasi Pelabuhan '!$A:$C,3,TRUE)</f>
        <v>P16</v>
      </c>
      <c r="E946" s="4" t="str">
        <f>VLOOKUP('Flow2 '!B946,'ALokasi Pelabuhan '!$A:$C,3,TRUE)</f>
        <v>P17</v>
      </c>
    </row>
    <row r="947" spans="1:5" x14ac:dyDescent="0.25">
      <c r="A947">
        <f t="shared" si="14"/>
        <v>28</v>
      </c>
      <c r="B947">
        <v>28</v>
      </c>
      <c r="C947" s="1">
        <v>754306</v>
      </c>
      <c r="D947" s="4" t="str">
        <f>VLOOKUP('Flow2 '!A947,'ALokasi Pelabuhan '!$A:$C,3,TRUE)</f>
        <v>P16</v>
      </c>
      <c r="E947" s="4" t="str">
        <f>VLOOKUP('Flow2 '!B947,'ALokasi Pelabuhan '!$A:$C,3,TRUE)</f>
        <v>P16</v>
      </c>
    </row>
    <row r="948" spans="1:5" x14ac:dyDescent="0.25">
      <c r="A948">
        <f t="shared" si="14"/>
        <v>28</v>
      </c>
      <c r="B948">
        <v>29</v>
      </c>
      <c r="C948" s="1">
        <v>32451</v>
      </c>
      <c r="D948" s="4" t="str">
        <f>VLOOKUP('Flow2 '!A948,'ALokasi Pelabuhan '!$A:$C,3,TRUE)</f>
        <v>P16</v>
      </c>
      <c r="E948" s="4" t="str">
        <f>VLOOKUP('Flow2 '!B948,'ALokasi Pelabuhan '!$A:$C,3,TRUE)</f>
        <v>P18</v>
      </c>
    </row>
    <row r="949" spans="1:5" x14ac:dyDescent="0.25">
      <c r="A949">
        <f t="shared" si="14"/>
        <v>28</v>
      </c>
      <c r="B949">
        <v>30</v>
      </c>
      <c r="C949" s="1">
        <v>57095</v>
      </c>
      <c r="D949" s="4" t="str">
        <f>VLOOKUP('Flow2 '!A949,'ALokasi Pelabuhan '!$A:$C,3,TRUE)</f>
        <v>P16</v>
      </c>
      <c r="E949" s="4" t="str">
        <f>VLOOKUP('Flow2 '!B949,'ALokasi Pelabuhan '!$A:$C,3,TRUE)</f>
        <v>P19</v>
      </c>
    </row>
    <row r="950" spans="1:5" x14ac:dyDescent="0.25">
      <c r="A950">
        <f t="shared" si="14"/>
        <v>28</v>
      </c>
      <c r="B950">
        <v>31</v>
      </c>
      <c r="C950" s="1">
        <v>54691</v>
      </c>
      <c r="D950" s="4" t="str">
        <f>VLOOKUP('Flow2 '!A950,'ALokasi Pelabuhan '!$A:$C,3,TRUE)</f>
        <v>P16</v>
      </c>
      <c r="E950" s="4" t="str">
        <f>VLOOKUP('Flow2 '!B950,'ALokasi Pelabuhan '!$A:$C,3,TRUE)</f>
        <v>P4</v>
      </c>
    </row>
    <row r="951" spans="1:5" x14ac:dyDescent="0.25">
      <c r="A951">
        <f t="shared" si="14"/>
        <v>28</v>
      </c>
      <c r="B951">
        <v>32</v>
      </c>
      <c r="C951" s="1">
        <v>33120</v>
      </c>
      <c r="D951" s="4" t="str">
        <f>VLOOKUP('Flow2 '!A951,'ALokasi Pelabuhan '!$A:$C,3,TRUE)</f>
        <v>P16</v>
      </c>
      <c r="E951" s="4" t="str">
        <f>VLOOKUP('Flow2 '!B951,'ALokasi Pelabuhan '!$A:$C,3,TRUE)</f>
        <v>P6</v>
      </c>
    </row>
    <row r="952" spans="1:5" x14ac:dyDescent="0.25">
      <c r="A952">
        <f t="shared" si="14"/>
        <v>28</v>
      </c>
      <c r="B952">
        <v>33</v>
      </c>
      <c r="C952" s="1">
        <v>7211.2821050300836</v>
      </c>
      <c r="D952" s="4" t="str">
        <f>VLOOKUP('Flow2 '!A952,'ALokasi Pelabuhan '!$A:$C,3,TRUE)</f>
        <v>P16</v>
      </c>
      <c r="E952" s="4" t="str">
        <f>VLOOKUP('Flow2 '!B952,'ALokasi Pelabuhan '!$A:$C,3,TRUE)</f>
        <v>P2</v>
      </c>
    </row>
    <row r="953" spans="1:5" x14ac:dyDescent="0.25">
      <c r="A953">
        <f t="shared" si="14"/>
        <v>28</v>
      </c>
      <c r="B953">
        <v>34</v>
      </c>
      <c r="C953" s="1">
        <v>25890.717894969926</v>
      </c>
      <c r="D953" s="4" t="str">
        <f>VLOOKUP('Flow2 '!A953,'ALokasi Pelabuhan '!$A:$C,3,TRUE)</f>
        <v>P16</v>
      </c>
      <c r="E953" s="4" t="str">
        <f>VLOOKUP('Flow2 '!B953,'ALokasi Pelabuhan '!$A:$C,3,TRUE)</f>
        <v>P9</v>
      </c>
    </row>
    <row r="954" spans="1:5" x14ac:dyDescent="0.25">
      <c r="A954">
        <f t="shared" si="14"/>
        <v>29</v>
      </c>
      <c r="B954">
        <v>1</v>
      </c>
      <c r="C954" s="1">
        <v>13314</v>
      </c>
      <c r="D954" s="4" t="str">
        <f>VLOOKUP('Flow2 '!A954,'ALokasi Pelabuhan '!$A:$C,3,TRUE)</f>
        <v>P18</v>
      </c>
      <c r="E954" s="4" t="str">
        <f>VLOOKUP('Flow2 '!B954,'ALokasi Pelabuhan '!$A:$C,3,TRUE)</f>
        <v>P1</v>
      </c>
    </row>
    <row r="955" spans="1:5" x14ac:dyDescent="0.25">
      <c r="A955">
        <f t="shared" si="14"/>
        <v>29</v>
      </c>
      <c r="B955">
        <v>2</v>
      </c>
      <c r="C955" s="1">
        <v>29090</v>
      </c>
      <c r="D955" s="4" t="str">
        <f>VLOOKUP('Flow2 '!A955,'ALokasi Pelabuhan '!$A:$C,3,TRUE)</f>
        <v>P18</v>
      </c>
      <c r="E955" s="4" t="str">
        <f>VLOOKUP('Flow2 '!B955,'ALokasi Pelabuhan '!$A:$C,3,TRUE)</f>
        <v>P10</v>
      </c>
    </row>
    <row r="956" spans="1:5" x14ac:dyDescent="0.25">
      <c r="A956">
        <f t="shared" si="14"/>
        <v>29</v>
      </c>
      <c r="B956">
        <v>3</v>
      </c>
      <c r="C956" s="1">
        <v>12058</v>
      </c>
      <c r="D956" s="4" t="str">
        <f>VLOOKUP('Flow2 '!A956,'ALokasi Pelabuhan '!$A:$C,3,TRUE)</f>
        <v>P18</v>
      </c>
      <c r="E956" s="4" t="str">
        <f>VLOOKUP('Flow2 '!B956,'ALokasi Pelabuhan '!$A:$C,3,TRUE)</f>
        <v>P8</v>
      </c>
    </row>
    <row r="957" spans="1:5" x14ac:dyDescent="0.25">
      <c r="A957">
        <f t="shared" si="14"/>
        <v>29</v>
      </c>
      <c r="B957">
        <v>4</v>
      </c>
      <c r="C957" s="1">
        <v>15703</v>
      </c>
      <c r="D957" s="4" t="str">
        <f>VLOOKUP('Flow2 '!A957,'ALokasi Pelabuhan '!$A:$C,3,TRUE)</f>
        <v>P18</v>
      </c>
      <c r="E957" s="4" t="str">
        <f>VLOOKUP('Flow2 '!B957,'ALokasi Pelabuhan '!$A:$C,3,TRUE)</f>
        <v>P4</v>
      </c>
    </row>
    <row r="958" spans="1:5" x14ac:dyDescent="0.25">
      <c r="A958">
        <f t="shared" si="14"/>
        <v>29</v>
      </c>
      <c r="B958">
        <v>5</v>
      </c>
      <c r="C958" s="1">
        <v>9782</v>
      </c>
      <c r="D958" s="4" t="str">
        <f>VLOOKUP('Flow2 '!A958,'ALokasi Pelabuhan '!$A:$C,3,TRUE)</f>
        <v>P18</v>
      </c>
      <c r="E958" s="4" t="str">
        <f>VLOOKUP('Flow2 '!B958,'ALokasi Pelabuhan '!$A:$C,3,TRUE)</f>
        <v>P19</v>
      </c>
    </row>
    <row r="959" spans="1:5" x14ac:dyDescent="0.25">
      <c r="A959">
        <f t="shared" si="14"/>
        <v>29</v>
      </c>
      <c r="B959">
        <v>6</v>
      </c>
      <c r="C959" s="1">
        <v>19889</v>
      </c>
      <c r="D959" s="4" t="str">
        <f>VLOOKUP('Flow2 '!A959,'ALokasi Pelabuhan '!$A:$C,3,TRUE)</f>
        <v>P18</v>
      </c>
      <c r="E959" s="4" t="str">
        <f>VLOOKUP('Flow2 '!B959,'ALokasi Pelabuhan '!$A:$C,3,TRUE)</f>
        <v>P8</v>
      </c>
    </row>
    <row r="960" spans="1:5" x14ac:dyDescent="0.25">
      <c r="A960">
        <f t="shared" si="14"/>
        <v>29</v>
      </c>
      <c r="B960">
        <v>7</v>
      </c>
      <c r="C960" s="1">
        <v>4632</v>
      </c>
      <c r="D960" s="4" t="str">
        <f>VLOOKUP('Flow2 '!A960,'ALokasi Pelabuhan '!$A:$C,3,TRUE)</f>
        <v>P18</v>
      </c>
      <c r="E960" s="4" t="str">
        <f>VLOOKUP('Flow2 '!B960,'ALokasi Pelabuhan '!$A:$C,3,TRUE)</f>
        <v>P5</v>
      </c>
    </row>
    <row r="961" spans="1:5" x14ac:dyDescent="0.25">
      <c r="A961">
        <f t="shared" si="14"/>
        <v>29</v>
      </c>
      <c r="B961">
        <v>8</v>
      </c>
      <c r="C961" s="1">
        <v>18477</v>
      </c>
      <c r="D961" s="4" t="str">
        <f>VLOOKUP('Flow2 '!A961,'ALokasi Pelabuhan '!$A:$C,3,TRUE)</f>
        <v>P18</v>
      </c>
      <c r="E961" s="4" t="str">
        <f>VLOOKUP('Flow2 '!B961,'ALokasi Pelabuhan '!$A:$C,3,TRUE)</f>
        <v>P8</v>
      </c>
    </row>
    <row r="962" spans="1:5" x14ac:dyDescent="0.25">
      <c r="A962">
        <f t="shared" si="14"/>
        <v>29</v>
      </c>
      <c r="B962">
        <v>9</v>
      </c>
      <c r="C962" s="1">
        <v>35061</v>
      </c>
      <c r="D962" s="4" t="str">
        <f>VLOOKUP('Flow2 '!A962,'ALokasi Pelabuhan '!$A:$C,3,TRUE)</f>
        <v>P18</v>
      </c>
      <c r="E962" s="4" t="str">
        <f>VLOOKUP('Flow2 '!B962,'ALokasi Pelabuhan '!$A:$C,3,TRUE)</f>
        <v>P9</v>
      </c>
    </row>
    <row r="963" spans="1:5" x14ac:dyDescent="0.25">
      <c r="A963">
        <f t="shared" ref="A963:A1026" si="15">INT((ROW()-ROW($A$2))/34)+1</f>
        <v>29</v>
      </c>
      <c r="B963">
        <v>10</v>
      </c>
      <c r="C963" s="1">
        <v>5950</v>
      </c>
      <c r="D963" s="4" t="str">
        <f>VLOOKUP('Flow2 '!A963,'ALokasi Pelabuhan '!$A:$C,3,TRUE)</f>
        <v>P18</v>
      </c>
      <c r="E963" s="4" t="str">
        <f>VLOOKUP('Flow2 '!B963,'ALokasi Pelabuhan '!$A:$C,3,TRUE)</f>
        <v>P10</v>
      </c>
    </row>
    <row r="964" spans="1:5" x14ac:dyDescent="0.25">
      <c r="A964">
        <f t="shared" si="15"/>
        <v>29</v>
      </c>
      <c r="B964">
        <v>11</v>
      </c>
      <c r="C964" s="1">
        <v>27790</v>
      </c>
      <c r="D964" s="4" t="str">
        <f>VLOOKUP('Flow2 '!A964,'ALokasi Pelabuhan '!$A:$C,3,TRUE)</f>
        <v>P18</v>
      </c>
      <c r="E964" s="4" t="str">
        <f>VLOOKUP('Flow2 '!B964,'ALokasi Pelabuhan '!$A:$C,3,TRUE)</f>
        <v>P11</v>
      </c>
    </row>
    <row r="965" spans="1:5" x14ac:dyDescent="0.25">
      <c r="A965">
        <f t="shared" si="15"/>
        <v>29</v>
      </c>
      <c r="B965">
        <v>12</v>
      </c>
      <c r="C965" s="1">
        <v>124915</v>
      </c>
      <c r="D965" s="4" t="str">
        <f>VLOOKUP('Flow2 '!A965,'ALokasi Pelabuhan '!$A:$C,3,TRUE)</f>
        <v>P18</v>
      </c>
      <c r="E965" s="4" t="str">
        <f>VLOOKUP('Flow2 '!B965,'ALokasi Pelabuhan '!$A:$C,3,TRUE)</f>
        <v>P13</v>
      </c>
    </row>
    <row r="966" spans="1:5" x14ac:dyDescent="0.25">
      <c r="A966">
        <f t="shared" si="15"/>
        <v>29</v>
      </c>
      <c r="B966">
        <v>13</v>
      </c>
      <c r="C966" s="1">
        <v>100021</v>
      </c>
      <c r="D966" s="4" t="str">
        <f>VLOOKUP('Flow2 '!A966,'ALokasi Pelabuhan '!$A:$C,3,TRUE)</f>
        <v>P18</v>
      </c>
      <c r="E966" s="4" t="str">
        <f>VLOOKUP('Flow2 '!B966,'ALokasi Pelabuhan '!$A:$C,3,TRUE)</f>
        <v>P12</v>
      </c>
    </row>
    <row r="967" spans="1:5" x14ac:dyDescent="0.25">
      <c r="A967">
        <f t="shared" si="15"/>
        <v>29</v>
      </c>
      <c r="B967">
        <v>14</v>
      </c>
      <c r="C967" s="1">
        <v>10850</v>
      </c>
      <c r="D967" s="4" t="str">
        <f>VLOOKUP('Flow2 '!A967,'ALokasi Pelabuhan '!$A:$C,3,TRUE)</f>
        <v>P18</v>
      </c>
      <c r="E967" s="4" t="str">
        <f>VLOOKUP('Flow2 '!B967,'ALokasi Pelabuhan '!$A:$C,3,TRUE)</f>
        <v>P14</v>
      </c>
    </row>
    <row r="968" spans="1:5" x14ac:dyDescent="0.25">
      <c r="A968">
        <f t="shared" si="15"/>
        <v>29</v>
      </c>
      <c r="B968">
        <v>15</v>
      </c>
      <c r="C968" s="1">
        <v>137101</v>
      </c>
      <c r="D968" s="4" t="str">
        <f>VLOOKUP('Flow2 '!A968,'ALokasi Pelabuhan '!$A:$C,3,TRUE)</f>
        <v>P18</v>
      </c>
      <c r="E968" s="4" t="str">
        <f>VLOOKUP('Flow2 '!B968,'ALokasi Pelabuhan '!$A:$C,3,TRUE)</f>
        <v>P15</v>
      </c>
    </row>
    <row r="969" spans="1:5" x14ac:dyDescent="0.25">
      <c r="A969">
        <f t="shared" si="15"/>
        <v>29</v>
      </c>
      <c r="B969">
        <v>16</v>
      </c>
      <c r="C969" s="1">
        <v>32589</v>
      </c>
      <c r="D969" s="4" t="str">
        <f>VLOOKUP('Flow2 '!A969,'ALokasi Pelabuhan '!$A:$C,3,TRUE)</f>
        <v>P18</v>
      </c>
      <c r="E969" s="4" t="str">
        <f>VLOOKUP('Flow2 '!B969,'ALokasi Pelabuhan '!$A:$C,3,TRUE)</f>
        <v>P6</v>
      </c>
    </row>
    <row r="970" spans="1:5" x14ac:dyDescent="0.25">
      <c r="A970">
        <f t="shared" si="15"/>
        <v>29</v>
      </c>
      <c r="B970">
        <v>17</v>
      </c>
      <c r="C970" s="1">
        <v>16864</v>
      </c>
      <c r="D970" s="4" t="str">
        <f>VLOOKUP('Flow2 '!A970,'ALokasi Pelabuhan '!$A:$C,3,TRUE)</f>
        <v>P18</v>
      </c>
      <c r="E970" s="4" t="str">
        <f>VLOOKUP('Flow2 '!B970,'ALokasi Pelabuhan '!$A:$C,3,TRUE)</f>
        <v>P3</v>
      </c>
    </row>
    <row r="971" spans="1:5" x14ac:dyDescent="0.25">
      <c r="A971">
        <f t="shared" si="15"/>
        <v>29</v>
      </c>
      <c r="B971">
        <v>18</v>
      </c>
      <c r="C971" s="1">
        <v>23379</v>
      </c>
      <c r="D971" s="4" t="str">
        <f>VLOOKUP('Flow2 '!A971,'ALokasi Pelabuhan '!$A:$C,3,TRUE)</f>
        <v>P18</v>
      </c>
      <c r="E971" s="4" t="str">
        <f>VLOOKUP('Flow2 '!B971,'ALokasi Pelabuhan '!$A:$C,3,TRUE)</f>
        <v>P7</v>
      </c>
    </row>
    <row r="972" spans="1:5" x14ac:dyDescent="0.25">
      <c r="A972">
        <f t="shared" si="15"/>
        <v>29</v>
      </c>
      <c r="B972">
        <v>19</v>
      </c>
      <c r="C972" s="1">
        <v>35595</v>
      </c>
      <c r="D972" s="4" t="str">
        <f>VLOOKUP('Flow2 '!A972,'ALokasi Pelabuhan '!$A:$C,3,TRUE)</f>
        <v>P18</v>
      </c>
      <c r="E972" s="4" t="str">
        <f>VLOOKUP('Flow2 '!B972,'ALokasi Pelabuhan '!$A:$C,3,TRUE)</f>
        <v>P22</v>
      </c>
    </row>
    <row r="973" spans="1:5" x14ac:dyDescent="0.25">
      <c r="A973">
        <f t="shared" si="15"/>
        <v>29</v>
      </c>
      <c r="B973">
        <v>20</v>
      </c>
      <c r="C973" s="1">
        <v>22818</v>
      </c>
      <c r="D973" s="4" t="str">
        <f>VLOOKUP('Flow2 '!A973,'ALokasi Pelabuhan '!$A:$C,3,TRUE)</f>
        <v>P18</v>
      </c>
      <c r="E973" s="4" t="str">
        <f>VLOOKUP('Flow2 '!B973,'ALokasi Pelabuhan '!$A:$C,3,TRUE)</f>
        <v>P21</v>
      </c>
    </row>
    <row r="974" spans="1:5" x14ac:dyDescent="0.25">
      <c r="A974">
        <f t="shared" si="15"/>
        <v>29</v>
      </c>
      <c r="B974">
        <v>21</v>
      </c>
      <c r="C974" s="1">
        <v>15811</v>
      </c>
      <c r="D974" s="4" t="str">
        <f>VLOOKUP('Flow2 '!A974,'ALokasi Pelabuhan '!$A:$C,3,TRUE)</f>
        <v>P18</v>
      </c>
      <c r="E974" s="4" t="str">
        <f>VLOOKUP('Flow2 '!B974,'ALokasi Pelabuhan '!$A:$C,3,TRUE)</f>
        <v>P20</v>
      </c>
    </row>
    <row r="975" spans="1:5" x14ac:dyDescent="0.25">
      <c r="A975">
        <f t="shared" si="15"/>
        <v>29</v>
      </c>
      <c r="B975">
        <v>22</v>
      </c>
      <c r="C975" s="1">
        <v>25499</v>
      </c>
      <c r="D975" s="4" t="str">
        <f>VLOOKUP('Flow2 '!A975,'ALokasi Pelabuhan '!$A:$C,3,TRUE)</f>
        <v>P18</v>
      </c>
      <c r="E975" s="4" t="str">
        <f>VLOOKUP('Flow2 '!B975,'ALokasi Pelabuhan '!$A:$C,3,TRUE)</f>
        <v>P20</v>
      </c>
    </row>
    <row r="976" spans="1:5" x14ac:dyDescent="0.25">
      <c r="A976">
        <f t="shared" si="15"/>
        <v>29</v>
      </c>
      <c r="B976">
        <v>23</v>
      </c>
      <c r="C976" s="1">
        <v>30600</v>
      </c>
      <c r="D976" s="4" t="str">
        <f>VLOOKUP('Flow2 '!A976,'ALokasi Pelabuhan '!$A:$C,3,TRUE)</f>
        <v>P18</v>
      </c>
      <c r="E976" s="4" t="str">
        <f>VLOOKUP('Flow2 '!B976,'ALokasi Pelabuhan '!$A:$C,3,TRUE)</f>
        <v>P24</v>
      </c>
    </row>
    <row r="977" spans="1:5" x14ac:dyDescent="0.25">
      <c r="A977">
        <f t="shared" si="15"/>
        <v>29</v>
      </c>
      <c r="B977">
        <v>24</v>
      </c>
      <c r="C977" s="1">
        <v>4494</v>
      </c>
      <c r="D977" s="4" t="str">
        <f>VLOOKUP('Flow2 '!A977,'ALokasi Pelabuhan '!$A:$C,3,TRUE)</f>
        <v>P18</v>
      </c>
      <c r="E977" s="4" t="str">
        <f>VLOOKUP('Flow2 '!B977,'ALokasi Pelabuhan '!$A:$C,3,TRUE)</f>
        <v>P23</v>
      </c>
    </row>
    <row r="978" spans="1:5" x14ac:dyDescent="0.25">
      <c r="A978">
        <f t="shared" si="15"/>
        <v>29</v>
      </c>
      <c r="B978">
        <v>25</v>
      </c>
      <c r="C978" s="1">
        <v>75899</v>
      </c>
      <c r="D978" s="4" t="str">
        <f>VLOOKUP('Flow2 '!A978,'ALokasi Pelabuhan '!$A:$C,3,TRUE)</f>
        <v>P18</v>
      </c>
      <c r="E978" s="4" t="str">
        <f>VLOOKUP('Flow2 '!B978,'ALokasi Pelabuhan '!$A:$C,3,TRUE)</f>
        <v>P2</v>
      </c>
    </row>
    <row r="979" spans="1:5" x14ac:dyDescent="0.25">
      <c r="A979">
        <f t="shared" si="15"/>
        <v>29</v>
      </c>
      <c r="B979">
        <v>26</v>
      </c>
      <c r="C979" s="1">
        <v>76424</v>
      </c>
      <c r="D979" s="4" t="str">
        <f>VLOOKUP('Flow2 '!A979,'ALokasi Pelabuhan '!$A:$C,3,TRUE)</f>
        <v>P18</v>
      </c>
      <c r="E979" s="4" t="str">
        <f>VLOOKUP('Flow2 '!B979,'ALokasi Pelabuhan '!$A:$C,3,TRUE)</f>
        <v>P17</v>
      </c>
    </row>
    <row r="980" spans="1:5" x14ac:dyDescent="0.25">
      <c r="A980">
        <f t="shared" si="15"/>
        <v>29</v>
      </c>
      <c r="B980">
        <v>27</v>
      </c>
      <c r="C980" s="1">
        <v>74138</v>
      </c>
      <c r="D980" s="4" t="str">
        <f>VLOOKUP('Flow2 '!A980,'ALokasi Pelabuhan '!$A:$C,3,TRUE)</f>
        <v>P18</v>
      </c>
      <c r="E980" s="4" t="str">
        <f>VLOOKUP('Flow2 '!B980,'ALokasi Pelabuhan '!$A:$C,3,TRUE)</f>
        <v>P17</v>
      </c>
    </row>
    <row r="981" spans="1:5" x14ac:dyDescent="0.25">
      <c r="A981">
        <f t="shared" si="15"/>
        <v>29</v>
      </c>
      <c r="B981">
        <v>28</v>
      </c>
      <c r="C981" s="1">
        <v>30164</v>
      </c>
      <c r="D981" s="4" t="str">
        <f>VLOOKUP('Flow2 '!A981,'ALokasi Pelabuhan '!$A:$C,3,TRUE)</f>
        <v>P18</v>
      </c>
      <c r="E981" s="4" t="str">
        <f>VLOOKUP('Flow2 '!B981,'ALokasi Pelabuhan '!$A:$C,3,TRUE)</f>
        <v>P16</v>
      </c>
    </row>
    <row r="982" spans="1:5" x14ac:dyDescent="0.25">
      <c r="A982">
        <f t="shared" si="15"/>
        <v>29</v>
      </c>
      <c r="B982">
        <v>29</v>
      </c>
      <c r="C982" s="1">
        <v>260587</v>
      </c>
      <c r="D982" s="4" t="str">
        <f>VLOOKUP('Flow2 '!A982,'ALokasi Pelabuhan '!$A:$C,3,TRUE)</f>
        <v>P18</v>
      </c>
      <c r="E982" s="4" t="str">
        <f>VLOOKUP('Flow2 '!B982,'ALokasi Pelabuhan '!$A:$C,3,TRUE)</f>
        <v>P18</v>
      </c>
    </row>
    <row r="983" spans="1:5" x14ac:dyDescent="0.25">
      <c r="A983">
        <f t="shared" si="15"/>
        <v>29</v>
      </c>
      <c r="B983">
        <v>30</v>
      </c>
      <c r="C983" s="1">
        <v>15305</v>
      </c>
      <c r="D983" s="4" t="str">
        <f>VLOOKUP('Flow2 '!A983,'ALokasi Pelabuhan '!$A:$C,3,TRUE)</f>
        <v>P18</v>
      </c>
      <c r="E983" s="4" t="str">
        <f>VLOOKUP('Flow2 '!B983,'ALokasi Pelabuhan '!$A:$C,3,TRUE)</f>
        <v>P19</v>
      </c>
    </row>
    <row r="984" spans="1:5" x14ac:dyDescent="0.25">
      <c r="A984">
        <f t="shared" si="15"/>
        <v>29</v>
      </c>
      <c r="B984">
        <v>31</v>
      </c>
      <c r="C984" s="1">
        <v>19629</v>
      </c>
      <c r="D984" s="4" t="str">
        <f>VLOOKUP('Flow2 '!A984,'ALokasi Pelabuhan '!$A:$C,3,TRUE)</f>
        <v>P18</v>
      </c>
      <c r="E984" s="4" t="str">
        <f>VLOOKUP('Flow2 '!B984,'ALokasi Pelabuhan '!$A:$C,3,TRUE)</f>
        <v>P4</v>
      </c>
    </row>
    <row r="985" spans="1:5" x14ac:dyDescent="0.25">
      <c r="A985">
        <f t="shared" si="15"/>
        <v>29</v>
      </c>
      <c r="B985">
        <v>32</v>
      </c>
      <c r="C985" s="1">
        <v>16652</v>
      </c>
      <c r="D985" s="4" t="str">
        <f>VLOOKUP('Flow2 '!A985,'ALokasi Pelabuhan '!$A:$C,3,TRUE)</f>
        <v>P18</v>
      </c>
      <c r="E985" s="4" t="str">
        <f>VLOOKUP('Flow2 '!B985,'ALokasi Pelabuhan '!$A:$C,3,TRUE)</f>
        <v>P6</v>
      </c>
    </row>
    <row r="986" spans="1:5" x14ac:dyDescent="0.25">
      <c r="A986">
        <f t="shared" si="15"/>
        <v>29</v>
      </c>
      <c r="B986">
        <v>33</v>
      </c>
      <c r="C986" s="1">
        <v>2569.980514562259</v>
      </c>
      <c r="D986" s="4" t="str">
        <f>VLOOKUP('Flow2 '!A986,'ALokasi Pelabuhan '!$A:$C,3,TRUE)</f>
        <v>P18</v>
      </c>
      <c r="E986" s="4" t="str">
        <f>VLOOKUP('Flow2 '!B986,'ALokasi Pelabuhan '!$A:$C,3,TRUE)</f>
        <v>P2</v>
      </c>
    </row>
    <row r="987" spans="1:5" x14ac:dyDescent="0.25">
      <c r="A987">
        <f t="shared" si="15"/>
        <v>29</v>
      </c>
      <c r="B987">
        <v>34</v>
      </c>
      <c r="C987" s="1">
        <v>9227.0194854377442</v>
      </c>
      <c r="D987" s="4" t="str">
        <f>VLOOKUP('Flow2 '!A987,'ALokasi Pelabuhan '!$A:$C,3,TRUE)</f>
        <v>P18</v>
      </c>
      <c r="E987" s="4" t="str">
        <f>VLOOKUP('Flow2 '!B987,'ALokasi Pelabuhan '!$A:$C,3,TRUE)</f>
        <v>P9</v>
      </c>
    </row>
    <row r="988" spans="1:5" x14ac:dyDescent="0.25">
      <c r="A988">
        <f t="shared" si="15"/>
        <v>30</v>
      </c>
      <c r="B988">
        <v>1</v>
      </c>
      <c r="C988" s="1">
        <v>14865</v>
      </c>
      <c r="D988" s="4" t="str">
        <f>VLOOKUP('Flow2 '!A988,'ALokasi Pelabuhan '!$A:$C,3,TRUE)</f>
        <v>P19</v>
      </c>
      <c r="E988" s="4" t="str">
        <f>VLOOKUP('Flow2 '!B988,'ALokasi Pelabuhan '!$A:$C,3,TRUE)</f>
        <v>P1</v>
      </c>
    </row>
    <row r="989" spans="1:5" x14ac:dyDescent="0.25">
      <c r="A989">
        <f t="shared" si="15"/>
        <v>30</v>
      </c>
      <c r="B989">
        <v>2</v>
      </c>
      <c r="C989" s="1">
        <v>32830</v>
      </c>
      <c r="D989" s="4" t="str">
        <f>VLOOKUP('Flow2 '!A989,'ALokasi Pelabuhan '!$A:$C,3,TRUE)</f>
        <v>P19</v>
      </c>
      <c r="E989" s="4" t="str">
        <f>VLOOKUP('Flow2 '!B989,'ALokasi Pelabuhan '!$A:$C,3,TRUE)</f>
        <v>P10</v>
      </c>
    </row>
    <row r="990" spans="1:5" x14ac:dyDescent="0.25">
      <c r="A990">
        <f t="shared" si="15"/>
        <v>30</v>
      </c>
      <c r="B990">
        <v>3</v>
      </c>
      <c r="C990" s="1">
        <v>14455</v>
      </c>
      <c r="D990" s="4" t="str">
        <f>VLOOKUP('Flow2 '!A990,'ALokasi Pelabuhan '!$A:$C,3,TRUE)</f>
        <v>P19</v>
      </c>
      <c r="E990" s="4" t="str">
        <f>VLOOKUP('Flow2 '!B990,'ALokasi Pelabuhan '!$A:$C,3,TRUE)</f>
        <v>P8</v>
      </c>
    </row>
    <row r="991" spans="1:5" x14ac:dyDescent="0.25">
      <c r="A991">
        <f t="shared" si="15"/>
        <v>30</v>
      </c>
      <c r="B991">
        <v>4</v>
      </c>
      <c r="C991" s="1">
        <v>17514</v>
      </c>
      <c r="D991" s="4" t="str">
        <f>VLOOKUP('Flow2 '!A991,'ALokasi Pelabuhan '!$A:$C,3,TRUE)</f>
        <v>P19</v>
      </c>
      <c r="E991" s="4" t="str">
        <f>VLOOKUP('Flow2 '!B991,'ALokasi Pelabuhan '!$A:$C,3,TRUE)</f>
        <v>P4</v>
      </c>
    </row>
    <row r="992" spans="1:5" x14ac:dyDescent="0.25">
      <c r="A992">
        <f t="shared" si="15"/>
        <v>30</v>
      </c>
      <c r="B992">
        <v>5</v>
      </c>
      <c r="C992" s="1">
        <v>10125</v>
      </c>
      <c r="D992" s="4" t="str">
        <f>VLOOKUP('Flow2 '!A992,'ALokasi Pelabuhan '!$A:$C,3,TRUE)</f>
        <v>P19</v>
      </c>
      <c r="E992" s="4" t="str">
        <f>VLOOKUP('Flow2 '!B992,'ALokasi Pelabuhan '!$A:$C,3,TRUE)</f>
        <v>P19</v>
      </c>
    </row>
    <row r="993" spans="1:5" x14ac:dyDescent="0.25">
      <c r="A993">
        <f t="shared" si="15"/>
        <v>30</v>
      </c>
      <c r="B993">
        <v>6</v>
      </c>
      <c r="C993" s="1">
        <v>25006</v>
      </c>
      <c r="D993" s="4" t="str">
        <f>VLOOKUP('Flow2 '!A993,'ALokasi Pelabuhan '!$A:$C,3,TRUE)</f>
        <v>P19</v>
      </c>
      <c r="E993" s="4" t="str">
        <f>VLOOKUP('Flow2 '!B993,'ALokasi Pelabuhan '!$A:$C,3,TRUE)</f>
        <v>P8</v>
      </c>
    </row>
    <row r="994" spans="1:5" x14ac:dyDescent="0.25">
      <c r="A994">
        <f t="shared" si="15"/>
        <v>30</v>
      </c>
      <c r="B994">
        <v>7</v>
      </c>
      <c r="C994" s="1">
        <v>5918</v>
      </c>
      <c r="D994" s="4" t="str">
        <f>VLOOKUP('Flow2 '!A994,'ALokasi Pelabuhan '!$A:$C,3,TRUE)</f>
        <v>P19</v>
      </c>
      <c r="E994" s="4" t="str">
        <f>VLOOKUP('Flow2 '!B994,'ALokasi Pelabuhan '!$A:$C,3,TRUE)</f>
        <v>P5</v>
      </c>
    </row>
    <row r="995" spans="1:5" x14ac:dyDescent="0.25">
      <c r="A995">
        <f t="shared" si="15"/>
        <v>30</v>
      </c>
      <c r="B995">
        <v>8</v>
      </c>
      <c r="C995" s="1">
        <v>23530</v>
      </c>
      <c r="D995" s="4" t="str">
        <f>VLOOKUP('Flow2 '!A995,'ALokasi Pelabuhan '!$A:$C,3,TRUE)</f>
        <v>P19</v>
      </c>
      <c r="E995" s="4" t="str">
        <f>VLOOKUP('Flow2 '!B995,'ALokasi Pelabuhan '!$A:$C,3,TRUE)</f>
        <v>P8</v>
      </c>
    </row>
    <row r="996" spans="1:5" x14ac:dyDescent="0.25">
      <c r="A996">
        <f t="shared" si="15"/>
        <v>30</v>
      </c>
      <c r="B996">
        <v>9</v>
      </c>
      <c r="C996" s="1">
        <v>8997</v>
      </c>
      <c r="D996" s="4" t="str">
        <f>VLOOKUP('Flow2 '!A996,'ALokasi Pelabuhan '!$A:$C,3,TRUE)</f>
        <v>P19</v>
      </c>
      <c r="E996" s="4" t="str">
        <f>VLOOKUP('Flow2 '!B996,'ALokasi Pelabuhan '!$A:$C,3,TRUE)</f>
        <v>P9</v>
      </c>
    </row>
    <row r="997" spans="1:5" x14ac:dyDescent="0.25">
      <c r="A997">
        <f t="shared" si="15"/>
        <v>30</v>
      </c>
      <c r="B997">
        <v>10</v>
      </c>
      <c r="C997" s="1">
        <v>7165</v>
      </c>
      <c r="D997" s="4" t="str">
        <f>VLOOKUP('Flow2 '!A997,'ALokasi Pelabuhan '!$A:$C,3,TRUE)</f>
        <v>P19</v>
      </c>
      <c r="E997" s="4" t="str">
        <f>VLOOKUP('Flow2 '!B997,'ALokasi Pelabuhan '!$A:$C,3,TRUE)</f>
        <v>P10</v>
      </c>
    </row>
    <row r="998" spans="1:5" x14ac:dyDescent="0.25">
      <c r="A998">
        <f t="shared" si="15"/>
        <v>30</v>
      </c>
      <c r="B998">
        <v>11</v>
      </c>
      <c r="C998" s="1">
        <v>30342</v>
      </c>
      <c r="D998" s="4" t="str">
        <f>VLOOKUP('Flow2 '!A998,'ALokasi Pelabuhan '!$A:$C,3,TRUE)</f>
        <v>P19</v>
      </c>
      <c r="E998" s="4" t="str">
        <f>VLOOKUP('Flow2 '!B998,'ALokasi Pelabuhan '!$A:$C,3,TRUE)</f>
        <v>P11</v>
      </c>
    </row>
    <row r="999" spans="1:5" x14ac:dyDescent="0.25">
      <c r="A999">
        <f t="shared" si="15"/>
        <v>30</v>
      </c>
      <c r="B999">
        <v>12</v>
      </c>
      <c r="C999" s="1">
        <v>155710</v>
      </c>
      <c r="D999" s="4" t="str">
        <f>VLOOKUP('Flow2 '!A999,'ALokasi Pelabuhan '!$A:$C,3,TRUE)</f>
        <v>P19</v>
      </c>
      <c r="E999" s="4" t="str">
        <f>VLOOKUP('Flow2 '!B999,'ALokasi Pelabuhan '!$A:$C,3,TRUE)</f>
        <v>P13</v>
      </c>
    </row>
    <row r="1000" spans="1:5" x14ac:dyDescent="0.25">
      <c r="A1000">
        <f t="shared" si="15"/>
        <v>30</v>
      </c>
      <c r="B1000">
        <v>13</v>
      </c>
      <c r="C1000" s="1">
        <v>135169</v>
      </c>
      <c r="D1000" s="4" t="str">
        <f>VLOOKUP('Flow2 '!A1000,'ALokasi Pelabuhan '!$A:$C,3,TRUE)</f>
        <v>P19</v>
      </c>
      <c r="E1000" s="4" t="str">
        <f>VLOOKUP('Flow2 '!B1000,'ALokasi Pelabuhan '!$A:$C,3,TRUE)</f>
        <v>P12</v>
      </c>
    </row>
    <row r="1001" spans="1:5" x14ac:dyDescent="0.25">
      <c r="A1001">
        <f t="shared" si="15"/>
        <v>30</v>
      </c>
      <c r="B1001">
        <v>14</v>
      </c>
      <c r="C1001" s="1">
        <v>14671</v>
      </c>
      <c r="D1001" s="4" t="str">
        <f>VLOOKUP('Flow2 '!A1001,'ALokasi Pelabuhan '!$A:$C,3,TRUE)</f>
        <v>P19</v>
      </c>
      <c r="E1001" s="4" t="str">
        <f>VLOOKUP('Flow2 '!B1001,'ALokasi Pelabuhan '!$A:$C,3,TRUE)</f>
        <v>P14</v>
      </c>
    </row>
    <row r="1002" spans="1:5" x14ac:dyDescent="0.25">
      <c r="A1002">
        <f t="shared" si="15"/>
        <v>30</v>
      </c>
      <c r="B1002">
        <v>15</v>
      </c>
      <c r="C1002" s="1">
        <v>186004</v>
      </c>
      <c r="D1002" s="4" t="str">
        <f>VLOOKUP('Flow2 '!A1002,'ALokasi Pelabuhan '!$A:$C,3,TRUE)</f>
        <v>P19</v>
      </c>
      <c r="E1002" s="4" t="str">
        <f>VLOOKUP('Flow2 '!B1002,'ALokasi Pelabuhan '!$A:$C,3,TRUE)</f>
        <v>P15</v>
      </c>
    </row>
    <row r="1003" spans="1:5" x14ac:dyDescent="0.25">
      <c r="A1003">
        <f t="shared" si="15"/>
        <v>30</v>
      </c>
      <c r="B1003">
        <v>16</v>
      </c>
      <c r="C1003" s="1">
        <v>29592</v>
      </c>
      <c r="D1003" s="4" t="str">
        <f>VLOOKUP('Flow2 '!A1003,'ALokasi Pelabuhan '!$A:$C,3,TRUE)</f>
        <v>P19</v>
      </c>
      <c r="E1003" s="4" t="str">
        <f>VLOOKUP('Flow2 '!B1003,'ALokasi Pelabuhan '!$A:$C,3,TRUE)</f>
        <v>P6</v>
      </c>
    </row>
    <row r="1004" spans="1:5" x14ac:dyDescent="0.25">
      <c r="A1004">
        <f t="shared" si="15"/>
        <v>30</v>
      </c>
      <c r="B1004">
        <v>17</v>
      </c>
      <c r="C1004" s="1">
        <v>26438</v>
      </c>
      <c r="D1004" s="4" t="str">
        <f>VLOOKUP('Flow2 '!A1004,'ALokasi Pelabuhan '!$A:$C,3,TRUE)</f>
        <v>P19</v>
      </c>
      <c r="E1004" s="4" t="str">
        <f>VLOOKUP('Flow2 '!B1004,'ALokasi Pelabuhan '!$A:$C,3,TRUE)</f>
        <v>P3</v>
      </c>
    </row>
    <row r="1005" spans="1:5" x14ac:dyDescent="0.25">
      <c r="A1005">
        <f t="shared" si="15"/>
        <v>30</v>
      </c>
      <c r="B1005">
        <v>18</v>
      </c>
      <c r="C1005" s="1">
        <v>37693</v>
      </c>
      <c r="D1005" s="4" t="str">
        <f>VLOOKUP('Flow2 '!A1005,'ALokasi Pelabuhan '!$A:$C,3,TRUE)</f>
        <v>P19</v>
      </c>
      <c r="E1005" s="4" t="str">
        <f>VLOOKUP('Flow2 '!B1005,'ALokasi Pelabuhan '!$A:$C,3,TRUE)</f>
        <v>P7</v>
      </c>
    </row>
    <row r="1006" spans="1:5" x14ac:dyDescent="0.25">
      <c r="A1006">
        <f t="shared" si="15"/>
        <v>30</v>
      </c>
      <c r="B1006">
        <v>19</v>
      </c>
      <c r="C1006" s="1">
        <v>49083</v>
      </c>
      <c r="D1006" s="4" t="str">
        <f>VLOOKUP('Flow2 '!A1006,'ALokasi Pelabuhan '!$A:$C,3,TRUE)</f>
        <v>P19</v>
      </c>
      <c r="E1006" s="4" t="str">
        <f>VLOOKUP('Flow2 '!B1006,'ALokasi Pelabuhan '!$A:$C,3,TRUE)</f>
        <v>P22</v>
      </c>
    </row>
    <row r="1007" spans="1:5" x14ac:dyDescent="0.25">
      <c r="A1007">
        <f t="shared" si="15"/>
        <v>30</v>
      </c>
      <c r="B1007">
        <v>20</v>
      </c>
      <c r="C1007" s="1">
        <v>29015</v>
      </c>
      <c r="D1007" s="4" t="str">
        <f>VLOOKUP('Flow2 '!A1007,'ALokasi Pelabuhan '!$A:$C,3,TRUE)</f>
        <v>P19</v>
      </c>
      <c r="E1007" s="4" t="str">
        <f>VLOOKUP('Flow2 '!B1007,'ALokasi Pelabuhan '!$A:$C,3,TRUE)</f>
        <v>P21</v>
      </c>
    </row>
    <row r="1008" spans="1:5" x14ac:dyDescent="0.25">
      <c r="A1008">
        <f t="shared" si="15"/>
        <v>30</v>
      </c>
      <c r="B1008">
        <v>21</v>
      </c>
      <c r="C1008" s="1">
        <v>25162</v>
      </c>
      <c r="D1008" s="4" t="str">
        <f>VLOOKUP('Flow2 '!A1008,'ALokasi Pelabuhan '!$A:$C,3,TRUE)</f>
        <v>P19</v>
      </c>
      <c r="E1008" s="4" t="str">
        <f>VLOOKUP('Flow2 '!B1008,'ALokasi Pelabuhan '!$A:$C,3,TRUE)</f>
        <v>P20</v>
      </c>
    </row>
    <row r="1009" spans="1:5" x14ac:dyDescent="0.25">
      <c r="A1009">
        <f t="shared" si="15"/>
        <v>30</v>
      </c>
      <c r="B1009">
        <v>22</v>
      </c>
      <c r="C1009" s="1">
        <v>46085</v>
      </c>
      <c r="D1009" s="4" t="str">
        <f>VLOOKUP('Flow2 '!A1009,'ALokasi Pelabuhan '!$A:$C,3,TRUE)</f>
        <v>P19</v>
      </c>
      <c r="E1009" s="4" t="str">
        <f>VLOOKUP('Flow2 '!B1009,'ALokasi Pelabuhan '!$A:$C,3,TRUE)</f>
        <v>P20</v>
      </c>
    </row>
    <row r="1010" spans="1:5" x14ac:dyDescent="0.25">
      <c r="A1010">
        <f t="shared" si="15"/>
        <v>30</v>
      </c>
      <c r="B1010">
        <v>23</v>
      </c>
      <c r="C1010" s="1">
        <v>43441</v>
      </c>
      <c r="D1010" s="4" t="str">
        <f>VLOOKUP('Flow2 '!A1010,'ALokasi Pelabuhan '!$A:$C,3,TRUE)</f>
        <v>P19</v>
      </c>
      <c r="E1010" s="4" t="str">
        <f>VLOOKUP('Flow2 '!B1010,'ALokasi Pelabuhan '!$A:$C,3,TRUE)</f>
        <v>P24</v>
      </c>
    </row>
    <row r="1011" spans="1:5" x14ac:dyDescent="0.25">
      <c r="A1011">
        <f t="shared" si="15"/>
        <v>30</v>
      </c>
      <c r="B1011">
        <v>24</v>
      </c>
      <c r="C1011" s="1">
        <v>4373</v>
      </c>
      <c r="D1011" s="4" t="str">
        <f>VLOOKUP('Flow2 '!A1011,'ALokasi Pelabuhan '!$A:$C,3,TRUE)</f>
        <v>P19</v>
      </c>
      <c r="E1011" s="4" t="str">
        <f>VLOOKUP('Flow2 '!B1011,'ALokasi Pelabuhan '!$A:$C,3,TRUE)</f>
        <v>P23</v>
      </c>
    </row>
    <row r="1012" spans="1:5" x14ac:dyDescent="0.25">
      <c r="A1012">
        <f t="shared" si="15"/>
        <v>30</v>
      </c>
      <c r="B1012">
        <v>25</v>
      </c>
      <c r="C1012" s="1">
        <v>23469</v>
      </c>
      <c r="D1012" s="4" t="str">
        <f>VLOOKUP('Flow2 '!A1012,'ALokasi Pelabuhan '!$A:$C,3,TRUE)</f>
        <v>P19</v>
      </c>
      <c r="E1012" s="4" t="str">
        <f>VLOOKUP('Flow2 '!B1012,'ALokasi Pelabuhan '!$A:$C,3,TRUE)</f>
        <v>P2</v>
      </c>
    </row>
    <row r="1013" spans="1:5" x14ac:dyDescent="0.25">
      <c r="A1013">
        <f t="shared" si="15"/>
        <v>30</v>
      </c>
      <c r="B1013">
        <v>26</v>
      </c>
      <c r="C1013" s="1">
        <v>63786</v>
      </c>
      <c r="D1013" s="4" t="str">
        <f>VLOOKUP('Flow2 '!A1013,'ALokasi Pelabuhan '!$A:$C,3,TRUE)</f>
        <v>P19</v>
      </c>
      <c r="E1013" s="4" t="str">
        <f>VLOOKUP('Flow2 '!B1013,'ALokasi Pelabuhan '!$A:$C,3,TRUE)</f>
        <v>P17</v>
      </c>
    </row>
    <row r="1014" spans="1:5" x14ac:dyDescent="0.25">
      <c r="A1014">
        <f t="shared" si="15"/>
        <v>30</v>
      </c>
      <c r="B1014">
        <v>27</v>
      </c>
      <c r="C1014" s="1">
        <v>243094</v>
      </c>
      <c r="D1014" s="4" t="str">
        <f>VLOOKUP('Flow2 '!A1014,'ALokasi Pelabuhan '!$A:$C,3,TRUE)</f>
        <v>P19</v>
      </c>
      <c r="E1014" s="4" t="str">
        <f>VLOOKUP('Flow2 '!B1014,'ALokasi Pelabuhan '!$A:$C,3,TRUE)</f>
        <v>P17</v>
      </c>
    </row>
    <row r="1015" spans="1:5" x14ac:dyDescent="0.25">
      <c r="A1015">
        <f t="shared" si="15"/>
        <v>30</v>
      </c>
      <c r="B1015">
        <v>28</v>
      </c>
      <c r="C1015" s="1">
        <v>42796</v>
      </c>
      <c r="D1015" s="4" t="str">
        <f>VLOOKUP('Flow2 '!A1015,'ALokasi Pelabuhan '!$A:$C,3,TRUE)</f>
        <v>P19</v>
      </c>
      <c r="E1015" s="4" t="str">
        <f>VLOOKUP('Flow2 '!B1015,'ALokasi Pelabuhan '!$A:$C,3,TRUE)</f>
        <v>P16</v>
      </c>
    </row>
    <row r="1016" spans="1:5" x14ac:dyDescent="0.25">
      <c r="A1016">
        <f t="shared" si="15"/>
        <v>30</v>
      </c>
      <c r="B1016">
        <v>29</v>
      </c>
      <c r="C1016" s="1">
        <v>14161</v>
      </c>
      <c r="D1016" s="4" t="str">
        <f>VLOOKUP('Flow2 '!A1016,'ALokasi Pelabuhan '!$A:$C,3,TRUE)</f>
        <v>P19</v>
      </c>
      <c r="E1016" s="4" t="str">
        <f>VLOOKUP('Flow2 '!B1016,'ALokasi Pelabuhan '!$A:$C,3,TRUE)</f>
        <v>P18</v>
      </c>
    </row>
    <row r="1017" spans="1:5" x14ac:dyDescent="0.25">
      <c r="A1017">
        <f t="shared" si="15"/>
        <v>30</v>
      </c>
      <c r="B1017">
        <v>30</v>
      </c>
      <c r="C1017" s="1">
        <v>170506</v>
      </c>
      <c r="D1017" s="4" t="str">
        <f>VLOOKUP('Flow2 '!A1017,'ALokasi Pelabuhan '!$A:$C,3,TRUE)</f>
        <v>P19</v>
      </c>
      <c r="E1017" s="4" t="str">
        <f>VLOOKUP('Flow2 '!B1017,'ALokasi Pelabuhan '!$A:$C,3,TRUE)</f>
        <v>P19</v>
      </c>
    </row>
    <row r="1018" spans="1:5" x14ac:dyDescent="0.25">
      <c r="A1018">
        <f t="shared" si="15"/>
        <v>30</v>
      </c>
      <c r="B1018">
        <v>31</v>
      </c>
      <c r="C1018" s="1">
        <v>19598</v>
      </c>
      <c r="D1018" s="4" t="str">
        <f>VLOOKUP('Flow2 '!A1018,'ALokasi Pelabuhan '!$A:$C,3,TRUE)</f>
        <v>P19</v>
      </c>
      <c r="E1018" s="4" t="str">
        <f>VLOOKUP('Flow2 '!B1018,'ALokasi Pelabuhan '!$A:$C,3,TRUE)</f>
        <v>P4</v>
      </c>
    </row>
    <row r="1019" spans="1:5" x14ac:dyDescent="0.25">
      <c r="A1019">
        <f t="shared" si="15"/>
        <v>30</v>
      </c>
      <c r="B1019">
        <v>32</v>
      </c>
      <c r="C1019" s="1">
        <v>11702</v>
      </c>
      <c r="D1019" s="4" t="str">
        <f>VLOOKUP('Flow2 '!A1019,'ALokasi Pelabuhan '!$A:$C,3,TRUE)</f>
        <v>P19</v>
      </c>
      <c r="E1019" s="4" t="str">
        <f>VLOOKUP('Flow2 '!B1019,'ALokasi Pelabuhan '!$A:$C,3,TRUE)</f>
        <v>P6</v>
      </c>
    </row>
    <row r="1020" spans="1:5" x14ac:dyDescent="0.25">
      <c r="A1020">
        <f t="shared" si="15"/>
        <v>30</v>
      </c>
      <c r="B1020">
        <v>33</v>
      </c>
      <c r="C1020" s="1">
        <v>3055.3510822018889</v>
      </c>
      <c r="D1020" s="4" t="str">
        <f>VLOOKUP('Flow2 '!A1020,'ALokasi Pelabuhan '!$A:$C,3,TRUE)</f>
        <v>P19</v>
      </c>
      <c r="E1020" s="4" t="str">
        <f>VLOOKUP('Flow2 '!B1020,'ALokasi Pelabuhan '!$A:$C,3,TRUE)</f>
        <v>P2</v>
      </c>
    </row>
    <row r="1021" spans="1:5" x14ac:dyDescent="0.25">
      <c r="A1021">
        <f t="shared" si="15"/>
        <v>30</v>
      </c>
      <c r="B1021">
        <v>34</v>
      </c>
      <c r="C1021" s="1">
        <v>10969.648917798115</v>
      </c>
      <c r="D1021" s="4" t="str">
        <f>VLOOKUP('Flow2 '!A1021,'ALokasi Pelabuhan '!$A:$C,3,TRUE)</f>
        <v>P19</v>
      </c>
      <c r="E1021" s="4" t="str">
        <f>VLOOKUP('Flow2 '!B1021,'ALokasi Pelabuhan '!$A:$C,3,TRUE)</f>
        <v>P9</v>
      </c>
    </row>
    <row r="1022" spans="1:5" x14ac:dyDescent="0.25">
      <c r="A1022">
        <f t="shared" si="15"/>
        <v>31</v>
      </c>
      <c r="B1022">
        <v>1</v>
      </c>
      <c r="C1022" s="1">
        <v>25870</v>
      </c>
      <c r="D1022" s="4" t="str">
        <f>VLOOKUP('Flow2 '!A1022,'ALokasi Pelabuhan '!$A:$C,3,TRUE)</f>
        <v>P4</v>
      </c>
      <c r="E1022" s="4" t="str">
        <f>VLOOKUP('Flow2 '!B1022,'ALokasi Pelabuhan '!$A:$C,3,TRUE)</f>
        <v>P1</v>
      </c>
    </row>
    <row r="1023" spans="1:5" x14ac:dyDescent="0.25">
      <c r="A1023">
        <f t="shared" si="15"/>
        <v>31</v>
      </c>
      <c r="B1023">
        <v>2</v>
      </c>
      <c r="C1023" s="1">
        <v>73313</v>
      </c>
      <c r="D1023" s="4" t="str">
        <f>VLOOKUP('Flow2 '!A1023,'ALokasi Pelabuhan '!$A:$C,3,TRUE)</f>
        <v>P4</v>
      </c>
      <c r="E1023" s="4" t="str">
        <f>VLOOKUP('Flow2 '!B1023,'ALokasi Pelabuhan '!$A:$C,3,TRUE)</f>
        <v>P10</v>
      </c>
    </row>
    <row r="1024" spans="1:5" x14ac:dyDescent="0.25">
      <c r="A1024">
        <f t="shared" si="15"/>
        <v>31</v>
      </c>
      <c r="B1024">
        <v>3</v>
      </c>
      <c r="C1024" s="1">
        <v>29755</v>
      </c>
      <c r="D1024" s="4" t="str">
        <f>VLOOKUP('Flow2 '!A1024,'ALokasi Pelabuhan '!$A:$C,3,TRUE)</f>
        <v>P4</v>
      </c>
      <c r="E1024" s="4" t="str">
        <f>VLOOKUP('Flow2 '!B1024,'ALokasi Pelabuhan '!$A:$C,3,TRUE)</f>
        <v>P8</v>
      </c>
    </row>
    <row r="1025" spans="1:5" x14ac:dyDescent="0.25">
      <c r="A1025">
        <f t="shared" si="15"/>
        <v>31</v>
      </c>
      <c r="B1025">
        <v>4</v>
      </c>
      <c r="C1025" s="1">
        <v>37620</v>
      </c>
      <c r="D1025" s="4" t="str">
        <f>VLOOKUP('Flow2 '!A1025,'ALokasi Pelabuhan '!$A:$C,3,TRUE)</f>
        <v>P4</v>
      </c>
      <c r="E1025" s="4" t="str">
        <f>VLOOKUP('Flow2 '!B1025,'ALokasi Pelabuhan '!$A:$C,3,TRUE)</f>
        <v>P4</v>
      </c>
    </row>
    <row r="1026" spans="1:5" x14ac:dyDescent="0.25">
      <c r="A1026">
        <f t="shared" si="15"/>
        <v>31</v>
      </c>
      <c r="B1026">
        <v>5</v>
      </c>
      <c r="C1026" s="1">
        <v>22520</v>
      </c>
      <c r="D1026" s="4" t="str">
        <f>VLOOKUP('Flow2 '!A1026,'ALokasi Pelabuhan '!$A:$C,3,TRUE)</f>
        <v>P4</v>
      </c>
      <c r="E1026" s="4" t="str">
        <f>VLOOKUP('Flow2 '!B1026,'ALokasi Pelabuhan '!$A:$C,3,TRUE)</f>
        <v>P19</v>
      </c>
    </row>
    <row r="1027" spans="1:5" x14ac:dyDescent="0.25">
      <c r="A1027">
        <f t="shared" ref="A1027:A1090" si="16">INT((ROW()-ROW($A$2))/34)+1</f>
        <v>31</v>
      </c>
      <c r="B1027">
        <v>6</v>
      </c>
      <c r="C1027" s="1">
        <v>51885</v>
      </c>
      <c r="D1027" s="4" t="str">
        <f>VLOOKUP('Flow2 '!A1027,'ALokasi Pelabuhan '!$A:$C,3,TRUE)</f>
        <v>P4</v>
      </c>
      <c r="E1027" s="4" t="str">
        <f>VLOOKUP('Flow2 '!B1027,'ALokasi Pelabuhan '!$A:$C,3,TRUE)</f>
        <v>P8</v>
      </c>
    </row>
    <row r="1028" spans="1:5" x14ac:dyDescent="0.25">
      <c r="A1028">
        <f t="shared" si="16"/>
        <v>31</v>
      </c>
      <c r="B1028">
        <v>7</v>
      </c>
      <c r="C1028" s="1">
        <v>11409</v>
      </c>
      <c r="D1028" s="4" t="str">
        <f>VLOOKUP('Flow2 '!A1028,'ALokasi Pelabuhan '!$A:$C,3,TRUE)</f>
        <v>P4</v>
      </c>
      <c r="E1028" s="4" t="str">
        <f>VLOOKUP('Flow2 '!B1028,'ALokasi Pelabuhan '!$A:$C,3,TRUE)</f>
        <v>P5</v>
      </c>
    </row>
    <row r="1029" spans="1:5" x14ac:dyDescent="0.25">
      <c r="A1029">
        <f t="shared" si="16"/>
        <v>31</v>
      </c>
      <c r="B1029">
        <v>8</v>
      </c>
      <c r="C1029" s="1">
        <v>53505</v>
      </c>
      <c r="D1029" s="4" t="str">
        <f>VLOOKUP('Flow2 '!A1029,'ALokasi Pelabuhan '!$A:$C,3,TRUE)</f>
        <v>P4</v>
      </c>
      <c r="E1029" s="4" t="str">
        <f>VLOOKUP('Flow2 '!B1029,'ALokasi Pelabuhan '!$A:$C,3,TRUE)</f>
        <v>P8</v>
      </c>
    </row>
    <row r="1030" spans="1:5" x14ac:dyDescent="0.25">
      <c r="A1030">
        <f t="shared" si="16"/>
        <v>31</v>
      </c>
      <c r="B1030">
        <v>9</v>
      </c>
      <c r="C1030" s="1">
        <v>10802</v>
      </c>
      <c r="D1030" s="4" t="str">
        <f>VLOOKUP('Flow2 '!A1030,'ALokasi Pelabuhan '!$A:$C,3,TRUE)</f>
        <v>P4</v>
      </c>
      <c r="E1030" s="4" t="str">
        <f>VLOOKUP('Flow2 '!B1030,'ALokasi Pelabuhan '!$A:$C,3,TRUE)</f>
        <v>P9</v>
      </c>
    </row>
    <row r="1031" spans="1:5" x14ac:dyDescent="0.25">
      <c r="A1031">
        <f t="shared" si="16"/>
        <v>31</v>
      </c>
      <c r="B1031">
        <v>10</v>
      </c>
      <c r="C1031" s="1">
        <v>12623</v>
      </c>
      <c r="D1031" s="4" t="str">
        <f>VLOOKUP('Flow2 '!A1031,'ALokasi Pelabuhan '!$A:$C,3,TRUE)</f>
        <v>P4</v>
      </c>
      <c r="E1031" s="4" t="str">
        <f>VLOOKUP('Flow2 '!B1031,'ALokasi Pelabuhan '!$A:$C,3,TRUE)</f>
        <v>P10</v>
      </c>
    </row>
    <row r="1032" spans="1:5" x14ac:dyDescent="0.25">
      <c r="A1032">
        <f t="shared" si="16"/>
        <v>31</v>
      </c>
      <c r="B1032">
        <v>11</v>
      </c>
      <c r="C1032" s="1">
        <v>75881</v>
      </c>
      <c r="D1032" s="4" t="str">
        <f>VLOOKUP('Flow2 '!A1032,'ALokasi Pelabuhan '!$A:$C,3,TRUE)</f>
        <v>P4</v>
      </c>
      <c r="E1032" s="4" t="str">
        <f>VLOOKUP('Flow2 '!B1032,'ALokasi Pelabuhan '!$A:$C,3,TRUE)</f>
        <v>P11</v>
      </c>
    </row>
    <row r="1033" spans="1:5" x14ac:dyDescent="0.25">
      <c r="A1033">
        <f t="shared" si="16"/>
        <v>31</v>
      </c>
      <c r="B1033">
        <v>12</v>
      </c>
      <c r="C1033" s="1">
        <v>345658</v>
      </c>
      <c r="D1033" s="4" t="str">
        <f>VLOOKUP('Flow2 '!A1033,'ALokasi Pelabuhan '!$A:$C,3,TRUE)</f>
        <v>P4</v>
      </c>
      <c r="E1033" s="4" t="str">
        <f>VLOOKUP('Flow2 '!B1033,'ALokasi Pelabuhan '!$A:$C,3,TRUE)</f>
        <v>P13</v>
      </c>
    </row>
    <row r="1034" spans="1:5" x14ac:dyDescent="0.25">
      <c r="A1034">
        <f t="shared" si="16"/>
        <v>31</v>
      </c>
      <c r="B1034">
        <v>13</v>
      </c>
      <c r="C1034" s="1">
        <v>279848</v>
      </c>
      <c r="D1034" s="4" t="str">
        <f>VLOOKUP('Flow2 '!A1034,'ALokasi Pelabuhan '!$A:$C,3,TRUE)</f>
        <v>P4</v>
      </c>
      <c r="E1034" s="4" t="str">
        <f>VLOOKUP('Flow2 '!B1034,'ALokasi Pelabuhan '!$A:$C,3,TRUE)</f>
        <v>P12</v>
      </c>
    </row>
    <row r="1035" spans="1:5" x14ac:dyDescent="0.25">
      <c r="A1035">
        <f t="shared" si="16"/>
        <v>31</v>
      </c>
      <c r="B1035">
        <v>14</v>
      </c>
      <c r="C1035" s="1">
        <v>30561</v>
      </c>
      <c r="D1035" s="4" t="str">
        <f>VLOOKUP('Flow2 '!A1035,'ALokasi Pelabuhan '!$A:$C,3,TRUE)</f>
        <v>P4</v>
      </c>
      <c r="E1035" s="4" t="str">
        <f>VLOOKUP('Flow2 '!B1035,'ALokasi Pelabuhan '!$A:$C,3,TRUE)</f>
        <v>P14</v>
      </c>
    </row>
    <row r="1036" spans="1:5" x14ac:dyDescent="0.25">
      <c r="A1036">
        <f t="shared" si="16"/>
        <v>31</v>
      </c>
      <c r="B1036">
        <v>15</v>
      </c>
      <c r="C1036" s="1">
        <v>375608</v>
      </c>
      <c r="D1036" s="4" t="str">
        <f>VLOOKUP('Flow2 '!A1036,'ALokasi Pelabuhan '!$A:$C,3,TRUE)</f>
        <v>P4</v>
      </c>
      <c r="E1036" s="4" t="str">
        <f>VLOOKUP('Flow2 '!B1036,'ALokasi Pelabuhan '!$A:$C,3,TRUE)</f>
        <v>P15</v>
      </c>
    </row>
    <row r="1037" spans="1:5" x14ac:dyDescent="0.25">
      <c r="A1037">
        <f t="shared" si="16"/>
        <v>31</v>
      </c>
      <c r="B1037">
        <v>16</v>
      </c>
      <c r="C1037" s="1">
        <v>86603</v>
      </c>
      <c r="D1037" s="4" t="str">
        <f>VLOOKUP('Flow2 '!A1037,'ALokasi Pelabuhan '!$A:$C,3,TRUE)</f>
        <v>P4</v>
      </c>
      <c r="E1037" s="4" t="str">
        <f>VLOOKUP('Flow2 '!B1037,'ALokasi Pelabuhan '!$A:$C,3,TRUE)</f>
        <v>P6</v>
      </c>
    </row>
    <row r="1038" spans="1:5" x14ac:dyDescent="0.25">
      <c r="A1038">
        <f t="shared" si="16"/>
        <v>31</v>
      </c>
      <c r="B1038">
        <v>17</v>
      </c>
      <c r="C1038" s="1">
        <v>45521</v>
      </c>
      <c r="D1038" s="4" t="str">
        <f>VLOOKUP('Flow2 '!A1038,'ALokasi Pelabuhan '!$A:$C,3,TRUE)</f>
        <v>P4</v>
      </c>
      <c r="E1038" s="4" t="str">
        <f>VLOOKUP('Flow2 '!B1038,'ALokasi Pelabuhan '!$A:$C,3,TRUE)</f>
        <v>P3</v>
      </c>
    </row>
    <row r="1039" spans="1:5" x14ac:dyDescent="0.25">
      <c r="A1039">
        <f t="shared" si="16"/>
        <v>31</v>
      </c>
      <c r="B1039">
        <v>18</v>
      </c>
      <c r="C1039" s="1">
        <v>60427</v>
      </c>
      <c r="D1039" s="4" t="str">
        <f>VLOOKUP('Flow2 '!A1039,'ALokasi Pelabuhan '!$A:$C,3,TRUE)</f>
        <v>P4</v>
      </c>
      <c r="E1039" s="4" t="str">
        <f>VLOOKUP('Flow2 '!B1039,'ALokasi Pelabuhan '!$A:$C,3,TRUE)</f>
        <v>P7</v>
      </c>
    </row>
    <row r="1040" spans="1:5" x14ac:dyDescent="0.25">
      <c r="A1040">
        <f t="shared" si="16"/>
        <v>31</v>
      </c>
      <c r="B1040">
        <v>19</v>
      </c>
      <c r="C1040" s="1">
        <v>109807</v>
      </c>
      <c r="D1040" s="4" t="str">
        <f>VLOOKUP('Flow2 '!A1040,'ALokasi Pelabuhan '!$A:$C,3,TRUE)</f>
        <v>P4</v>
      </c>
      <c r="E1040" s="4" t="str">
        <f>VLOOKUP('Flow2 '!B1040,'ALokasi Pelabuhan '!$A:$C,3,TRUE)</f>
        <v>P22</v>
      </c>
    </row>
    <row r="1041" spans="1:5" x14ac:dyDescent="0.25">
      <c r="A1041">
        <f t="shared" si="16"/>
        <v>31</v>
      </c>
      <c r="B1041">
        <v>20</v>
      </c>
      <c r="C1041" s="1">
        <v>40883</v>
      </c>
      <c r="D1041" s="4" t="str">
        <f>VLOOKUP('Flow2 '!A1041,'ALokasi Pelabuhan '!$A:$C,3,TRUE)</f>
        <v>P4</v>
      </c>
      <c r="E1041" s="4" t="str">
        <f>VLOOKUP('Flow2 '!B1041,'ALokasi Pelabuhan '!$A:$C,3,TRUE)</f>
        <v>P21</v>
      </c>
    </row>
    <row r="1042" spans="1:5" x14ac:dyDescent="0.25">
      <c r="A1042">
        <f t="shared" si="16"/>
        <v>31</v>
      </c>
      <c r="B1042">
        <v>21</v>
      </c>
      <c r="C1042" s="1">
        <v>26469</v>
      </c>
      <c r="D1042" s="4" t="str">
        <f>VLOOKUP('Flow2 '!A1042,'ALokasi Pelabuhan '!$A:$C,3,TRUE)</f>
        <v>P4</v>
      </c>
      <c r="E1042" s="4" t="str">
        <f>VLOOKUP('Flow2 '!B1042,'ALokasi Pelabuhan '!$A:$C,3,TRUE)</f>
        <v>P20</v>
      </c>
    </row>
    <row r="1043" spans="1:5" x14ac:dyDescent="0.25">
      <c r="A1043">
        <f t="shared" si="16"/>
        <v>31</v>
      </c>
      <c r="B1043">
        <v>22</v>
      </c>
      <c r="C1043" s="1">
        <v>45579</v>
      </c>
      <c r="D1043" s="4" t="str">
        <f>VLOOKUP('Flow2 '!A1043,'ALokasi Pelabuhan '!$A:$C,3,TRUE)</f>
        <v>P4</v>
      </c>
      <c r="E1043" s="4" t="str">
        <f>VLOOKUP('Flow2 '!B1043,'ALokasi Pelabuhan '!$A:$C,3,TRUE)</f>
        <v>P20</v>
      </c>
    </row>
    <row r="1044" spans="1:5" x14ac:dyDescent="0.25">
      <c r="A1044">
        <f t="shared" si="16"/>
        <v>31</v>
      </c>
      <c r="B1044">
        <v>23</v>
      </c>
      <c r="C1044" s="1">
        <v>37126</v>
      </c>
      <c r="D1044" s="4" t="str">
        <f>VLOOKUP('Flow2 '!A1044,'ALokasi Pelabuhan '!$A:$C,3,TRUE)</f>
        <v>P4</v>
      </c>
      <c r="E1044" s="4" t="str">
        <f>VLOOKUP('Flow2 '!B1044,'ALokasi Pelabuhan '!$A:$C,3,TRUE)</f>
        <v>P24</v>
      </c>
    </row>
    <row r="1045" spans="1:5" x14ac:dyDescent="0.25">
      <c r="A1045">
        <f t="shared" si="16"/>
        <v>31</v>
      </c>
      <c r="B1045">
        <v>24</v>
      </c>
      <c r="C1045" s="1">
        <v>4842</v>
      </c>
      <c r="D1045" s="4" t="str">
        <f>VLOOKUP('Flow2 '!A1045,'ALokasi Pelabuhan '!$A:$C,3,TRUE)</f>
        <v>P4</v>
      </c>
      <c r="E1045" s="4" t="str">
        <f>VLOOKUP('Flow2 '!B1045,'ALokasi Pelabuhan '!$A:$C,3,TRUE)</f>
        <v>P23</v>
      </c>
    </row>
    <row r="1046" spans="1:5" x14ac:dyDescent="0.25">
      <c r="A1046">
        <f t="shared" si="16"/>
        <v>31</v>
      </c>
      <c r="B1046">
        <v>25</v>
      </c>
      <c r="C1046" s="1">
        <v>54374</v>
      </c>
      <c r="D1046" s="4" t="str">
        <f>VLOOKUP('Flow2 '!A1046,'ALokasi Pelabuhan '!$A:$C,3,TRUE)</f>
        <v>P4</v>
      </c>
      <c r="E1046" s="4" t="str">
        <f>VLOOKUP('Flow2 '!B1046,'ALokasi Pelabuhan '!$A:$C,3,TRUE)</f>
        <v>P2</v>
      </c>
    </row>
    <row r="1047" spans="1:5" x14ac:dyDescent="0.25">
      <c r="A1047">
        <f t="shared" si="16"/>
        <v>31</v>
      </c>
      <c r="B1047">
        <v>26</v>
      </c>
      <c r="C1047" s="1">
        <v>52522</v>
      </c>
      <c r="D1047" s="4" t="str">
        <f>VLOOKUP('Flow2 '!A1047,'ALokasi Pelabuhan '!$A:$C,3,TRUE)</f>
        <v>P4</v>
      </c>
      <c r="E1047" s="4" t="str">
        <f>VLOOKUP('Flow2 '!B1047,'ALokasi Pelabuhan '!$A:$C,3,TRUE)</f>
        <v>P17</v>
      </c>
    </row>
    <row r="1048" spans="1:5" x14ac:dyDescent="0.25">
      <c r="A1048">
        <f t="shared" si="16"/>
        <v>31</v>
      </c>
      <c r="B1048">
        <v>27</v>
      </c>
      <c r="C1048" s="1">
        <v>137677</v>
      </c>
      <c r="D1048" s="4" t="str">
        <f>VLOOKUP('Flow2 '!A1048,'ALokasi Pelabuhan '!$A:$C,3,TRUE)</f>
        <v>P4</v>
      </c>
      <c r="E1048" s="4" t="str">
        <f>VLOOKUP('Flow2 '!B1048,'ALokasi Pelabuhan '!$A:$C,3,TRUE)</f>
        <v>P17</v>
      </c>
    </row>
    <row r="1049" spans="1:5" x14ac:dyDescent="0.25">
      <c r="A1049">
        <f t="shared" si="16"/>
        <v>31</v>
      </c>
      <c r="B1049">
        <v>28</v>
      </c>
      <c r="C1049" s="1">
        <v>59678</v>
      </c>
      <c r="D1049" s="4" t="str">
        <f>VLOOKUP('Flow2 '!A1049,'ALokasi Pelabuhan '!$A:$C,3,TRUE)</f>
        <v>P4</v>
      </c>
      <c r="E1049" s="4" t="str">
        <f>VLOOKUP('Flow2 '!B1049,'ALokasi Pelabuhan '!$A:$C,3,TRUE)</f>
        <v>P16</v>
      </c>
    </row>
    <row r="1050" spans="1:5" x14ac:dyDescent="0.25">
      <c r="A1050">
        <f t="shared" si="16"/>
        <v>31</v>
      </c>
      <c r="B1050">
        <v>29</v>
      </c>
      <c r="C1050" s="1">
        <v>19945</v>
      </c>
      <c r="D1050" s="4" t="str">
        <f>VLOOKUP('Flow2 '!A1050,'ALokasi Pelabuhan '!$A:$C,3,TRUE)</f>
        <v>P4</v>
      </c>
      <c r="E1050" s="4" t="str">
        <f>VLOOKUP('Flow2 '!B1050,'ALokasi Pelabuhan '!$A:$C,3,TRUE)</f>
        <v>P18</v>
      </c>
    </row>
    <row r="1051" spans="1:5" x14ac:dyDescent="0.25">
      <c r="A1051">
        <f t="shared" si="16"/>
        <v>31</v>
      </c>
      <c r="B1051">
        <v>30</v>
      </c>
      <c r="C1051" s="1">
        <v>24392</v>
      </c>
      <c r="D1051" s="4" t="str">
        <f>VLOOKUP('Flow2 '!A1051,'ALokasi Pelabuhan '!$A:$C,3,TRUE)</f>
        <v>P4</v>
      </c>
      <c r="E1051" s="4" t="str">
        <f>VLOOKUP('Flow2 '!B1051,'ALokasi Pelabuhan '!$A:$C,3,TRUE)</f>
        <v>P19</v>
      </c>
    </row>
    <row r="1052" spans="1:5" x14ac:dyDescent="0.25">
      <c r="A1052">
        <f t="shared" si="16"/>
        <v>31</v>
      </c>
      <c r="B1052">
        <v>31</v>
      </c>
      <c r="C1052" s="1">
        <v>180424</v>
      </c>
      <c r="D1052" s="4" t="str">
        <f>VLOOKUP('Flow2 '!A1052,'ALokasi Pelabuhan '!$A:$C,3,TRUE)</f>
        <v>P4</v>
      </c>
      <c r="E1052" s="4" t="str">
        <f>VLOOKUP('Flow2 '!B1052,'ALokasi Pelabuhan '!$A:$C,3,TRUE)</f>
        <v>P4</v>
      </c>
    </row>
    <row r="1053" spans="1:5" x14ac:dyDescent="0.25">
      <c r="A1053">
        <f t="shared" si="16"/>
        <v>31</v>
      </c>
      <c r="B1053">
        <v>32</v>
      </c>
      <c r="C1053" s="1">
        <v>41816</v>
      </c>
      <c r="D1053" s="4" t="str">
        <f>VLOOKUP('Flow2 '!A1053,'ALokasi Pelabuhan '!$A:$C,3,TRUE)</f>
        <v>P4</v>
      </c>
      <c r="E1053" s="4" t="str">
        <f>VLOOKUP('Flow2 '!B1053,'ALokasi Pelabuhan '!$A:$C,3,TRUE)</f>
        <v>P6</v>
      </c>
    </row>
    <row r="1054" spans="1:5" x14ac:dyDescent="0.25">
      <c r="A1054">
        <f t="shared" si="16"/>
        <v>31</v>
      </c>
      <c r="B1054">
        <v>33</v>
      </c>
      <c r="C1054" s="1">
        <v>9431.1771159133095</v>
      </c>
      <c r="D1054" s="4" t="str">
        <f>VLOOKUP('Flow2 '!A1054,'ALokasi Pelabuhan '!$A:$C,3,TRUE)</f>
        <v>P4</v>
      </c>
      <c r="E1054" s="4" t="str">
        <f>VLOOKUP('Flow2 '!B1054,'ALokasi Pelabuhan '!$A:$C,3,TRUE)</f>
        <v>P2</v>
      </c>
    </row>
    <row r="1055" spans="1:5" x14ac:dyDescent="0.25">
      <c r="A1055">
        <f t="shared" si="16"/>
        <v>31</v>
      </c>
      <c r="B1055">
        <v>34</v>
      </c>
      <c r="C1055" s="1">
        <v>33860.822884086701</v>
      </c>
      <c r="D1055" s="4" t="str">
        <f>VLOOKUP('Flow2 '!A1055,'ALokasi Pelabuhan '!$A:$C,3,TRUE)</f>
        <v>P4</v>
      </c>
      <c r="E1055" s="4" t="str">
        <f>VLOOKUP('Flow2 '!B1055,'ALokasi Pelabuhan '!$A:$C,3,TRUE)</f>
        <v>P9</v>
      </c>
    </row>
    <row r="1056" spans="1:5" x14ac:dyDescent="0.25">
      <c r="A1056">
        <f t="shared" si="16"/>
        <v>32</v>
      </c>
      <c r="B1056">
        <v>1</v>
      </c>
      <c r="C1056" s="1">
        <v>9185</v>
      </c>
      <c r="D1056" s="4" t="str">
        <f>VLOOKUP('Flow2 '!A1056,'ALokasi Pelabuhan '!$A:$C,3,TRUE)</f>
        <v>P6</v>
      </c>
      <c r="E1056" s="4" t="str">
        <f>VLOOKUP('Flow2 '!B1056,'ALokasi Pelabuhan '!$A:$C,3,TRUE)</f>
        <v>P1</v>
      </c>
    </row>
    <row r="1057" spans="1:5" x14ac:dyDescent="0.25">
      <c r="A1057">
        <f t="shared" si="16"/>
        <v>32</v>
      </c>
      <c r="B1057">
        <v>2</v>
      </c>
      <c r="C1057" s="1">
        <v>24232</v>
      </c>
      <c r="D1057" s="4" t="str">
        <f>VLOOKUP('Flow2 '!A1057,'ALokasi Pelabuhan '!$A:$C,3,TRUE)</f>
        <v>P6</v>
      </c>
      <c r="E1057" s="4" t="str">
        <f>VLOOKUP('Flow2 '!B1057,'ALokasi Pelabuhan '!$A:$C,3,TRUE)</f>
        <v>P10</v>
      </c>
    </row>
    <row r="1058" spans="1:5" x14ac:dyDescent="0.25">
      <c r="A1058">
        <f t="shared" si="16"/>
        <v>32</v>
      </c>
      <c r="B1058">
        <v>3</v>
      </c>
      <c r="C1058" s="1">
        <v>9823</v>
      </c>
      <c r="D1058" s="4" t="str">
        <f>VLOOKUP('Flow2 '!A1058,'ALokasi Pelabuhan '!$A:$C,3,TRUE)</f>
        <v>P6</v>
      </c>
      <c r="E1058" s="4" t="str">
        <f>VLOOKUP('Flow2 '!B1058,'ALokasi Pelabuhan '!$A:$C,3,TRUE)</f>
        <v>P8</v>
      </c>
    </row>
    <row r="1059" spans="1:5" x14ac:dyDescent="0.25">
      <c r="A1059">
        <f t="shared" si="16"/>
        <v>32</v>
      </c>
      <c r="B1059">
        <v>4</v>
      </c>
      <c r="C1059" s="1">
        <v>12764</v>
      </c>
      <c r="D1059" s="4" t="str">
        <f>VLOOKUP('Flow2 '!A1059,'ALokasi Pelabuhan '!$A:$C,3,TRUE)</f>
        <v>P6</v>
      </c>
      <c r="E1059" s="4" t="str">
        <f>VLOOKUP('Flow2 '!B1059,'ALokasi Pelabuhan '!$A:$C,3,TRUE)</f>
        <v>P4</v>
      </c>
    </row>
    <row r="1060" spans="1:5" x14ac:dyDescent="0.25">
      <c r="A1060">
        <f t="shared" si="16"/>
        <v>32</v>
      </c>
      <c r="B1060">
        <v>5</v>
      </c>
      <c r="C1060" s="1">
        <v>7975</v>
      </c>
      <c r="D1060" s="4" t="str">
        <f>VLOOKUP('Flow2 '!A1060,'ALokasi Pelabuhan '!$A:$C,3,TRUE)</f>
        <v>P6</v>
      </c>
      <c r="E1060" s="4" t="str">
        <f>VLOOKUP('Flow2 '!B1060,'ALokasi Pelabuhan '!$A:$C,3,TRUE)</f>
        <v>P19</v>
      </c>
    </row>
    <row r="1061" spans="1:5" x14ac:dyDescent="0.25">
      <c r="A1061">
        <f t="shared" si="16"/>
        <v>32</v>
      </c>
      <c r="B1061">
        <v>6</v>
      </c>
      <c r="C1061" s="1">
        <v>16832</v>
      </c>
      <c r="D1061" s="4" t="str">
        <f>VLOOKUP('Flow2 '!A1061,'ALokasi Pelabuhan '!$A:$C,3,TRUE)</f>
        <v>P6</v>
      </c>
      <c r="E1061" s="4" t="str">
        <f>VLOOKUP('Flow2 '!B1061,'ALokasi Pelabuhan '!$A:$C,3,TRUE)</f>
        <v>P8</v>
      </c>
    </row>
    <row r="1062" spans="1:5" x14ac:dyDescent="0.25">
      <c r="A1062">
        <f t="shared" si="16"/>
        <v>32</v>
      </c>
      <c r="B1062">
        <v>7</v>
      </c>
      <c r="C1062" s="1">
        <v>3745</v>
      </c>
      <c r="D1062" s="4" t="str">
        <f>VLOOKUP('Flow2 '!A1062,'ALokasi Pelabuhan '!$A:$C,3,TRUE)</f>
        <v>P6</v>
      </c>
      <c r="E1062" s="4" t="str">
        <f>VLOOKUP('Flow2 '!B1062,'ALokasi Pelabuhan '!$A:$C,3,TRUE)</f>
        <v>P5</v>
      </c>
    </row>
    <row r="1063" spans="1:5" x14ac:dyDescent="0.25">
      <c r="A1063">
        <f t="shared" si="16"/>
        <v>32</v>
      </c>
      <c r="B1063">
        <v>8</v>
      </c>
      <c r="C1063" s="1">
        <v>16810</v>
      </c>
      <c r="D1063" s="4" t="str">
        <f>VLOOKUP('Flow2 '!A1063,'ALokasi Pelabuhan '!$A:$C,3,TRUE)</f>
        <v>P6</v>
      </c>
      <c r="E1063" s="4" t="str">
        <f>VLOOKUP('Flow2 '!B1063,'ALokasi Pelabuhan '!$A:$C,3,TRUE)</f>
        <v>P8</v>
      </c>
    </row>
    <row r="1064" spans="1:5" x14ac:dyDescent="0.25">
      <c r="A1064">
        <f t="shared" si="16"/>
        <v>32</v>
      </c>
      <c r="B1064">
        <v>9</v>
      </c>
      <c r="C1064" s="1">
        <v>4033</v>
      </c>
      <c r="D1064" s="4" t="str">
        <f>VLOOKUP('Flow2 '!A1064,'ALokasi Pelabuhan '!$A:$C,3,TRUE)</f>
        <v>P6</v>
      </c>
      <c r="E1064" s="4" t="str">
        <f>VLOOKUP('Flow2 '!B1064,'ALokasi Pelabuhan '!$A:$C,3,TRUE)</f>
        <v>P9</v>
      </c>
    </row>
    <row r="1065" spans="1:5" x14ac:dyDescent="0.25">
      <c r="A1065">
        <f t="shared" si="16"/>
        <v>32</v>
      </c>
      <c r="B1065">
        <v>10</v>
      </c>
      <c r="C1065" s="1">
        <v>4331</v>
      </c>
      <c r="D1065" s="4" t="str">
        <f>VLOOKUP('Flow2 '!A1065,'ALokasi Pelabuhan '!$A:$C,3,TRUE)</f>
        <v>P6</v>
      </c>
      <c r="E1065" s="4" t="str">
        <f>VLOOKUP('Flow2 '!B1065,'ALokasi Pelabuhan '!$A:$C,3,TRUE)</f>
        <v>P10</v>
      </c>
    </row>
    <row r="1066" spans="1:5" x14ac:dyDescent="0.25">
      <c r="A1066">
        <f t="shared" si="16"/>
        <v>32</v>
      </c>
      <c r="B1066">
        <v>11</v>
      </c>
      <c r="C1066" s="1">
        <v>24841</v>
      </c>
      <c r="D1066" s="4" t="str">
        <f>VLOOKUP('Flow2 '!A1066,'ALokasi Pelabuhan '!$A:$C,3,TRUE)</f>
        <v>P6</v>
      </c>
      <c r="E1066" s="4" t="str">
        <f>VLOOKUP('Flow2 '!B1066,'ALokasi Pelabuhan '!$A:$C,3,TRUE)</f>
        <v>P11</v>
      </c>
    </row>
    <row r="1067" spans="1:5" x14ac:dyDescent="0.25">
      <c r="A1067">
        <f t="shared" si="16"/>
        <v>32</v>
      </c>
      <c r="B1067">
        <v>12</v>
      </c>
      <c r="C1067" s="1">
        <v>110501</v>
      </c>
      <c r="D1067" s="4" t="str">
        <f>VLOOKUP('Flow2 '!A1067,'ALokasi Pelabuhan '!$A:$C,3,TRUE)</f>
        <v>P6</v>
      </c>
      <c r="E1067" s="4" t="str">
        <f>VLOOKUP('Flow2 '!B1067,'ALokasi Pelabuhan '!$A:$C,3,TRUE)</f>
        <v>P13</v>
      </c>
    </row>
    <row r="1068" spans="1:5" x14ac:dyDescent="0.25">
      <c r="A1068">
        <f t="shared" si="16"/>
        <v>32</v>
      </c>
      <c r="B1068">
        <v>13</v>
      </c>
      <c r="C1068" s="1">
        <v>87533</v>
      </c>
      <c r="D1068" s="4" t="str">
        <f>VLOOKUP('Flow2 '!A1068,'ALokasi Pelabuhan '!$A:$C,3,TRUE)</f>
        <v>P6</v>
      </c>
      <c r="E1068" s="4" t="str">
        <f>VLOOKUP('Flow2 '!B1068,'ALokasi Pelabuhan '!$A:$C,3,TRUE)</f>
        <v>P12</v>
      </c>
    </row>
    <row r="1069" spans="1:5" x14ac:dyDescent="0.25">
      <c r="A1069">
        <f t="shared" si="16"/>
        <v>32</v>
      </c>
      <c r="B1069">
        <v>14</v>
      </c>
      <c r="C1069" s="1">
        <v>9467</v>
      </c>
      <c r="D1069" s="4" t="str">
        <f>VLOOKUP('Flow2 '!A1069,'ALokasi Pelabuhan '!$A:$C,3,TRUE)</f>
        <v>P6</v>
      </c>
      <c r="E1069" s="4" t="str">
        <f>VLOOKUP('Flow2 '!B1069,'ALokasi Pelabuhan '!$A:$C,3,TRUE)</f>
        <v>P14</v>
      </c>
    </row>
    <row r="1070" spans="1:5" x14ac:dyDescent="0.25">
      <c r="A1070">
        <f t="shared" si="16"/>
        <v>32</v>
      </c>
      <c r="B1070">
        <v>15</v>
      </c>
      <c r="C1070" s="1">
        <v>117864</v>
      </c>
      <c r="D1070" s="4" t="str">
        <f>VLOOKUP('Flow2 '!A1070,'ALokasi Pelabuhan '!$A:$C,3,TRUE)</f>
        <v>P6</v>
      </c>
      <c r="E1070" s="4" t="str">
        <f>VLOOKUP('Flow2 '!B1070,'ALokasi Pelabuhan '!$A:$C,3,TRUE)</f>
        <v>P15</v>
      </c>
    </row>
    <row r="1071" spans="1:5" x14ac:dyDescent="0.25">
      <c r="A1071">
        <f t="shared" si="16"/>
        <v>32</v>
      </c>
      <c r="B1071">
        <v>16</v>
      </c>
      <c r="C1071" s="1">
        <v>28543</v>
      </c>
      <c r="D1071" s="4" t="str">
        <f>VLOOKUP('Flow2 '!A1071,'ALokasi Pelabuhan '!$A:$C,3,TRUE)</f>
        <v>P6</v>
      </c>
      <c r="E1071" s="4" t="str">
        <f>VLOOKUP('Flow2 '!B1071,'ALokasi Pelabuhan '!$A:$C,3,TRUE)</f>
        <v>P6</v>
      </c>
    </row>
    <row r="1072" spans="1:5" x14ac:dyDescent="0.25">
      <c r="A1072">
        <f t="shared" si="16"/>
        <v>32</v>
      </c>
      <c r="B1072">
        <v>17</v>
      </c>
      <c r="C1072" s="1">
        <v>13772</v>
      </c>
      <c r="D1072" s="4" t="str">
        <f>VLOOKUP('Flow2 '!A1072,'ALokasi Pelabuhan '!$A:$C,3,TRUE)</f>
        <v>P6</v>
      </c>
      <c r="E1072" s="4" t="str">
        <f>VLOOKUP('Flow2 '!B1072,'ALokasi Pelabuhan '!$A:$C,3,TRUE)</f>
        <v>P3</v>
      </c>
    </row>
    <row r="1073" spans="1:5" x14ac:dyDescent="0.25">
      <c r="A1073">
        <f t="shared" si="16"/>
        <v>32</v>
      </c>
      <c r="B1073">
        <v>18</v>
      </c>
      <c r="C1073" s="1">
        <v>18116</v>
      </c>
      <c r="D1073" s="4" t="str">
        <f>VLOOKUP('Flow2 '!A1073,'ALokasi Pelabuhan '!$A:$C,3,TRUE)</f>
        <v>P6</v>
      </c>
      <c r="E1073" s="4" t="str">
        <f>VLOOKUP('Flow2 '!B1073,'ALokasi Pelabuhan '!$A:$C,3,TRUE)</f>
        <v>P7</v>
      </c>
    </row>
    <row r="1074" spans="1:5" x14ac:dyDescent="0.25">
      <c r="A1074">
        <f t="shared" si="16"/>
        <v>32</v>
      </c>
      <c r="B1074">
        <v>19</v>
      </c>
      <c r="C1074" s="1">
        <v>26963</v>
      </c>
      <c r="D1074" s="4" t="str">
        <f>VLOOKUP('Flow2 '!A1074,'ALokasi Pelabuhan '!$A:$C,3,TRUE)</f>
        <v>P6</v>
      </c>
      <c r="E1074" s="4" t="str">
        <f>VLOOKUP('Flow2 '!B1074,'ALokasi Pelabuhan '!$A:$C,3,TRUE)</f>
        <v>P22</v>
      </c>
    </row>
    <row r="1075" spans="1:5" x14ac:dyDescent="0.25">
      <c r="A1075">
        <f t="shared" si="16"/>
        <v>32</v>
      </c>
      <c r="B1075">
        <v>20</v>
      </c>
      <c r="C1075" s="1">
        <v>14669</v>
      </c>
      <c r="D1075" s="4" t="str">
        <f>VLOOKUP('Flow2 '!A1075,'ALokasi Pelabuhan '!$A:$C,3,TRUE)</f>
        <v>P6</v>
      </c>
      <c r="E1075" s="4" t="str">
        <f>VLOOKUP('Flow2 '!B1075,'ALokasi Pelabuhan '!$A:$C,3,TRUE)</f>
        <v>P21</v>
      </c>
    </row>
    <row r="1076" spans="1:5" x14ac:dyDescent="0.25">
      <c r="A1076">
        <f t="shared" si="16"/>
        <v>32</v>
      </c>
      <c r="B1076">
        <v>21</v>
      </c>
      <c r="C1076" s="1">
        <v>9857</v>
      </c>
      <c r="D1076" s="4" t="str">
        <f>VLOOKUP('Flow2 '!A1076,'ALokasi Pelabuhan '!$A:$C,3,TRUE)</f>
        <v>P6</v>
      </c>
      <c r="E1076" s="4" t="str">
        <f>VLOOKUP('Flow2 '!B1076,'ALokasi Pelabuhan '!$A:$C,3,TRUE)</f>
        <v>P20</v>
      </c>
    </row>
    <row r="1077" spans="1:5" x14ac:dyDescent="0.25">
      <c r="A1077">
        <f t="shared" si="16"/>
        <v>32</v>
      </c>
      <c r="B1077">
        <v>22</v>
      </c>
      <c r="C1077" s="1">
        <v>16009</v>
      </c>
      <c r="D1077" s="4" t="str">
        <f>VLOOKUP('Flow2 '!A1077,'ALokasi Pelabuhan '!$A:$C,3,TRUE)</f>
        <v>P6</v>
      </c>
      <c r="E1077" s="4" t="str">
        <f>VLOOKUP('Flow2 '!B1077,'ALokasi Pelabuhan '!$A:$C,3,TRUE)</f>
        <v>P20</v>
      </c>
    </row>
    <row r="1078" spans="1:5" x14ac:dyDescent="0.25">
      <c r="A1078">
        <f t="shared" si="16"/>
        <v>32</v>
      </c>
      <c r="B1078">
        <v>23</v>
      </c>
      <c r="C1078" s="1">
        <v>14878</v>
      </c>
      <c r="D1078" s="4" t="str">
        <f>VLOOKUP('Flow2 '!A1078,'ALokasi Pelabuhan '!$A:$C,3,TRUE)</f>
        <v>P6</v>
      </c>
      <c r="E1078" s="4" t="str">
        <f>VLOOKUP('Flow2 '!B1078,'ALokasi Pelabuhan '!$A:$C,3,TRUE)</f>
        <v>P24</v>
      </c>
    </row>
    <row r="1079" spans="1:5" x14ac:dyDescent="0.25">
      <c r="A1079">
        <f t="shared" si="16"/>
        <v>32</v>
      </c>
      <c r="B1079">
        <v>24</v>
      </c>
      <c r="C1079" s="1">
        <v>2093</v>
      </c>
      <c r="D1079" s="4" t="str">
        <f>VLOOKUP('Flow2 '!A1079,'ALokasi Pelabuhan '!$A:$C,3,TRUE)</f>
        <v>P6</v>
      </c>
      <c r="E1079" s="4" t="str">
        <f>VLOOKUP('Flow2 '!B1079,'ALokasi Pelabuhan '!$A:$C,3,TRUE)</f>
        <v>P23</v>
      </c>
    </row>
    <row r="1080" spans="1:5" x14ac:dyDescent="0.25">
      <c r="A1080">
        <f t="shared" si="16"/>
        <v>32</v>
      </c>
      <c r="B1080">
        <v>25</v>
      </c>
      <c r="C1080" s="1">
        <v>37630</v>
      </c>
      <c r="D1080" s="4" t="str">
        <f>VLOOKUP('Flow2 '!A1080,'ALokasi Pelabuhan '!$A:$C,3,TRUE)</f>
        <v>P6</v>
      </c>
      <c r="E1080" s="4" t="str">
        <f>VLOOKUP('Flow2 '!B1080,'ALokasi Pelabuhan '!$A:$C,3,TRUE)</f>
        <v>P2</v>
      </c>
    </row>
    <row r="1081" spans="1:5" x14ac:dyDescent="0.25">
      <c r="A1081">
        <f t="shared" si="16"/>
        <v>32</v>
      </c>
      <c r="B1081">
        <v>26</v>
      </c>
      <c r="C1081" s="1">
        <v>23418</v>
      </c>
      <c r="D1081" s="4" t="str">
        <f>VLOOKUP('Flow2 '!A1081,'ALokasi Pelabuhan '!$A:$C,3,TRUE)</f>
        <v>P6</v>
      </c>
      <c r="E1081" s="4" t="str">
        <f>VLOOKUP('Flow2 '!B1081,'ALokasi Pelabuhan '!$A:$C,3,TRUE)</f>
        <v>P17</v>
      </c>
    </row>
    <row r="1082" spans="1:5" x14ac:dyDescent="0.25">
      <c r="A1082">
        <f t="shared" si="16"/>
        <v>32</v>
      </c>
      <c r="B1082">
        <v>27</v>
      </c>
      <c r="C1082" s="1">
        <v>47528</v>
      </c>
      <c r="D1082" s="4" t="str">
        <f>VLOOKUP('Flow2 '!A1082,'ALokasi Pelabuhan '!$A:$C,3,TRUE)</f>
        <v>P6</v>
      </c>
      <c r="E1082" s="4" t="str">
        <f>VLOOKUP('Flow2 '!B1082,'ALokasi Pelabuhan '!$A:$C,3,TRUE)</f>
        <v>P17</v>
      </c>
    </row>
    <row r="1083" spans="1:5" x14ac:dyDescent="0.25">
      <c r="A1083">
        <f t="shared" si="16"/>
        <v>32</v>
      </c>
      <c r="B1083">
        <v>28</v>
      </c>
      <c r="C1083" s="1">
        <v>20004</v>
      </c>
      <c r="D1083" s="4" t="str">
        <f>VLOOKUP('Flow2 '!A1083,'ALokasi Pelabuhan '!$A:$C,3,TRUE)</f>
        <v>P6</v>
      </c>
      <c r="E1083" s="4" t="str">
        <f>VLOOKUP('Flow2 '!B1083,'ALokasi Pelabuhan '!$A:$C,3,TRUE)</f>
        <v>P16</v>
      </c>
    </row>
    <row r="1084" spans="1:5" x14ac:dyDescent="0.25">
      <c r="A1084">
        <f t="shared" si="16"/>
        <v>32</v>
      </c>
      <c r="B1084">
        <v>29</v>
      </c>
      <c r="C1084" s="1">
        <v>10628</v>
      </c>
      <c r="D1084" s="4" t="str">
        <f>VLOOKUP('Flow2 '!A1084,'ALokasi Pelabuhan '!$A:$C,3,TRUE)</f>
        <v>P6</v>
      </c>
      <c r="E1084" s="4" t="str">
        <f>VLOOKUP('Flow2 '!B1084,'ALokasi Pelabuhan '!$A:$C,3,TRUE)</f>
        <v>P18</v>
      </c>
    </row>
    <row r="1085" spans="1:5" x14ac:dyDescent="0.25">
      <c r="A1085">
        <f t="shared" si="16"/>
        <v>32</v>
      </c>
      <c r="B1085">
        <v>30</v>
      </c>
      <c r="C1085" s="1">
        <v>9113</v>
      </c>
      <c r="D1085" s="4" t="str">
        <f>VLOOKUP('Flow2 '!A1085,'ALokasi Pelabuhan '!$A:$C,3,TRUE)</f>
        <v>P6</v>
      </c>
      <c r="E1085" s="4" t="str">
        <f>VLOOKUP('Flow2 '!B1085,'ALokasi Pelabuhan '!$A:$C,3,TRUE)</f>
        <v>P19</v>
      </c>
    </row>
    <row r="1086" spans="1:5" x14ac:dyDescent="0.25">
      <c r="A1086">
        <f t="shared" si="16"/>
        <v>32</v>
      </c>
      <c r="B1086">
        <v>31</v>
      </c>
      <c r="C1086" s="1">
        <v>23532</v>
      </c>
      <c r="D1086" s="4" t="str">
        <f>VLOOKUP('Flow2 '!A1086,'ALokasi Pelabuhan '!$A:$C,3,TRUE)</f>
        <v>P6</v>
      </c>
      <c r="E1086" s="4" t="str">
        <f>VLOOKUP('Flow2 '!B1086,'ALokasi Pelabuhan '!$A:$C,3,TRUE)</f>
        <v>P4</v>
      </c>
    </row>
    <row r="1087" spans="1:5" x14ac:dyDescent="0.25">
      <c r="A1087">
        <f t="shared" si="16"/>
        <v>32</v>
      </c>
      <c r="B1087">
        <v>32</v>
      </c>
      <c r="C1087" s="1">
        <v>58387</v>
      </c>
      <c r="D1087" s="4" t="str">
        <f>VLOOKUP('Flow2 '!A1087,'ALokasi Pelabuhan '!$A:$C,3,TRUE)</f>
        <v>P6</v>
      </c>
      <c r="E1087" s="4" t="str">
        <f>VLOOKUP('Flow2 '!B1087,'ALokasi Pelabuhan '!$A:$C,3,TRUE)</f>
        <v>P6</v>
      </c>
    </row>
    <row r="1088" spans="1:5" x14ac:dyDescent="0.25">
      <c r="A1088">
        <f t="shared" si="16"/>
        <v>32</v>
      </c>
      <c r="B1088">
        <v>33</v>
      </c>
      <c r="C1088" s="1">
        <v>2345.812510028516</v>
      </c>
      <c r="D1088" s="4" t="str">
        <f>VLOOKUP('Flow2 '!A1088,'ALokasi Pelabuhan '!$A:$C,3,TRUE)</f>
        <v>P6</v>
      </c>
      <c r="E1088" s="4" t="str">
        <f>VLOOKUP('Flow2 '!B1088,'ALokasi Pelabuhan '!$A:$C,3,TRUE)</f>
        <v>P2</v>
      </c>
    </row>
    <row r="1089" spans="1:5" x14ac:dyDescent="0.25">
      <c r="A1089">
        <f t="shared" si="16"/>
        <v>32</v>
      </c>
      <c r="B1089">
        <v>34</v>
      </c>
      <c r="C1089" s="1">
        <v>8422.1874899714858</v>
      </c>
      <c r="D1089" s="4" t="str">
        <f>VLOOKUP('Flow2 '!A1089,'ALokasi Pelabuhan '!$A:$C,3,TRUE)</f>
        <v>P6</v>
      </c>
      <c r="E1089" s="4" t="str">
        <f>VLOOKUP('Flow2 '!B1089,'ALokasi Pelabuhan '!$A:$C,3,TRUE)</f>
        <v>P9</v>
      </c>
    </row>
    <row r="1090" spans="1:5" x14ac:dyDescent="0.25">
      <c r="A1090">
        <f t="shared" si="16"/>
        <v>33</v>
      </c>
      <c r="B1090">
        <v>1</v>
      </c>
      <c r="C1090" s="1">
        <v>5570.6599605507481</v>
      </c>
      <c r="D1090" s="4" t="str">
        <f>VLOOKUP('Flow2 '!A1090,'ALokasi Pelabuhan '!$A:$C,3,TRUE)</f>
        <v>P2</v>
      </c>
      <c r="E1090" s="4" t="str">
        <f>VLOOKUP('Flow2 '!B1090,'ALokasi Pelabuhan '!$A:$C,3,TRUE)</f>
        <v>P1</v>
      </c>
    </row>
    <row r="1091" spans="1:5" x14ac:dyDescent="0.25">
      <c r="A1091">
        <f t="shared" ref="A1091:A1154" si="17">INT((ROW()-ROW($A$2))/34)+1</f>
        <v>33</v>
      </c>
      <c r="B1091">
        <v>2</v>
      </c>
      <c r="C1091" s="1">
        <v>12666.298650277622</v>
      </c>
      <c r="D1091" s="4" t="str">
        <f>VLOOKUP('Flow2 '!A1091,'ALokasi Pelabuhan '!$A:$C,3,TRUE)</f>
        <v>P2</v>
      </c>
      <c r="E1091" s="4" t="str">
        <f>VLOOKUP('Flow2 '!B1091,'ALokasi Pelabuhan '!$A:$C,3,TRUE)</f>
        <v>P10</v>
      </c>
    </row>
    <row r="1092" spans="1:5" x14ac:dyDescent="0.25">
      <c r="A1092">
        <f t="shared" si="17"/>
        <v>33</v>
      </c>
      <c r="B1092">
        <v>3</v>
      </c>
      <c r="C1092" s="1">
        <v>5196.7604516025758</v>
      </c>
      <c r="D1092" s="4" t="str">
        <f>VLOOKUP('Flow2 '!A1092,'ALokasi Pelabuhan '!$A:$C,3,TRUE)</f>
        <v>P2</v>
      </c>
      <c r="E1092" s="4" t="str">
        <f>VLOOKUP('Flow2 '!B1092,'ALokasi Pelabuhan '!$A:$C,3,TRUE)</f>
        <v>P8</v>
      </c>
    </row>
    <row r="1093" spans="1:5" x14ac:dyDescent="0.25">
      <c r="A1093">
        <f t="shared" si="17"/>
        <v>33</v>
      </c>
      <c r="B1093">
        <v>4</v>
      </c>
      <c r="C1093" s="1">
        <v>6099.5124414526827</v>
      </c>
      <c r="D1093" s="4" t="str">
        <f>VLOOKUP('Flow2 '!A1093,'ALokasi Pelabuhan '!$A:$C,3,TRUE)</f>
        <v>P2</v>
      </c>
      <c r="E1093" s="4" t="str">
        <f>VLOOKUP('Flow2 '!B1093,'ALokasi Pelabuhan '!$A:$C,3,TRUE)</f>
        <v>P4</v>
      </c>
    </row>
    <row r="1094" spans="1:5" x14ac:dyDescent="0.25">
      <c r="A1094">
        <f t="shared" si="17"/>
        <v>33</v>
      </c>
      <c r="B1094">
        <v>5</v>
      </c>
      <c r="C1094" s="1">
        <v>3487.0455818374162</v>
      </c>
      <c r="D1094" s="4" t="str">
        <f>VLOOKUP('Flow2 '!A1094,'ALokasi Pelabuhan '!$A:$C,3,TRUE)</f>
        <v>P2</v>
      </c>
      <c r="E1094" s="4" t="str">
        <f>VLOOKUP('Flow2 '!B1094,'ALokasi Pelabuhan '!$A:$C,3,TRUE)</f>
        <v>P19</v>
      </c>
    </row>
    <row r="1095" spans="1:5" x14ac:dyDescent="0.25">
      <c r="A1095">
        <f t="shared" si="17"/>
        <v>33</v>
      </c>
      <c r="B1095">
        <v>6</v>
      </c>
      <c r="C1095" s="1">
        <v>8231.8263256371974</v>
      </c>
      <c r="D1095" s="4" t="str">
        <f>VLOOKUP('Flow2 '!A1095,'ALokasi Pelabuhan '!$A:$C,3,TRUE)</f>
        <v>P2</v>
      </c>
      <c r="E1095" s="4" t="str">
        <f>VLOOKUP('Flow2 '!B1095,'ALokasi Pelabuhan '!$A:$C,3,TRUE)</f>
        <v>P8</v>
      </c>
    </row>
    <row r="1096" spans="1:5" x14ac:dyDescent="0.25">
      <c r="A1096">
        <f t="shared" si="17"/>
        <v>33</v>
      </c>
      <c r="B1096">
        <v>7</v>
      </c>
      <c r="C1096" s="1">
        <v>1941.9430900698908</v>
      </c>
      <c r="D1096" s="4" t="str">
        <f>VLOOKUP('Flow2 '!A1096,'ALokasi Pelabuhan '!$A:$C,3,TRUE)</f>
        <v>P2</v>
      </c>
      <c r="E1096" s="4" t="str">
        <f>VLOOKUP('Flow2 '!B1096,'ALokasi Pelabuhan '!$A:$C,3,TRUE)</f>
        <v>P5</v>
      </c>
    </row>
    <row r="1097" spans="1:5" x14ac:dyDescent="0.25">
      <c r="A1097">
        <f t="shared" si="17"/>
        <v>33</v>
      </c>
      <c r="B1097">
        <v>8</v>
      </c>
      <c r="C1097" s="1">
        <v>7919.90800547053</v>
      </c>
      <c r="D1097" s="4" t="str">
        <f>VLOOKUP('Flow2 '!A1097,'ALokasi Pelabuhan '!$A:$C,3,TRUE)</f>
        <v>P2</v>
      </c>
      <c r="E1097" s="4" t="str">
        <f>VLOOKUP('Flow2 '!B1097,'ALokasi Pelabuhan '!$A:$C,3,TRUE)</f>
        <v>P8</v>
      </c>
    </row>
    <row r="1098" spans="1:5" x14ac:dyDescent="0.25">
      <c r="A1098">
        <f t="shared" si="17"/>
        <v>33</v>
      </c>
      <c r="B1098">
        <v>9</v>
      </c>
      <c r="C1098" s="1">
        <v>1654.5757602647298</v>
      </c>
      <c r="D1098" s="4" t="str">
        <f>VLOOKUP('Flow2 '!A1098,'ALokasi Pelabuhan '!$A:$C,3,TRUE)</f>
        <v>P2</v>
      </c>
      <c r="E1098" s="4" t="str">
        <f>VLOOKUP('Flow2 '!B1098,'ALokasi Pelabuhan '!$A:$C,3,TRUE)</f>
        <v>P9</v>
      </c>
    </row>
    <row r="1099" spans="1:5" x14ac:dyDescent="0.25">
      <c r="A1099">
        <f t="shared" si="17"/>
        <v>33</v>
      </c>
      <c r="B1099">
        <v>10</v>
      </c>
      <c r="C1099" s="1">
        <v>2151.632696272256</v>
      </c>
      <c r="D1099" s="4" t="str">
        <f>VLOOKUP('Flow2 '!A1099,'ALokasi Pelabuhan '!$A:$C,3,TRUE)</f>
        <v>P2</v>
      </c>
      <c r="E1099" s="4" t="str">
        <f>VLOOKUP('Flow2 '!B1099,'ALokasi Pelabuhan '!$A:$C,3,TRUE)</f>
        <v>P10</v>
      </c>
    </row>
    <row r="1100" spans="1:5" x14ac:dyDescent="0.25">
      <c r="A1100">
        <f t="shared" si="17"/>
        <v>33</v>
      </c>
      <c r="B1100">
        <v>11</v>
      </c>
      <c r="C1100" s="1">
        <v>10781.90952121913</v>
      </c>
      <c r="D1100" s="4" t="str">
        <f>VLOOKUP('Flow2 '!A1100,'ALokasi Pelabuhan '!$A:$C,3,TRUE)</f>
        <v>P2</v>
      </c>
      <c r="E1100" s="4" t="str">
        <f>VLOOKUP('Flow2 '!B1100,'ALokasi Pelabuhan '!$A:$C,3,TRUE)</f>
        <v>P11</v>
      </c>
    </row>
    <row r="1101" spans="1:5" x14ac:dyDescent="0.25">
      <c r="A1101">
        <f t="shared" si="17"/>
        <v>33</v>
      </c>
      <c r="B1101">
        <v>12</v>
      </c>
      <c r="C1101" s="1">
        <v>50886.153514364043</v>
      </c>
      <c r="D1101" s="4" t="str">
        <f>VLOOKUP('Flow2 '!A1101,'ALokasi Pelabuhan '!$A:$C,3,TRUE)</f>
        <v>P2</v>
      </c>
      <c r="E1101" s="4" t="str">
        <f>VLOOKUP('Flow2 '!B1101,'ALokasi Pelabuhan '!$A:$C,3,TRUE)</f>
        <v>P13</v>
      </c>
    </row>
    <row r="1102" spans="1:5" x14ac:dyDescent="0.25">
      <c r="A1102">
        <f t="shared" si="17"/>
        <v>33</v>
      </c>
      <c r="B1102">
        <v>13</v>
      </c>
      <c r="C1102" s="1">
        <v>39680.43755297007</v>
      </c>
      <c r="D1102" s="4" t="str">
        <f>VLOOKUP('Flow2 '!A1102,'ALokasi Pelabuhan '!$A:$C,3,TRUE)</f>
        <v>P2</v>
      </c>
      <c r="E1102" s="4" t="str">
        <f>VLOOKUP('Flow2 '!B1102,'ALokasi Pelabuhan '!$A:$C,3,TRUE)</f>
        <v>P12</v>
      </c>
    </row>
    <row r="1103" spans="1:5" x14ac:dyDescent="0.25">
      <c r="A1103">
        <f t="shared" si="17"/>
        <v>33</v>
      </c>
      <c r="B1103">
        <v>14</v>
      </c>
      <c r="C1103" s="1">
        <v>4360.8193535559103</v>
      </c>
      <c r="D1103" s="4" t="str">
        <f>VLOOKUP('Flow2 '!A1103,'ALokasi Pelabuhan '!$A:$C,3,TRUE)</f>
        <v>P2</v>
      </c>
      <c r="E1103" s="4" t="str">
        <f>VLOOKUP('Flow2 '!B1103,'ALokasi Pelabuhan '!$A:$C,3,TRUE)</f>
        <v>P14</v>
      </c>
    </row>
    <row r="1104" spans="1:5" x14ac:dyDescent="0.25">
      <c r="A1104">
        <f t="shared" si="17"/>
        <v>33</v>
      </c>
      <c r="B1104">
        <v>15</v>
      </c>
      <c r="C1104" s="1">
        <v>50129.902516179311</v>
      </c>
      <c r="D1104" s="4" t="str">
        <f>VLOOKUP('Flow2 '!A1104,'ALokasi Pelabuhan '!$A:$C,3,TRUE)</f>
        <v>P2</v>
      </c>
      <c r="E1104" s="4" t="str">
        <f>VLOOKUP('Flow2 '!B1104,'ALokasi Pelabuhan '!$A:$C,3,TRUE)</f>
        <v>P15</v>
      </c>
    </row>
    <row r="1105" spans="1:5" x14ac:dyDescent="0.25">
      <c r="A1105">
        <f t="shared" si="17"/>
        <v>33</v>
      </c>
      <c r="B1105">
        <v>16</v>
      </c>
      <c r="C1105" s="1">
        <v>12655.431818478268</v>
      </c>
      <c r="D1105" s="4" t="str">
        <f>VLOOKUP('Flow2 '!A1105,'ALokasi Pelabuhan '!$A:$C,3,TRUE)</f>
        <v>P2</v>
      </c>
      <c r="E1105" s="4" t="str">
        <f>VLOOKUP('Flow2 '!B1105,'ALokasi Pelabuhan '!$A:$C,3,TRUE)</f>
        <v>P6</v>
      </c>
    </row>
    <row r="1106" spans="1:5" x14ac:dyDescent="0.25">
      <c r="A1106">
        <f t="shared" si="17"/>
        <v>33</v>
      </c>
      <c r="B1106">
        <v>17</v>
      </c>
      <c r="C1106" s="1">
        <v>6068.5218470619302</v>
      </c>
      <c r="D1106" s="4" t="str">
        <f>VLOOKUP('Flow2 '!A1106,'ALokasi Pelabuhan '!$A:$C,3,TRUE)</f>
        <v>P2</v>
      </c>
      <c r="E1106" s="4" t="str">
        <f>VLOOKUP('Flow2 '!B1106,'ALokasi Pelabuhan '!$A:$C,3,TRUE)</f>
        <v>P3</v>
      </c>
    </row>
    <row r="1107" spans="1:5" x14ac:dyDescent="0.25">
      <c r="A1107">
        <f t="shared" si="17"/>
        <v>33</v>
      </c>
      <c r="B1107">
        <v>18</v>
      </c>
      <c r="C1107" s="1">
        <v>8009.2575113763369</v>
      </c>
      <c r="D1107" s="4" t="str">
        <f>VLOOKUP('Flow2 '!A1107,'ALokasi Pelabuhan '!$A:$C,3,TRUE)</f>
        <v>P2</v>
      </c>
      <c r="E1107" s="4" t="str">
        <f>VLOOKUP('Flow2 '!B1107,'ALokasi Pelabuhan '!$A:$C,3,TRUE)</f>
        <v>P7</v>
      </c>
    </row>
    <row r="1108" spans="1:5" x14ac:dyDescent="0.25">
      <c r="A1108">
        <f t="shared" si="17"/>
        <v>33</v>
      </c>
      <c r="B1108">
        <v>19</v>
      </c>
      <c r="C1108" s="1">
        <v>13161.745685277838</v>
      </c>
      <c r="D1108" s="4" t="str">
        <f>VLOOKUP('Flow2 '!A1108,'ALokasi Pelabuhan '!$A:$C,3,TRUE)</f>
        <v>P2</v>
      </c>
      <c r="E1108" s="4" t="str">
        <f>VLOOKUP('Flow2 '!B1108,'ALokasi Pelabuhan '!$A:$C,3,TRUE)</f>
        <v>P22</v>
      </c>
    </row>
    <row r="1109" spans="1:5" x14ac:dyDescent="0.25">
      <c r="A1109">
        <f t="shared" si="17"/>
        <v>33</v>
      </c>
      <c r="B1109">
        <v>20</v>
      </c>
      <c r="C1109" s="1">
        <v>6679.8817545885959</v>
      </c>
      <c r="D1109" s="4" t="str">
        <f>VLOOKUP('Flow2 '!A1109,'ALokasi Pelabuhan '!$A:$C,3,TRUE)</f>
        <v>P2</v>
      </c>
      <c r="E1109" s="4" t="str">
        <f>VLOOKUP('Flow2 '!B1109,'ALokasi Pelabuhan '!$A:$C,3,TRUE)</f>
        <v>P21</v>
      </c>
    </row>
    <row r="1110" spans="1:5" x14ac:dyDescent="0.25">
      <c r="A1110">
        <f t="shared" si="17"/>
        <v>33</v>
      </c>
      <c r="B1110">
        <v>21</v>
      </c>
      <c r="C1110" s="1">
        <v>4690.0441095511787</v>
      </c>
      <c r="D1110" s="4" t="str">
        <f>VLOOKUP('Flow2 '!A1110,'ALokasi Pelabuhan '!$A:$C,3,TRUE)</f>
        <v>P2</v>
      </c>
      <c r="E1110" s="4" t="str">
        <f>VLOOKUP('Flow2 '!B1110,'ALokasi Pelabuhan '!$A:$C,3,TRUE)</f>
        <v>P20</v>
      </c>
    </row>
    <row r="1111" spans="1:5" x14ac:dyDescent="0.25">
      <c r="A1111">
        <f t="shared" si="17"/>
        <v>33</v>
      </c>
      <c r="B1111">
        <v>22</v>
      </c>
      <c r="C1111" s="1">
        <v>6423.9074944260155</v>
      </c>
      <c r="D1111" s="4" t="str">
        <f>VLOOKUP('Flow2 '!A1111,'ALokasi Pelabuhan '!$A:$C,3,TRUE)</f>
        <v>P2</v>
      </c>
      <c r="E1111" s="4" t="str">
        <f>VLOOKUP('Flow2 '!B1111,'ALokasi Pelabuhan '!$A:$C,3,TRUE)</f>
        <v>P20</v>
      </c>
    </row>
    <row r="1112" spans="1:5" x14ac:dyDescent="0.25">
      <c r="A1112">
        <f t="shared" si="17"/>
        <v>33</v>
      </c>
      <c r="B1112">
        <v>23</v>
      </c>
      <c r="C1112" s="1">
        <v>5082.0550048316081</v>
      </c>
      <c r="D1112" s="4" t="str">
        <f>VLOOKUP('Flow2 '!A1112,'ALokasi Pelabuhan '!$A:$C,3,TRUE)</f>
        <v>P2</v>
      </c>
      <c r="E1112" s="4" t="str">
        <f>VLOOKUP('Flow2 '!B1112,'ALokasi Pelabuhan '!$A:$C,3,TRUE)</f>
        <v>P24</v>
      </c>
    </row>
    <row r="1113" spans="1:5" x14ac:dyDescent="0.25">
      <c r="A1113">
        <f t="shared" si="17"/>
        <v>33</v>
      </c>
      <c r="B1113">
        <v>24</v>
      </c>
      <c r="C1113" s="1">
        <v>742.96931487440793</v>
      </c>
      <c r="D1113" s="4" t="str">
        <f>VLOOKUP('Flow2 '!A1113,'ALokasi Pelabuhan '!$A:$C,3,TRUE)</f>
        <v>P2</v>
      </c>
      <c r="E1113" s="4" t="str">
        <f>VLOOKUP('Flow2 '!B1113,'ALokasi Pelabuhan '!$A:$C,3,TRUE)</f>
        <v>P23</v>
      </c>
    </row>
    <row r="1114" spans="1:5" x14ac:dyDescent="0.25">
      <c r="A1114">
        <f t="shared" si="17"/>
        <v>33</v>
      </c>
      <c r="B1114">
        <v>25</v>
      </c>
      <c r="C1114" s="1">
        <v>5963.0733310830055</v>
      </c>
      <c r="D1114" s="4" t="str">
        <f>VLOOKUP('Flow2 '!A1114,'ALokasi Pelabuhan '!$A:$C,3,TRUE)</f>
        <v>P2</v>
      </c>
      <c r="E1114" s="4" t="str">
        <f>VLOOKUP('Flow2 '!B1114,'ALokasi Pelabuhan '!$A:$C,3,TRUE)</f>
        <v>P2</v>
      </c>
    </row>
    <row r="1115" spans="1:5" x14ac:dyDescent="0.25">
      <c r="A1115">
        <f t="shared" si="17"/>
        <v>33</v>
      </c>
      <c r="B1115">
        <v>26</v>
      </c>
      <c r="C1115" s="1">
        <v>6102.329768215478</v>
      </c>
      <c r="D1115" s="4" t="str">
        <f>VLOOKUP('Flow2 '!A1115,'ALokasi Pelabuhan '!$A:$C,3,TRUE)</f>
        <v>P2</v>
      </c>
      <c r="E1115" s="4" t="str">
        <f>VLOOKUP('Flow2 '!B1115,'ALokasi Pelabuhan '!$A:$C,3,TRUE)</f>
        <v>P17</v>
      </c>
    </row>
    <row r="1116" spans="1:5" x14ac:dyDescent="0.25">
      <c r="A1116">
        <f t="shared" si="17"/>
        <v>33</v>
      </c>
      <c r="B1116">
        <v>27</v>
      </c>
      <c r="C1116" s="1">
        <v>15889.3204669159</v>
      </c>
      <c r="D1116" s="4" t="str">
        <f>VLOOKUP('Flow2 '!A1116,'ALokasi Pelabuhan '!$A:$C,3,TRUE)</f>
        <v>P2</v>
      </c>
      <c r="E1116" s="4" t="str">
        <f>VLOOKUP('Flow2 '!B1116,'ALokasi Pelabuhan '!$A:$C,3,TRUE)</f>
        <v>P17</v>
      </c>
    </row>
    <row r="1117" spans="1:5" x14ac:dyDescent="0.25">
      <c r="A1117">
        <f t="shared" si="17"/>
        <v>33</v>
      </c>
      <c r="B1117">
        <v>28</v>
      </c>
      <c r="C1117" s="1">
        <v>6150.2243231830053</v>
      </c>
      <c r="D1117" s="4" t="str">
        <f>VLOOKUP('Flow2 '!A1117,'ALokasi Pelabuhan '!$A:$C,3,TRUE)</f>
        <v>P2</v>
      </c>
      <c r="E1117" s="4" t="str">
        <f>VLOOKUP('Flow2 '!B1117,'ALokasi Pelabuhan '!$A:$C,3,TRUE)</f>
        <v>P16</v>
      </c>
    </row>
    <row r="1118" spans="1:5" x14ac:dyDescent="0.25">
      <c r="A1118">
        <f t="shared" si="17"/>
        <v>33</v>
      </c>
      <c r="B1118">
        <v>29</v>
      </c>
      <c r="C1118" s="1">
        <v>2222.8708158458044</v>
      </c>
      <c r="D1118" s="4" t="str">
        <f>VLOOKUP('Flow2 '!A1118,'ALokasi Pelabuhan '!$A:$C,3,TRUE)</f>
        <v>P2</v>
      </c>
      <c r="E1118" s="4" t="str">
        <f>VLOOKUP('Flow2 '!B1118,'ALokasi Pelabuhan '!$A:$C,3,TRUE)</f>
        <v>P18</v>
      </c>
    </row>
    <row r="1119" spans="1:5" x14ac:dyDescent="0.25">
      <c r="A1119">
        <f t="shared" si="17"/>
        <v>33</v>
      </c>
      <c r="B1119">
        <v>30</v>
      </c>
      <c r="C1119" s="1">
        <v>3140.9168652653734</v>
      </c>
      <c r="D1119" s="4" t="str">
        <f>VLOOKUP('Flow2 '!A1119,'ALokasi Pelabuhan '!$A:$C,3,TRUE)</f>
        <v>P2</v>
      </c>
      <c r="E1119" s="4" t="str">
        <f>VLOOKUP('Flow2 '!B1119,'ALokasi Pelabuhan '!$A:$C,3,TRUE)</f>
        <v>P19</v>
      </c>
    </row>
    <row r="1120" spans="1:5" x14ac:dyDescent="0.25">
      <c r="A1120">
        <f t="shared" si="17"/>
        <v>33</v>
      </c>
      <c r="B1120">
        <v>31</v>
      </c>
      <c r="C1120" s="1">
        <v>8677.7689046625728</v>
      </c>
      <c r="D1120" s="4" t="str">
        <f>VLOOKUP('Flow2 '!A1120,'ALokasi Pelabuhan '!$A:$C,3,TRUE)</f>
        <v>P2</v>
      </c>
      <c r="E1120" s="4" t="str">
        <f>VLOOKUP('Flow2 '!B1120,'ALokasi Pelabuhan '!$A:$C,3,TRUE)</f>
        <v>P4</v>
      </c>
    </row>
    <row r="1121" spans="1:5" x14ac:dyDescent="0.25">
      <c r="A1121">
        <f t="shared" si="17"/>
        <v>33</v>
      </c>
      <c r="B1121">
        <v>32</v>
      </c>
      <c r="C1121" s="1">
        <v>3641.9985537911793</v>
      </c>
      <c r="D1121" s="4" t="str">
        <f>VLOOKUP('Flow2 '!A1121,'ALokasi Pelabuhan '!$A:$C,3,TRUE)</f>
        <v>P2</v>
      </c>
      <c r="E1121" s="4" t="str">
        <f>VLOOKUP('Flow2 '!B1121,'ALokasi Pelabuhan '!$A:$C,3,TRUE)</f>
        <v>P6</v>
      </c>
    </row>
    <row r="1122" spans="1:5" x14ac:dyDescent="0.25">
      <c r="A1122">
        <f t="shared" si="17"/>
        <v>33</v>
      </c>
      <c r="B1122">
        <v>33</v>
      </c>
      <c r="C1122" s="2">
        <v>13749.703802261225</v>
      </c>
      <c r="D1122" s="4" t="str">
        <f>VLOOKUP('Flow2 '!A1122,'ALokasi Pelabuhan '!$A:$C,3,TRUE)</f>
        <v>P2</v>
      </c>
      <c r="E1122" s="4" t="str">
        <f>VLOOKUP('Flow2 '!B1122,'ALokasi Pelabuhan '!$A:$C,3,TRUE)</f>
        <v>P2</v>
      </c>
    </row>
    <row r="1123" spans="1:5" x14ac:dyDescent="0.25">
      <c r="A1123">
        <f t="shared" si="17"/>
        <v>33</v>
      </c>
      <c r="B1123">
        <v>34</v>
      </c>
      <c r="C1123" s="2">
        <v>49365.660238895296</v>
      </c>
      <c r="D1123" s="4" t="str">
        <f>VLOOKUP('Flow2 '!A1123,'ALokasi Pelabuhan '!$A:$C,3,TRUE)</f>
        <v>P2</v>
      </c>
      <c r="E1123" s="4" t="str">
        <f>VLOOKUP('Flow2 '!B1123,'ALokasi Pelabuhan '!$A:$C,3,TRUE)</f>
        <v>P9</v>
      </c>
    </row>
    <row r="1124" spans="1:5" x14ac:dyDescent="0.25">
      <c r="A1124">
        <f t="shared" si="17"/>
        <v>34</v>
      </c>
      <c r="B1124">
        <v>1</v>
      </c>
      <c r="C1124" s="1">
        <v>8270.3400394492528</v>
      </c>
      <c r="D1124" s="4" t="str">
        <f>VLOOKUP('Flow2 '!A1124,'ALokasi Pelabuhan '!$A:$C,3,TRUE)</f>
        <v>P9</v>
      </c>
      <c r="E1124" s="4" t="str">
        <f>VLOOKUP('Flow2 '!B1124,'ALokasi Pelabuhan '!$A:$C,3,TRUE)</f>
        <v>P1</v>
      </c>
    </row>
    <row r="1125" spans="1:5" x14ac:dyDescent="0.25">
      <c r="A1125">
        <f t="shared" si="17"/>
        <v>34</v>
      </c>
      <c r="B1125">
        <v>2</v>
      </c>
      <c r="C1125" s="1">
        <v>18804.701349722378</v>
      </c>
      <c r="D1125" s="4" t="str">
        <f>VLOOKUP('Flow2 '!A1125,'ALokasi Pelabuhan '!$A:$C,3,TRUE)</f>
        <v>P9</v>
      </c>
      <c r="E1125" s="4" t="str">
        <f>VLOOKUP('Flow2 '!B1125,'ALokasi Pelabuhan '!$A:$C,3,TRUE)</f>
        <v>P10</v>
      </c>
    </row>
    <row r="1126" spans="1:5" x14ac:dyDescent="0.25">
      <c r="A1126">
        <f t="shared" si="17"/>
        <v>34</v>
      </c>
      <c r="B1126">
        <v>3</v>
      </c>
      <c r="C1126" s="1">
        <v>7715.2395483974242</v>
      </c>
      <c r="D1126" s="4" t="str">
        <f>VLOOKUP('Flow2 '!A1126,'ALokasi Pelabuhan '!$A:$C,3,TRUE)</f>
        <v>P9</v>
      </c>
      <c r="E1126" s="4" t="str">
        <f>VLOOKUP('Flow2 '!B1126,'ALokasi Pelabuhan '!$A:$C,3,TRUE)</f>
        <v>P8</v>
      </c>
    </row>
    <row r="1127" spans="1:5" x14ac:dyDescent="0.25">
      <c r="A1127">
        <f t="shared" si="17"/>
        <v>34</v>
      </c>
      <c r="B1127">
        <v>4</v>
      </c>
      <c r="C1127" s="1">
        <v>9055.4875585473164</v>
      </c>
      <c r="D1127" s="4" t="str">
        <f>VLOOKUP('Flow2 '!A1127,'ALokasi Pelabuhan '!$A:$C,3,TRUE)</f>
        <v>P9</v>
      </c>
      <c r="E1127" s="4" t="str">
        <f>VLOOKUP('Flow2 '!B1127,'ALokasi Pelabuhan '!$A:$C,3,TRUE)</f>
        <v>P4</v>
      </c>
    </row>
    <row r="1128" spans="1:5" x14ac:dyDescent="0.25">
      <c r="A1128">
        <f t="shared" si="17"/>
        <v>34</v>
      </c>
      <c r="B1128">
        <v>5</v>
      </c>
      <c r="C1128" s="1">
        <v>5176.9544181625834</v>
      </c>
      <c r="D1128" s="4" t="str">
        <f>VLOOKUP('Flow2 '!A1128,'ALokasi Pelabuhan '!$A:$C,3,TRUE)</f>
        <v>P9</v>
      </c>
      <c r="E1128" s="4" t="str">
        <f>VLOOKUP('Flow2 '!B1128,'ALokasi Pelabuhan '!$A:$C,3,TRUE)</f>
        <v>P19</v>
      </c>
    </row>
    <row r="1129" spans="1:5" x14ac:dyDescent="0.25">
      <c r="A1129">
        <f t="shared" si="17"/>
        <v>34</v>
      </c>
      <c r="B1129">
        <v>6</v>
      </c>
      <c r="C1129" s="1">
        <v>12221.173674362803</v>
      </c>
      <c r="D1129" s="4" t="str">
        <f>VLOOKUP('Flow2 '!A1129,'ALokasi Pelabuhan '!$A:$C,3,TRUE)</f>
        <v>P9</v>
      </c>
      <c r="E1129" s="4" t="str">
        <f>VLOOKUP('Flow2 '!B1129,'ALokasi Pelabuhan '!$A:$C,3,TRUE)</f>
        <v>P8</v>
      </c>
    </row>
    <row r="1130" spans="1:5" x14ac:dyDescent="0.25">
      <c r="A1130">
        <f t="shared" si="17"/>
        <v>34</v>
      </c>
      <c r="B1130">
        <v>7</v>
      </c>
      <c r="C1130" s="1">
        <v>2883.0569099301092</v>
      </c>
      <c r="D1130" s="4" t="str">
        <f>VLOOKUP('Flow2 '!A1130,'ALokasi Pelabuhan '!$A:$C,3,TRUE)</f>
        <v>P9</v>
      </c>
      <c r="E1130" s="4" t="str">
        <f>VLOOKUP('Flow2 '!B1130,'ALokasi Pelabuhan '!$A:$C,3,TRUE)</f>
        <v>P5</v>
      </c>
    </row>
    <row r="1131" spans="1:5" x14ac:dyDescent="0.25">
      <c r="A1131">
        <f t="shared" si="17"/>
        <v>34</v>
      </c>
      <c r="B1131">
        <v>8</v>
      </c>
      <c r="C1131" s="1">
        <v>11758.09199452947</v>
      </c>
      <c r="D1131" s="4" t="str">
        <f>VLOOKUP('Flow2 '!A1131,'ALokasi Pelabuhan '!$A:$C,3,TRUE)</f>
        <v>P9</v>
      </c>
      <c r="E1131" s="4" t="str">
        <f>VLOOKUP('Flow2 '!B1131,'ALokasi Pelabuhan '!$A:$C,3,TRUE)</f>
        <v>P8</v>
      </c>
    </row>
    <row r="1132" spans="1:5" x14ac:dyDescent="0.25">
      <c r="A1132">
        <f t="shared" si="17"/>
        <v>34</v>
      </c>
      <c r="B1132">
        <v>9</v>
      </c>
      <c r="C1132" s="1">
        <v>2456.4242397352705</v>
      </c>
      <c r="D1132" s="4" t="str">
        <f>VLOOKUP('Flow2 '!A1132,'ALokasi Pelabuhan '!$A:$C,3,TRUE)</f>
        <v>P9</v>
      </c>
      <c r="E1132" s="4" t="str">
        <f>VLOOKUP('Flow2 '!B1132,'ALokasi Pelabuhan '!$A:$C,3,TRUE)</f>
        <v>P9</v>
      </c>
    </row>
    <row r="1133" spans="1:5" x14ac:dyDescent="0.25">
      <c r="A1133">
        <f t="shared" si="17"/>
        <v>34</v>
      </c>
      <c r="B1133">
        <v>10</v>
      </c>
      <c r="C1133" s="1">
        <v>3194.367303727744</v>
      </c>
      <c r="D1133" s="4" t="str">
        <f>VLOOKUP('Flow2 '!A1133,'ALokasi Pelabuhan '!$A:$C,3,TRUE)</f>
        <v>P9</v>
      </c>
      <c r="E1133" s="4" t="str">
        <f>VLOOKUP('Flow2 '!B1133,'ALokasi Pelabuhan '!$A:$C,3,TRUE)</f>
        <v>P10</v>
      </c>
    </row>
    <row r="1134" spans="1:5" x14ac:dyDescent="0.25">
      <c r="A1134">
        <f t="shared" si="17"/>
        <v>34</v>
      </c>
      <c r="B1134">
        <v>11</v>
      </c>
      <c r="C1134" s="1">
        <v>16007.09047878087</v>
      </c>
      <c r="D1134" s="4" t="str">
        <f>VLOOKUP('Flow2 '!A1134,'ALokasi Pelabuhan '!$A:$C,3,TRUE)</f>
        <v>P9</v>
      </c>
      <c r="E1134" s="4" t="str">
        <f>VLOOKUP('Flow2 '!B1134,'ALokasi Pelabuhan '!$A:$C,3,TRUE)</f>
        <v>P11</v>
      </c>
    </row>
    <row r="1135" spans="1:5" x14ac:dyDescent="0.25">
      <c r="A1135">
        <f t="shared" si="17"/>
        <v>34</v>
      </c>
      <c r="B1135">
        <v>12</v>
      </c>
      <c r="C1135" s="1">
        <v>75546.846485635964</v>
      </c>
      <c r="D1135" s="4" t="str">
        <f>VLOOKUP('Flow2 '!A1135,'ALokasi Pelabuhan '!$A:$C,3,TRUE)</f>
        <v>P9</v>
      </c>
      <c r="E1135" s="4" t="str">
        <f>VLOOKUP('Flow2 '!B1135,'ALokasi Pelabuhan '!$A:$C,3,TRUE)</f>
        <v>P13</v>
      </c>
    </row>
    <row r="1136" spans="1:5" x14ac:dyDescent="0.25">
      <c r="A1136">
        <f t="shared" si="17"/>
        <v>34</v>
      </c>
      <c r="B1136">
        <v>13</v>
      </c>
      <c r="C1136" s="1">
        <v>58910.56244702993</v>
      </c>
      <c r="D1136" s="4" t="str">
        <f>VLOOKUP('Flow2 '!A1136,'ALokasi Pelabuhan '!$A:$C,3,TRUE)</f>
        <v>P9</v>
      </c>
      <c r="E1136" s="4" t="str">
        <f>VLOOKUP('Flow2 '!B1136,'ALokasi Pelabuhan '!$A:$C,3,TRUE)</f>
        <v>P12</v>
      </c>
    </row>
    <row r="1137" spans="1:5" x14ac:dyDescent="0.25">
      <c r="A1137">
        <f t="shared" si="17"/>
        <v>34</v>
      </c>
      <c r="B1137">
        <v>14</v>
      </c>
      <c r="C1137" s="1">
        <v>6474.1806464440897</v>
      </c>
      <c r="D1137" s="4" t="str">
        <f>VLOOKUP('Flow2 '!A1137,'ALokasi Pelabuhan '!$A:$C,3,TRUE)</f>
        <v>P9</v>
      </c>
      <c r="E1137" s="4" t="str">
        <f>VLOOKUP('Flow2 '!B1137,'ALokasi Pelabuhan '!$A:$C,3,TRUE)</f>
        <v>P14</v>
      </c>
    </row>
    <row r="1138" spans="1:5" x14ac:dyDescent="0.25">
      <c r="A1138">
        <f t="shared" si="17"/>
        <v>34</v>
      </c>
      <c r="B1138">
        <v>15</v>
      </c>
      <c r="C1138" s="1">
        <v>74424.097483820689</v>
      </c>
      <c r="D1138" s="4" t="str">
        <f>VLOOKUP('Flow2 '!A1138,'ALokasi Pelabuhan '!$A:$C,3,TRUE)</f>
        <v>P9</v>
      </c>
      <c r="E1138" s="4" t="str">
        <f>VLOOKUP('Flow2 '!B1138,'ALokasi Pelabuhan '!$A:$C,3,TRUE)</f>
        <v>P15</v>
      </c>
    </row>
    <row r="1139" spans="1:5" x14ac:dyDescent="0.25">
      <c r="A1139">
        <f t="shared" si="17"/>
        <v>34</v>
      </c>
      <c r="B1139">
        <v>16</v>
      </c>
      <c r="C1139" s="1">
        <v>18788.568181521732</v>
      </c>
      <c r="D1139" s="4" t="str">
        <f>VLOOKUP('Flow2 '!A1139,'ALokasi Pelabuhan '!$A:$C,3,TRUE)</f>
        <v>P9</v>
      </c>
      <c r="E1139" s="4" t="str">
        <f>VLOOKUP('Flow2 '!B1139,'ALokasi Pelabuhan '!$A:$C,3,TRUE)</f>
        <v>P6</v>
      </c>
    </row>
    <row r="1140" spans="1:5" x14ac:dyDescent="0.25">
      <c r="A1140">
        <f t="shared" si="17"/>
        <v>34</v>
      </c>
      <c r="B1140">
        <v>17</v>
      </c>
      <c r="C1140" s="1">
        <v>9009.4781529380707</v>
      </c>
      <c r="D1140" s="4" t="str">
        <f>VLOOKUP('Flow2 '!A1140,'ALokasi Pelabuhan '!$A:$C,3,TRUE)</f>
        <v>P9</v>
      </c>
      <c r="E1140" s="4" t="str">
        <f>VLOOKUP('Flow2 '!B1140,'ALokasi Pelabuhan '!$A:$C,3,TRUE)</f>
        <v>P3</v>
      </c>
    </row>
    <row r="1141" spans="1:5" x14ac:dyDescent="0.25">
      <c r="A1141">
        <f t="shared" si="17"/>
        <v>34</v>
      </c>
      <c r="B1141">
        <v>18</v>
      </c>
      <c r="C1141" s="1">
        <v>11890.742488623664</v>
      </c>
      <c r="D1141" s="4" t="str">
        <f>VLOOKUP('Flow2 '!A1141,'ALokasi Pelabuhan '!$A:$C,3,TRUE)</f>
        <v>P9</v>
      </c>
      <c r="E1141" s="4" t="str">
        <f>VLOOKUP('Flow2 '!B1141,'ALokasi Pelabuhan '!$A:$C,3,TRUE)</f>
        <v>P7</v>
      </c>
    </row>
    <row r="1142" spans="1:5" x14ac:dyDescent="0.25">
      <c r="A1142">
        <f t="shared" si="17"/>
        <v>34</v>
      </c>
      <c r="B1142">
        <v>19</v>
      </c>
      <c r="C1142" s="1">
        <v>19540.254314722162</v>
      </c>
      <c r="D1142" s="4" t="str">
        <f>VLOOKUP('Flow2 '!A1142,'ALokasi Pelabuhan '!$A:$C,3,TRUE)</f>
        <v>P9</v>
      </c>
      <c r="E1142" s="4" t="str">
        <f>VLOOKUP('Flow2 '!B1142,'ALokasi Pelabuhan '!$A:$C,3,TRUE)</f>
        <v>P22</v>
      </c>
    </row>
    <row r="1143" spans="1:5" x14ac:dyDescent="0.25">
      <c r="A1143">
        <f t="shared" si="17"/>
        <v>34</v>
      </c>
      <c r="B1143">
        <v>20</v>
      </c>
      <c r="C1143" s="1">
        <v>9917.1182454114041</v>
      </c>
      <c r="D1143" s="4" t="str">
        <f>VLOOKUP('Flow2 '!A1143,'ALokasi Pelabuhan '!$A:$C,3,TRUE)</f>
        <v>P9</v>
      </c>
      <c r="E1143" s="4" t="str">
        <f>VLOOKUP('Flow2 '!B1143,'ALokasi Pelabuhan '!$A:$C,3,TRUE)</f>
        <v>P21</v>
      </c>
    </row>
    <row r="1144" spans="1:5" x14ac:dyDescent="0.25">
      <c r="A1144">
        <f t="shared" si="17"/>
        <v>34</v>
      </c>
      <c r="B1144">
        <v>21</v>
      </c>
      <c r="C1144" s="1">
        <v>6962.9558904488213</v>
      </c>
      <c r="D1144" s="4" t="str">
        <f>VLOOKUP('Flow2 '!A1144,'ALokasi Pelabuhan '!$A:$C,3,TRUE)</f>
        <v>P9</v>
      </c>
      <c r="E1144" s="4" t="str">
        <f>VLOOKUP('Flow2 '!B1144,'ALokasi Pelabuhan '!$A:$C,3,TRUE)</f>
        <v>P20</v>
      </c>
    </row>
    <row r="1145" spans="1:5" x14ac:dyDescent="0.25">
      <c r="A1145">
        <f t="shared" si="17"/>
        <v>34</v>
      </c>
      <c r="B1145">
        <v>22</v>
      </c>
      <c r="C1145" s="1">
        <v>9537.0925055739845</v>
      </c>
      <c r="D1145" s="4" t="str">
        <f>VLOOKUP('Flow2 '!A1145,'ALokasi Pelabuhan '!$A:$C,3,TRUE)</f>
        <v>P9</v>
      </c>
      <c r="E1145" s="4" t="str">
        <f>VLOOKUP('Flow2 '!B1145,'ALokasi Pelabuhan '!$A:$C,3,TRUE)</f>
        <v>P20</v>
      </c>
    </row>
    <row r="1146" spans="1:5" x14ac:dyDescent="0.25">
      <c r="A1146">
        <f t="shared" si="17"/>
        <v>34</v>
      </c>
      <c r="B1146">
        <v>23</v>
      </c>
      <c r="C1146" s="1">
        <v>7544.9449951683919</v>
      </c>
      <c r="D1146" s="4" t="str">
        <f>VLOOKUP('Flow2 '!A1146,'ALokasi Pelabuhan '!$A:$C,3,TRUE)</f>
        <v>P9</v>
      </c>
      <c r="E1146" s="4" t="str">
        <f>VLOOKUP('Flow2 '!B1146,'ALokasi Pelabuhan '!$A:$C,3,TRUE)</f>
        <v>P24</v>
      </c>
    </row>
    <row r="1147" spans="1:5" x14ac:dyDescent="0.25">
      <c r="A1147">
        <f t="shared" si="17"/>
        <v>34</v>
      </c>
      <c r="B1147">
        <v>24</v>
      </c>
      <c r="C1147" s="1">
        <v>1103.0306851255921</v>
      </c>
      <c r="D1147" s="4" t="str">
        <f>VLOOKUP('Flow2 '!A1147,'ALokasi Pelabuhan '!$A:$C,3,TRUE)</f>
        <v>P9</v>
      </c>
      <c r="E1147" s="4" t="str">
        <f>VLOOKUP('Flow2 '!B1147,'ALokasi Pelabuhan '!$A:$C,3,TRUE)</f>
        <v>P23</v>
      </c>
    </row>
    <row r="1148" spans="1:5" x14ac:dyDescent="0.25">
      <c r="A1148">
        <f t="shared" si="17"/>
        <v>34</v>
      </c>
      <c r="B1148">
        <v>25</v>
      </c>
      <c r="C1148" s="1">
        <v>8852.9266689169945</v>
      </c>
      <c r="D1148" s="4" t="str">
        <f>VLOOKUP('Flow2 '!A1148,'ALokasi Pelabuhan '!$A:$C,3,TRUE)</f>
        <v>P9</v>
      </c>
      <c r="E1148" s="4" t="str">
        <f>VLOOKUP('Flow2 '!B1148,'ALokasi Pelabuhan '!$A:$C,3,TRUE)</f>
        <v>P2</v>
      </c>
    </row>
    <row r="1149" spans="1:5" x14ac:dyDescent="0.25">
      <c r="A1149">
        <f t="shared" si="17"/>
        <v>34</v>
      </c>
      <c r="B1149">
        <v>26</v>
      </c>
      <c r="C1149" s="1">
        <v>9059.6702317845211</v>
      </c>
      <c r="D1149" s="4" t="str">
        <f>VLOOKUP('Flow2 '!A1149,'ALokasi Pelabuhan '!$A:$C,3,TRUE)</f>
        <v>P9</v>
      </c>
      <c r="E1149" s="4" t="str">
        <f>VLOOKUP('Flow2 '!B1149,'ALokasi Pelabuhan '!$A:$C,3,TRUE)</f>
        <v>P17</v>
      </c>
    </row>
    <row r="1150" spans="1:5" x14ac:dyDescent="0.25">
      <c r="A1150">
        <f t="shared" si="17"/>
        <v>34</v>
      </c>
      <c r="B1150">
        <v>27</v>
      </c>
      <c r="C1150" s="1">
        <v>23589.679533084101</v>
      </c>
      <c r="D1150" s="4" t="str">
        <f>VLOOKUP('Flow2 '!A1150,'ALokasi Pelabuhan '!$A:$C,3,TRUE)</f>
        <v>P9</v>
      </c>
      <c r="E1150" s="4" t="str">
        <f>VLOOKUP('Flow2 '!B1150,'ALokasi Pelabuhan '!$A:$C,3,TRUE)</f>
        <v>P17</v>
      </c>
    </row>
    <row r="1151" spans="1:5" x14ac:dyDescent="0.25">
      <c r="A1151">
        <f t="shared" si="17"/>
        <v>34</v>
      </c>
      <c r="B1151">
        <v>28</v>
      </c>
      <c r="C1151" s="1">
        <v>9130.7756768169947</v>
      </c>
      <c r="D1151" s="4" t="str">
        <f>VLOOKUP('Flow2 '!A1151,'ALokasi Pelabuhan '!$A:$C,3,TRUE)</f>
        <v>P9</v>
      </c>
      <c r="E1151" s="4" t="str">
        <f>VLOOKUP('Flow2 '!B1151,'ALokasi Pelabuhan '!$A:$C,3,TRUE)</f>
        <v>P16</v>
      </c>
    </row>
    <row r="1152" spans="1:5" x14ac:dyDescent="0.25">
      <c r="A1152">
        <f t="shared" si="17"/>
        <v>34</v>
      </c>
      <c r="B1152">
        <v>29</v>
      </c>
      <c r="C1152" s="1">
        <v>3300.1291841541956</v>
      </c>
      <c r="D1152" s="4" t="str">
        <f>VLOOKUP('Flow2 '!A1152,'ALokasi Pelabuhan '!$A:$C,3,TRUE)</f>
        <v>P9</v>
      </c>
      <c r="E1152" s="4" t="str">
        <f>VLOOKUP('Flow2 '!B1152,'ALokasi Pelabuhan '!$A:$C,3,TRUE)</f>
        <v>P18</v>
      </c>
    </row>
    <row r="1153" spans="1:5" x14ac:dyDescent="0.25">
      <c r="A1153">
        <f t="shared" si="17"/>
        <v>34</v>
      </c>
      <c r="B1153">
        <v>30</v>
      </c>
      <c r="C1153" s="1">
        <v>4663.0831347346266</v>
      </c>
      <c r="D1153" s="4" t="str">
        <f>VLOOKUP('Flow2 '!A1153,'ALokasi Pelabuhan '!$A:$C,3,TRUE)</f>
        <v>P9</v>
      </c>
      <c r="E1153" s="4" t="str">
        <f>VLOOKUP('Flow2 '!B1153,'ALokasi Pelabuhan '!$A:$C,3,TRUE)</f>
        <v>P19</v>
      </c>
    </row>
    <row r="1154" spans="1:5" x14ac:dyDescent="0.25">
      <c r="A1154">
        <f t="shared" si="17"/>
        <v>34</v>
      </c>
      <c r="B1154">
        <v>31</v>
      </c>
      <c r="C1154" s="1">
        <v>12883.231095337427</v>
      </c>
      <c r="D1154" s="4" t="str">
        <f>VLOOKUP('Flow2 '!A1154,'ALokasi Pelabuhan '!$A:$C,3,TRUE)</f>
        <v>P9</v>
      </c>
      <c r="E1154" s="4" t="str">
        <f>VLOOKUP('Flow2 '!B1154,'ALokasi Pelabuhan '!$A:$C,3,TRUE)</f>
        <v>P4</v>
      </c>
    </row>
    <row r="1155" spans="1:5" x14ac:dyDescent="0.25">
      <c r="A1155">
        <f t="shared" ref="A1155:A1157" si="18">INT((ROW()-ROW($A$2))/34)+1</f>
        <v>34</v>
      </c>
      <c r="B1155">
        <v>32</v>
      </c>
      <c r="C1155" s="1">
        <v>5407.0014462088202</v>
      </c>
      <c r="D1155" s="4" t="str">
        <f>VLOOKUP('Flow2 '!A1155,'ALokasi Pelabuhan '!$A:$C,3,TRUE)</f>
        <v>P9</v>
      </c>
      <c r="E1155" s="4" t="str">
        <f>VLOOKUP('Flow2 '!B1155,'ALokasi Pelabuhan '!$A:$C,3,TRUE)</f>
        <v>P6</v>
      </c>
    </row>
    <row r="1156" spans="1:5" x14ac:dyDescent="0.25">
      <c r="A1156">
        <f t="shared" si="18"/>
        <v>34</v>
      </c>
      <c r="B1156">
        <v>33</v>
      </c>
      <c r="C1156" s="2">
        <v>20413.151528129914</v>
      </c>
      <c r="D1156" s="4" t="str">
        <f>VLOOKUP('Flow2 '!A1156,'ALokasi Pelabuhan '!$A:$C,3,TRUE)</f>
        <v>P9</v>
      </c>
      <c r="E1156" s="4" t="str">
        <f>VLOOKUP('Flow2 '!B1156,'ALokasi Pelabuhan '!$A:$C,3,TRUE)</f>
        <v>P2</v>
      </c>
    </row>
    <row r="1157" spans="1:5" x14ac:dyDescent="0.25">
      <c r="A1157">
        <f t="shared" si="18"/>
        <v>34</v>
      </c>
      <c r="B1157">
        <v>34</v>
      </c>
      <c r="C1157" s="2">
        <v>73289.484430713608</v>
      </c>
      <c r="D1157" s="4" t="str">
        <f>VLOOKUP('Flow2 '!A1157,'ALokasi Pelabuhan '!$A:$C,3,TRUE)</f>
        <v>P9</v>
      </c>
      <c r="E1157" s="4" t="str">
        <f>VLOOKUP('Flow2 '!B1157,'ALokasi Pelabuhan '!$A:$C,3,TRUE)</f>
        <v>P9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5431B-6565-47C7-A63B-5F1CE25C5CAC}">
  <dimension ref="A1:D577"/>
  <sheetViews>
    <sheetView tabSelected="1" workbookViewId="0">
      <selection sqref="A1:D1048576"/>
    </sheetView>
  </sheetViews>
  <sheetFormatPr defaultRowHeight="15" x14ac:dyDescent="0.25"/>
  <cols>
    <col min="1" max="1" width="12.140625" bestFit="1" customWidth="1"/>
    <col min="2" max="2" width="11.85546875" bestFit="1" customWidth="1"/>
    <col min="3" max="3" width="12.7109375" style="21" bestFit="1" customWidth="1"/>
    <col min="4" max="4" width="10.140625" style="19" bestFit="1" customWidth="1"/>
    <col min="5" max="5" width="12.140625" bestFit="1" customWidth="1"/>
    <col min="6" max="6" width="12" bestFit="1" customWidth="1"/>
    <col min="9" max="9" width="12.140625" bestFit="1" customWidth="1"/>
    <col min="10" max="10" width="11.85546875" bestFit="1" customWidth="1"/>
    <col min="13" max="13" width="12.140625" bestFit="1" customWidth="1"/>
    <col min="14" max="14" width="11.85546875" bestFit="1" customWidth="1"/>
    <col min="17" max="17" width="12.140625" bestFit="1" customWidth="1"/>
    <col min="18" max="18" width="11.85546875" bestFit="1" customWidth="1"/>
  </cols>
  <sheetData>
    <row r="1" spans="1:4" x14ac:dyDescent="0.25">
      <c r="A1" s="10" t="s">
        <v>101</v>
      </c>
      <c r="B1" s="10" t="s">
        <v>102</v>
      </c>
      <c r="C1" s="20" t="s">
        <v>103</v>
      </c>
      <c r="D1" s="19" t="s">
        <v>104</v>
      </c>
    </row>
    <row r="2" spans="1:4" x14ac:dyDescent="0.25">
      <c r="A2" s="11" t="s">
        <v>34</v>
      </c>
      <c r="B2" s="11" t="s">
        <v>34</v>
      </c>
      <c r="C2" s="22">
        <f>SUMIFS('Flow2 '!$C:$C,'Flow2 '!$D:$D,Flow3!A2,'Flow2 '!E:E,Flow3!B2)</f>
        <v>3962012</v>
      </c>
      <c r="D2" s="19">
        <f>C2/25</f>
        <v>158480.48000000001</v>
      </c>
    </row>
    <row r="3" spans="1:4" x14ac:dyDescent="0.25">
      <c r="A3" s="11" t="s">
        <v>34</v>
      </c>
      <c r="B3" s="11" t="s">
        <v>35</v>
      </c>
      <c r="C3" s="22">
        <f>SUMIFS('Flow2 '!$C:$C,'Flow2 '!$D:$D,Flow3!A3,'Flow2 '!E:E,Flow3!B3)</f>
        <v>36519.996923043909</v>
      </c>
      <c r="D3" s="19">
        <f t="shared" ref="D3:D66" si="0">C3/25</f>
        <v>1460.7998769217563</v>
      </c>
    </row>
    <row r="4" spans="1:4" x14ac:dyDescent="0.25">
      <c r="A4" s="11" t="s">
        <v>34</v>
      </c>
      <c r="B4" s="11" t="s">
        <v>36</v>
      </c>
      <c r="C4" s="22">
        <f>SUMIFS('Flow2 '!$C:$C,'Flow2 '!$D:$D,Flow3!A4,'Flow2 '!E:E,Flow3!B4)</f>
        <v>46610</v>
      </c>
      <c r="D4" s="19">
        <f t="shared" si="0"/>
        <v>1864.4</v>
      </c>
    </row>
    <row r="5" spans="1:4" x14ac:dyDescent="0.25">
      <c r="A5" s="11" t="s">
        <v>34</v>
      </c>
      <c r="B5" s="11" t="s">
        <v>37</v>
      </c>
      <c r="C5" s="22">
        <f>SUMIFS('Flow2 '!$C:$C,'Flow2 '!$D:$D,Flow3!A5,'Flow2 '!E:E,Flow3!B5)</f>
        <v>288392</v>
      </c>
      <c r="D5" s="19">
        <f t="shared" si="0"/>
        <v>11535.68</v>
      </c>
    </row>
    <row r="6" spans="1:4" x14ac:dyDescent="0.25">
      <c r="A6" s="11" t="s">
        <v>34</v>
      </c>
      <c r="B6" s="11" t="s">
        <v>38</v>
      </c>
      <c r="C6" s="22">
        <f>SUMIFS('Flow2 '!$C:$C,'Flow2 '!$D:$D,Flow3!A6,'Flow2 '!E:E,Flow3!B6)</f>
        <v>61611</v>
      </c>
      <c r="D6" s="19">
        <f t="shared" si="0"/>
        <v>2464.44</v>
      </c>
    </row>
    <row r="7" spans="1:4" x14ac:dyDescent="0.25">
      <c r="A7" s="11" t="s">
        <v>34</v>
      </c>
      <c r="B7" s="11" t="s">
        <v>39</v>
      </c>
      <c r="C7" s="22">
        <f>SUMIFS('Flow2 '!$C:$C,'Flow2 '!$D:$D,Flow3!A7,'Flow2 '!E:E,Flow3!B7)</f>
        <v>198800</v>
      </c>
      <c r="D7" s="19">
        <f t="shared" si="0"/>
        <v>7952</v>
      </c>
    </row>
    <row r="8" spans="1:4" x14ac:dyDescent="0.25">
      <c r="A8" s="11" t="s">
        <v>34</v>
      </c>
      <c r="B8" s="11" t="s">
        <v>40</v>
      </c>
      <c r="C8" s="22">
        <f>SUMIFS('Flow2 '!$C:$C,'Flow2 '!$D:$D,Flow3!A8,'Flow2 '!E:E,Flow3!B8)</f>
        <v>59567</v>
      </c>
      <c r="D8" s="19">
        <f t="shared" si="0"/>
        <v>2382.6799999999998</v>
      </c>
    </row>
    <row r="9" spans="1:4" x14ac:dyDescent="0.25">
      <c r="A9" s="11" t="s">
        <v>34</v>
      </c>
      <c r="B9" s="11" t="s">
        <v>41</v>
      </c>
      <c r="C9" s="22">
        <f>SUMIFS('Flow2 '!$C:$C,'Flow2 '!$D:$D,Flow3!A9,'Flow2 '!E:E,Flow3!B9)</f>
        <v>618156</v>
      </c>
      <c r="D9" s="19">
        <f t="shared" si="0"/>
        <v>24726.240000000002</v>
      </c>
    </row>
    <row r="10" spans="1:4" x14ac:dyDescent="0.25">
      <c r="A10" s="11" t="s">
        <v>34</v>
      </c>
      <c r="B10" s="11" t="s">
        <v>42</v>
      </c>
      <c r="C10" s="22">
        <f>SUMIFS('Flow2 '!$C:$C,'Flow2 '!$D:$D,Flow3!A10,'Flow2 '!E:E,Flow3!B10)</f>
        <v>56665.003076956098</v>
      </c>
      <c r="D10" s="19">
        <f t="shared" si="0"/>
        <v>2266.600123078244</v>
      </c>
    </row>
    <row r="11" spans="1:4" x14ac:dyDescent="0.25">
      <c r="A11" s="11" t="s">
        <v>34</v>
      </c>
      <c r="B11" s="11" t="s">
        <v>43</v>
      </c>
      <c r="C11" s="22">
        <f>SUMIFS('Flow2 '!$C:$C,'Flow2 '!$D:$D,Flow3!A11,'Flow2 '!E:E,Flow3!B11)</f>
        <v>1760983</v>
      </c>
      <c r="D11" s="19">
        <f t="shared" si="0"/>
        <v>70439.320000000007</v>
      </c>
    </row>
    <row r="12" spans="1:4" x14ac:dyDescent="0.25">
      <c r="A12" s="11" t="s">
        <v>34</v>
      </c>
      <c r="B12" s="11" t="s">
        <v>44</v>
      </c>
      <c r="C12" s="22">
        <f>SUMIFS('Flow2 '!$C:$C,'Flow2 '!$D:$D,Flow3!A12,'Flow2 '!E:E,Flow3!B12)</f>
        <v>126557</v>
      </c>
      <c r="D12" s="19">
        <f t="shared" si="0"/>
        <v>5062.28</v>
      </c>
    </row>
    <row r="13" spans="1:4" x14ac:dyDescent="0.25">
      <c r="A13" s="11" t="s">
        <v>34</v>
      </c>
      <c r="B13" s="11" t="s">
        <v>45</v>
      </c>
      <c r="C13" s="22">
        <f>SUMIFS('Flow2 '!$C:$C,'Flow2 '!$D:$D,Flow3!A13,'Flow2 '!E:E,Flow3!B13)</f>
        <v>441673</v>
      </c>
      <c r="D13" s="19">
        <f t="shared" si="0"/>
        <v>17666.919999999998</v>
      </c>
    </row>
    <row r="14" spans="1:4" x14ac:dyDescent="0.25">
      <c r="A14" s="11" t="s">
        <v>34</v>
      </c>
      <c r="B14" s="11" t="s">
        <v>46</v>
      </c>
      <c r="C14" s="22">
        <f>SUMIFS('Flow2 '!$C:$C,'Flow2 '!$D:$D,Flow3!A14,'Flow2 '!E:E,Flow3!B14)</f>
        <v>659575</v>
      </c>
      <c r="D14" s="19">
        <f t="shared" si="0"/>
        <v>26383</v>
      </c>
    </row>
    <row r="15" spans="1:4" x14ac:dyDescent="0.25">
      <c r="A15" s="11" t="s">
        <v>34</v>
      </c>
      <c r="B15" s="11" t="s">
        <v>47</v>
      </c>
      <c r="C15" s="22">
        <f>SUMIFS('Flow2 '!$C:$C,'Flow2 '!$D:$D,Flow3!A15,'Flow2 '!E:E,Flow3!B15)</f>
        <v>44122</v>
      </c>
      <c r="D15" s="19">
        <f t="shared" si="0"/>
        <v>1764.88</v>
      </c>
    </row>
    <row r="16" spans="1:4" x14ac:dyDescent="0.25">
      <c r="A16" s="11" t="s">
        <v>34</v>
      </c>
      <c r="B16" s="11" t="s">
        <v>48</v>
      </c>
      <c r="C16" s="22">
        <f>SUMIFS('Flow2 '!$C:$C,'Flow2 '!$D:$D,Flow3!A16,'Flow2 '!E:E,Flow3!B16)</f>
        <v>436417</v>
      </c>
      <c r="D16" s="19">
        <f t="shared" si="0"/>
        <v>17456.68</v>
      </c>
    </row>
    <row r="17" spans="1:4" x14ac:dyDescent="0.25">
      <c r="A17" s="11" t="s">
        <v>34</v>
      </c>
      <c r="B17" s="11" t="s">
        <v>49</v>
      </c>
      <c r="C17" s="22">
        <f>SUMIFS('Flow2 '!$C:$C,'Flow2 '!$D:$D,Flow3!A17,'Flow2 '!E:E,Flow3!B17)</f>
        <v>32252</v>
      </c>
      <c r="D17" s="19">
        <f t="shared" si="0"/>
        <v>1290.08</v>
      </c>
    </row>
    <row r="18" spans="1:4" x14ac:dyDescent="0.25">
      <c r="A18" s="11" t="s">
        <v>34</v>
      </c>
      <c r="B18" s="11" t="s">
        <v>50</v>
      </c>
      <c r="C18" s="22">
        <f>SUMIFS('Flow2 '!$C:$C,'Flow2 '!$D:$D,Flow3!A18,'Flow2 '!E:E,Flow3!B18)</f>
        <v>146716</v>
      </c>
      <c r="D18" s="19">
        <f t="shared" si="0"/>
        <v>5868.64</v>
      </c>
    </row>
    <row r="19" spans="1:4" x14ac:dyDescent="0.25">
      <c r="A19" s="11" t="s">
        <v>34</v>
      </c>
      <c r="B19" s="11" t="s">
        <v>51</v>
      </c>
      <c r="C19" s="22">
        <f>SUMIFS('Flow2 '!$C:$C,'Flow2 '!$D:$D,Flow3!A19,'Flow2 '!E:E,Flow3!B19)</f>
        <v>12767</v>
      </c>
      <c r="D19" s="19">
        <f t="shared" si="0"/>
        <v>510.68</v>
      </c>
    </row>
    <row r="20" spans="1:4" x14ac:dyDescent="0.25">
      <c r="A20" s="11" t="s">
        <v>34</v>
      </c>
      <c r="B20" s="11" t="s">
        <v>52</v>
      </c>
      <c r="C20" s="22">
        <f>SUMIFS('Flow2 '!$C:$C,'Flow2 '!$D:$D,Flow3!A20,'Flow2 '!E:E,Flow3!B20)</f>
        <v>125851</v>
      </c>
      <c r="D20" s="19">
        <f t="shared" si="0"/>
        <v>5034.04</v>
      </c>
    </row>
    <row r="21" spans="1:4" x14ac:dyDescent="0.25">
      <c r="A21" s="11" t="s">
        <v>34</v>
      </c>
      <c r="B21" s="11" t="s">
        <v>53</v>
      </c>
      <c r="C21" s="22">
        <f>SUMIFS('Flow2 '!$C:$C,'Flow2 '!$D:$D,Flow3!A21,'Flow2 '!E:E,Flow3!B21)</f>
        <v>111482</v>
      </c>
      <c r="D21" s="19">
        <f t="shared" si="0"/>
        <v>4459.28</v>
      </c>
    </row>
    <row r="22" spans="1:4" x14ac:dyDescent="0.25">
      <c r="A22" s="11" t="s">
        <v>34</v>
      </c>
      <c r="B22" s="11" t="s">
        <v>54</v>
      </c>
      <c r="C22" s="22">
        <f>SUMIFS('Flow2 '!$C:$C,'Flow2 '!$D:$D,Flow3!A22,'Flow2 '!E:E,Flow3!B22)</f>
        <v>107767</v>
      </c>
      <c r="D22" s="19">
        <f t="shared" si="0"/>
        <v>4310.68</v>
      </c>
    </row>
    <row r="23" spans="1:4" x14ac:dyDescent="0.25">
      <c r="A23" s="11" t="s">
        <v>34</v>
      </c>
      <c r="B23" s="11" t="s">
        <v>55</v>
      </c>
      <c r="C23" s="22">
        <f>SUMIFS('Flow2 '!$C:$C,'Flow2 '!$D:$D,Flow3!A23,'Flow2 '!E:E,Flow3!B23)</f>
        <v>68602</v>
      </c>
      <c r="D23" s="19">
        <f t="shared" si="0"/>
        <v>2744.08</v>
      </c>
    </row>
    <row r="24" spans="1:4" x14ac:dyDescent="0.25">
      <c r="A24" s="11" t="s">
        <v>34</v>
      </c>
      <c r="B24" s="11" t="s">
        <v>56</v>
      </c>
      <c r="C24" s="22">
        <f>SUMIFS('Flow2 '!$C:$C,'Flow2 '!$D:$D,Flow3!A24,'Flow2 '!E:E,Flow3!B24)</f>
        <v>8020</v>
      </c>
      <c r="D24" s="19">
        <f t="shared" si="0"/>
        <v>320.8</v>
      </c>
    </row>
    <row r="25" spans="1:4" x14ac:dyDescent="0.25">
      <c r="A25" s="11" t="s">
        <v>34</v>
      </c>
      <c r="B25" s="11" t="s">
        <v>57</v>
      </c>
      <c r="C25" s="22">
        <f>SUMIFS('Flow2 '!$C:$C,'Flow2 '!$D:$D,Flow3!A25,'Flow2 '!E:E,Flow3!B25)</f>
        <v>46474</v>
      </c>
      <c r="D25" s="19">
        <f t="shared" si="0"/>
        <v>1858.96</v>
      </c>
    </row>
    <row r="26" spans="1:4" x14ac:dyDescent="0.25">
      <c r="A26" s="12" t="s">
        <v>35</v>
      </c>
      <c r="B26" s="12" t="s">
        <v>34</v>
      </c>
      <c r="C26" s="22">
        <f>SUMIFS('Flow2 '!$C:$C,'Flow2 '!$D:$D,Flow3!A26,'Flow2 '!E:E,Flow3!B26)</f>
        <v>37946.659960550751</v>
      </c>
      <c r="D26" s="19">
        <f t="shared" si="0"/>
        <v>1517.86639842203</v>
      </c>
    </row>
    <row r="27" spans="1:4" x14ac:dyDescent="0.25">
      <c r="A27" s="12" t="s">
        <v>35</v>
      </c>
      <c r="B27" s="12" t="s">
        <v>35</v>
      </c>
      <c r="C27" s="22">
        <f>SUMIFS('Flow2 '!$C:$C,'Flow2 '!$D:$D,Flow3!A27,'Flow2 '!E:E,Flow3!B27)</f>
        <v>780171.24922200199</v>
      </c>
      <c r="D27" s="19">
        <f t="shared" si="0"/>
        <v>31206.84996888008</v>
      </c>
    </row>
    <row r="28" spans="1:4" x14ac:dyDescent="0.25">
      <c r="A28" s="12" t="s">
        <v>35</v>
      </c>
      <c r="B28" s="12" t="s">
        <v>36</v>
      </c>
      <c r="C28" s="22">
        <f>SUMIFS('Flow2 '!$C:$C,'Flow2 '!$D:$D,Flow3!A28,'Flow2 '!E:E,Flow3!B28)</f>
        <v>48511.521847061929</v>
      </c>
      <c r="D28" s="19">
        <f t="shared" si="0"/>
        <v>1940.4608738824772</v>
      </c>
    </row>
    <row r="29" spans="1:4" x14ac:dyDescent="0.25">
      <c r="A29" s="12" t="s">
        <v>35</v>
      </c>
      <c r="B29" s="12" t="s">
        <v>37</v>
      </c>
      <c r="C29" s="22">
        <f>SUMIFS('Flow2 '!$C:$C,'Flow2 '!$D:$D,Flow3!A29,'Flow2 '!E:E,Flow3!B29)</f>
        <v>106102.28134611525</v>
      </c>
      <c r="D29" s="19">
        <f t="shared" si="0"/>
        <v>4244.09125384461</v>
      </c>
    </row>
    <row r="30" spans="1:4" x14ac:dyDescent="0.25">
      <c r="A30" s="12" t="s">
        <v>35</v>
      </c>
      <c r="B30" s="12" t="s">
        <v>38</v>
      </c>
      <c r="C30" s="22">
        <f>SUMIFS('Flow2 '!$C:$C,'Flow2 '!$D:$D,Flow3!A30,'Flow2 '!E:E,Flow3!B30)</f>
        <v>13685.94309006989</v>
      </c>
      <c r="D30" s="19">
        <f t="shared" si="0"/>
        <v>547.43772360279559</v>
      </c>
    </row>
    <row r="31" spans="1:4" x14ac:dyDescent="0.25">
      <c r="A31" s="12" t="s">
        <v>35</v>
      </c>
      <c r="B31" s="12" t="s">
        <v>39</v>
      </c>
      <c r="C31" s="22">
        <f>SUMIFS('Flow2 '!$C:$C,'Flow2 '!$D:$D,Flow3!A31,'Flow2 '!E:E,Flow3!B31)</f>
        <v>156293.43037226945</v>
      </c>
      <c r="D31" s="19">
        <f t="shared" si="0"/>
        <v>6251.737214890778</v>
      </c>
    </row>
    <row r="32" spans="1:4" x14ac:dyDescent="0.25">
      <c r="A32" s="12" t="s">
        <v>35</v>
      </c>
      <c r="B32" s="12" t="s">
        <v>40</v>
      </c>
      <c r="C32" s="22">
        <f>SUMIFS('Flow2 '!$C:$C,'Flow2 '!$D:$D,Flow3!A32,'Flow2 '!E:E,Flow3!B32)</f>
        <v>65893.257511376331</v>
      </c>
      <c r="D32" s="19">
        <f t="shared" si="0"/>
        <v>2635.7303004550531</v>
      </c>
    </row>
    <row r="33" spans="1:4" x14ac:dyDescent="0.25">
      <c r="A33" s="12" t="s">
        <v>35</v>
      </c>
      <c r="B33" s="12" t="s">
        <v>41</v>
      </c>
      <c r="C33" s="22">
        <f>SUMIFS('Flow2 '!$C:$C,'Flow2 '!$D:$D,Flow3!A33,'Flow2 '!E:E,Flow3!B33)</f>
        <v>150995.4947827103</v>
      </c>
      <c r="D33" s="19">
        <f t="shared" si="0"/>
        <v>6039.8197913084123</v>
      </c>
    </row>
    <row r="34" spans="1:4" x14ac:dyDescent="0.25">
      <c r="A34" s="12" t="s">
        <v>35</v>
      </c>
      <c r="B34" s="12" t="s">
        <v>42</v>
      </c>
      <c r="C34" s="22">
        <f>SUMIFS('Flow2 '!$C:$C,'Flow2 '!$D:$D,Flow3!A34,'Flow2 '!E:E,Flow3!B34)</f>
        <v>91970.763910502341</v>
      </c>
      <c r="D34" s="19">
        <f t="shared" si="0"/>
        <v>3678.8305564200937</v>
      </c>
    </row>
    <row r="35" spans="1:4" x14ac:dyDescent="0.25">
      <c r="A35" s="12" t="s">
        <v>35</v>
      </c>
      <c r="B35" s="12" t="s">
        <v>43</v>
      </c>
      <c r="C35" s="22">
        <f>SUMIFS('Flow2 '!$C:$C,'Flow2 '!$D:$D,Flow3!A35,'Flow2 '!E:E,Flow3!B35)</f>
        <v>103418.93134654987</v>
      </c>
      <c r="D35" s="19">
        <f t="shared" si="0"/>
        <v>4136.7572538619952</v>
      </c>
    </row>
    <row r="36" spans="1:4" x14ac:dyDescent="0.25">
      <c r="A36" s="12" t="s">
        <v>35</v>
      </c>
      <c r="B36" s="12" t="s">
        <v>44</v>
      </c>
      <c r="C36" s="22">
        <f>SUMIFS('Flow2 '!$C:$C,'Flow2 '!$D:$D,Flow3!A36,'Flow2 '!E:E,Flow3!B36)</f>
        <v>77225.909521219131</v>
      </c>
      <c r="D36" s="19">
        <f t="shared" si="0"/>
        <v>3089.0363808487655</v>
      </c>
    </row>
    <row r="37" spans="1:4" x14ac:dyDescent="0.25">
      <c r="A37" s="12" t="s">
        <v>35</v>
      </c>
      <c r="B37" s="12" t="s">
        <v>45</v>
      </c>
      <c r="C37" s="22">
        <f>SUMIFS('Flow2 '!$C:$C,'Flow2 '!$D:$D,Flow3!A37,'Flow2 '!E:E,Flow3!B37)</f>
        <v>298838.43755297008</v>
      </c>
      <c r="D37" s="19">
        <f t="shared" si="0"/>
        <v>11953.537502118803</v>
      </c>
    </row>
    <row r="38" spans="1:4" x14ac:dyDescent="0.25">
      <c r="A38" s="12" t="s">
        <v>35</v>
      </c>
      <c r="B38" s="12" t="s">
        <v>46</v>
      </c>
      <c r="C38" s="22">
        <f>SUMIFS('Flow2 '!$C:$C,'Flow2 '!$D:$D,Flow3!A38,'Flow2 '!E:E,Flow3!B38)</f>
        <v>367254.15351436404</v>
      </c>
      <c r="D38" s="19">
        <f t="shared" si="0"/>
        <v>14690.166140574562</v>
      </c>
    </row>
    <row r="39" spans="1:4" x14ac:dyDescent="0.25">
      <c r="A39" s="12" t="s">
        <v>35</v>
      </c>
      <c r="B39" s="12" t="s">
        <v>47</v>
      </c>
      <c r="C39" s="22">
        <f>SUMIFS('Flow2 '!$C:$C,'Flow2 '!$D:$D,Flow3!A39,'Flow2 '!E:E,Flow3!B39)</f>
        <v>32511.819353555911</v>
      </c>
      <c r="D39" s="19">
        <f t="shared" si="0"/>
        <v>1300.4727741422364</v>
      </c>
    </row>
    <row r="40" spans="1:4" x14ac:dyDescent="0.25">
      <c r="A40" s="12" t="s">
        <v>35</v>
      </c>
      <c r="B40" s="12" t="s">
        <v>48</v>
      </c>
      <c r="C40" s="22">
        <f>SUMIFS('Flow2 '!$C:$C,'Flow2 '!$D:$D,Flow3!A40,'Flow2 '!E:E,Flow3!B40)</f>
        <v>389693.90251617931</v>
      </c>
      <c r="D40" s="19">
        <f t="shared" si="0"/>
        <v>15587.756100647173</v>
      </c>
    </row>
    <row r="41" spans="1:4" x14ac:dyDescent="0.25">
      <c r="A41" s="12" t="s">
        <v>35</v>
      </c>
      <c r="B41" s="12" t="s">
        <v>49</v>
      </c>
      <c r="C41" s="22">
        <f>SUMIFS('Flow2 '!$C:$C,'Flow2 '!$D:$D,Flow3!A41,'Flow2 '!E:E,Flow3!B41)</f>
        <v>76131.224323183007</v>
      </c>
      <c r="D41" s="19">
        <f t="shared" si="0"/>
        <v>3045.2489729273202</v>
      </c>
    </row>
    <row r="42" spans="1:4" x14ac:dyDescent="0.25">
      <c r="A42" s="12" t="s">
        <v>35</v>
      </c>
      <c r="B42" s="12" t="s">
        <v>50</v>
      </c>
      <c r="C42" s="22">
        <f>SUMIFS('Flow2 '!$C:$C,'Flow2 '!$D:$D,Flow3!A42,'Flow2 '!E:E,Flow3!B42)</f>
        <v>308564.65023513138</v>
      </c>
      <c r="D42" s="19">
        <f t="shared" si="0"/>
        <v>12342.586009405255</v>
      </c>
    </row>
    <row r="43" spans="1:4" x14ac:dyDescent="0.25">
      <c r="A43" s="12" t="s">
        <v>35</v>
      </c>
      <c r="B43" s="12" t="s">
        <v>51</v>
      </c>
      <c r="C43" s="22">
        <f>SUMIFS('Flow2 '!$C:$C,'Flow2 '!$D:$D,Flow3!A43,'Flow2 '!E:E,Flow3!B43)</f>
        <v>108887.8708158458</v>
      </c>
      <c r="D43" s="19">
        <f t="shared" si="0"/>
        <v>4355.5148326338322</v>
      </c>
    </row>
    <row r="44" spans="1:4" x14ac:dyDescent="0.25">
      <c r="A44" s="12" t="s">
        <v>35</v>
      </c>
      <c r="B44" s="12" t="s">
        <v>52</v>
      </c>
      <c r="C44" s="22">
        <f>SUMIFS('Flow2 '!$C:$C,'Flow2 '!$D:$D,Flow3!A44,'Flow2 '!E:E,Flow3!B44)</f>
        <v>65717.962447102793</v>
      </c>
      <c r="D44" s="19">
        <f t="shared" si="0"/>
        <v>2628.7184978841119</v>
      </c>
    </row>
    <row r="45" spans="1:4" x14ac:dyDescent="0.25">
      <c r="A45" s="12" t="s">
        <v>35</v>
      </c>
      <c r="B45" s="12" t="s">
        <v>53</v>
      </c>
      <c r="C45" s="22">
        <f>SUMIFS('Flow2 '!$C:$C,'Flow2 '!$D:$D,Flow3!A45,'Flow2 '!E:E,Flow3!B45)</f>
        <v>104022.9516039772</v>
      </c>
      <c r="D45" s="19">
        <f t="shared" si="0"/>
        <v>4160.9180641590883</v>
      </c>
    </row>
    <row r="46" spans="1:4" x14ac:dyDescent="0.25">
      <c r="A46" s="12" t="s">
        <v>35</v>
      </c>
      <c r="B46" s="12" t="s">
        <v>54</v>
      </c>
      <c r="C46" s="22">
        <f>SUMIFS('Flow2 '!$C:$C,'Flow2 '!$D:$D,Flow3!A46,'Flow2 '!E:E,Flow3!B46)</f>
        <v>59730.881754588598</v>
      </c>
      <c r="D46" s="19">
        <f t="shared" si="0"/>
        <v>2389.2352701835439</v>
      </c>
    </row>
    <row r="47" spans="1:4" x14ac:dyDescent="0.25">
      <c r="A47" s="12" t="s">
        <v>35</v>
      </c>
      <c r="B47" s="12" t="s">
        <v>55</v>
      </c>
      <c r="C47" s="22">
        <f>SUMIFS('Flow2 '!$C:$C,'Flow2 '!$D:$D,Flow3!A47,'Flow2 '!E:E,Flow3!B47)</f>
        <v>101826.74568527784</v>
      </c>
      <c r="D47" s="19">
        <f t="shared" si="0"/>
        <v>4073.0698274111137</v>
      </c>
    </row>
    <row r="48" spans="1:4" x14ac:dyDescent="0.25">
      <c r="A48" s="12" t="s">
        <v>35</v>
      </c>
      <c r="B48" s="12" t="s">
        <v>56</v>
      </c>
      <c r="C48" s="22">
        <f>SUMIFS('Flow2 '!$C:$C,'Flow2 '!$D:$D,Flow3!A48,'Flow2 '!E:E,Flow3!B48)</f>
        <v>10283.969314874408</v>
      </c>
      <c r="D48" s="19">
        <f t="shared" si="0"/>
        <v>411.3587725949763</v>
      </c>
    </row>
    <row r="49" spans="1:4" x14ac:dyDescent="0.25">
      <c r="A49" s="12" t="s">
        <v>35</v>
      </c>
      <c r="B49" s="12" t="s">
        <v>57</v>
      </c>
      <c r="C49" s="22">
        <f>SUMIFS('Flow2 '!$C:$C,'Flow2 '!$D:$D,Flow3!A49,'Flow2 '!E:E,Flow3!B49)</f>
        <v>67556.055004831607</v>
      </c>
      <c r="D49" s="19">
        <f t="shared" si="0"/>
        <v>2702.2422001932641</v>
      </c>
    </row>
    <row r="50" spans="1:4" x14ac:dyDescent="0.25">
      <c r="A50" s="13" t="s">
        <v>36</v>
      </c>
      <c r="B50" s="13" t="s">
        <v>34</v>
      </c>
      <c r="C50" s="22">
        <f>SUMIFS('Flow2 '!$C:$C,'Flow2 '!$D:$D,Flow3!A50,'Flow2 '!E:E,Flow3!B50)</f>
        <v>22048</v>
      </c>
      <c r="D50" s="19">
        <f t="shared" si="0"/>
        <v>881.92</v>
      </c>
    </row>
    <row r="51" spans="1:4" x14ac:dyDescent="0.25">
      <c r="A51" s="13" t="s">
        <v>36</v>
      </c>
      <c r="B51" s="13" t="s">
        <v>35</v>
      </c>
      <c r="C51" s="22">
        <f>SUMIFS('Flow2 '!$C:$C,'Flow2 '!$D:$D,Flow3!A51,'Flow2 '!E:E,Flow3!B51)</f>
        <v>19222.357774057098</v>
      </c>
      <c r="D51" s="19">
        <f t="shared" si="0"/>
        <v>768.89431096228395</v>
      </c>
    </row>
    <row r="52" spans="1:4" x14ac:dyDescent="0.25">
      <c r="A52" s="13" t="s">
        <v>36</v>
      </c>
      <c r="B52" s="13" t="s">
        <v>36</v>
      </c>
      <c r="C52" s="22">
        <f>SUMIFS('Flow2 '!$C:$C,'Flow2 '!$D:$D,Flow3!A52,'Flow2 '!E:E,Flow3!B52)</f>
        <v>1502284</v>
      </c>
      <c r="D52" s="19">
        <f t="shared" si="0"/>
        <v>60091.360000000001</v>
      </c>
    </row>
    <row r="53" spans="1:4" x14ac:dyDescent="0.25">
      <c r="A53" s="13" t="s">
        <v>36</v>
      </c>
      <c r="B53" s="13" t="s">
        <v>37</v>
      </c>
      <c r="C53" s="22">
        <f>SUMIFS('Flow2 '!$C:$C,'Flow2 '!$D:$D,Flow3!A53,'Flow2 '!E:E,Flow3!B53)</f>
        <v>52385</v>
      </c>
      <c r="D53" s="19">
        <f t="shared" si="0"/>
        <v>2095.4</v>
      </c>
    </row>
    <row r="54" spans="1:4" x14ac:dyDescent="0.25">
      <c r="A54" s="13" t="s">
        <v>36</v>
      </c>
      <c r="B54" s="13" t="s">
        <v>38</v>
      </c>
      <c r="C54" s="22">
        <f>SUMIFS('Flow2 '!$C:$C,'Flow2 '!$D:$D,Flow3!A54,'Flow2 '!E:E,Flow3!B54)</f>
        <v>14395</v>
      </c>
      <c r="D54" s="19">
        <f t="shared" si="0"/>
        <v>575.79999999999995</v>
      </c>
    </row>
    <row r="55" spans="1:4" x14ac:dyDescent="0.25">
      <c r="A55" s="13" t="s">
        <v>36</v>
      </c>
      <c r="B55" s="13" t="s">
        <v>39</v>
      </c>
      <c r="C55" s="22">
        <f>SUMIFS('Flow2 '!$C:$C,'Flow2 '!$D:$D,Flow3!A55,'Flow2 '!E:E,Flow3!B55)</f>
        <v>106643</v>
      </c>
      <c r="D55" s="19">
        <f t="shared" si="0"/>
        <v>4265.72</v>
      </c>
    </row>
    <row r="56" spans="1:4" x14ac:dyDescent="0.25">
      <c r="A56" s="13" t="s">
        <v>36</v>
      </c>
      <c r="B56" s="13" t="s">
        <v>40</v>
      </c>
      <c r="C56" s="22">
        <f>SUMIFS('Flow2 '!$C:$C,'Flow2 '!$D:$D,Flow3!A56,'Flow2 '!E:E,Flow3!B56)</f>
        <v>261982</v>
      </c>
      <c r="D56" s="19">
        <f t="shared" si="0"/>
        <v>10479.280000000001</v>
      </c>
    </row>
    <row r="57" spans="1:4" x14ac:dyDescent="0.25">
      <c r="A57" s="13" t="s">
        <v>36</v>
      </c>
      <c r="B57" s="13" t="s">
        <v>41</v>
      </c>
      <c r="C57" s="22">
        <f>SUMIFS('Flow2 '!$C:$C,'Flow2 '!$D:$D,Flow3!A57,'Flow2 '!E:E,Flow3!B57)</f>
        <v>126034</v>
      </c>
      <c r="D57" s="19">
        <f t="shared" si="0"/>
        <v>5041.3599999999997</v>
      </c>
    </row>
    <row r="58" spans="1:4" x14ac:dyDescent="0.25">
      <c r="A58" s="13" t="s">
        <v>36</v>
      </c>
      <c r="B58" s="13" t="s">
        <v>42</v>
      </c>
      <c r="C58" s="22">
        <f>SUMIFS('Flow2 '!$C:$C,'Flow2 '!$D:$D,Flow3!A58,'Flow2 '!E:E,Flow3!B58)</f>
        <v>21048.642225942902</v>
      </c>
      <c r="D58" s="19">
        <f t="shared" si="0"/>
        <v>841.94568903771608</v>
      </c>
    </row>
    <row r="59" spans="1:4" x14ac:dyDescent="0.25">
      <c r="A59" s="13" t="s">
        <v>36</v>
      </c>
      <c r="B59" s="13" t="s">
        <v>43</v>
      </c>
      <c r="C59" s="22">
        <f>SUMIFS('Flow2 '!$C:$C,'Flow2 '!$D:$D,Flow3!A59,'Flow2 '!E:E,Flow3!B59)</f>
        <v>60376</v>
      </c>
      <c r="D59" s="19">
        <f t="shared" si="0"/>
        <v>2415.04</v>
      </c>
    </row>
    <row r="60" spans="1:4" x14ac:dyDescent="0.25">
      <c r="A60" s="13" t="s">
        <v>36</v>
      </c>
      <c r="B60" s="13" t="s">
        <v>44</v>
      </c>
      <c r="C60" s="22">
        <f>SUMIFS('Flow2 '!$C:$C,'Flow2 '!$D:$D,Flow3!A60,'Flow2 '!E:E,Flow3!B60)</f>
        <v>84873</v>
      </c>
      <c r="D60" s="19">
        <f t="shared" si="0"/>
        <v>3394.92</v>
      </c>
    </row>
    <row r="61" spans="1:4" x14ac:dyDescent="0.25">
      <c r="A61" s="13" t="s">
        <v>36</v>
      </c>
      <c r="B61" s="13" t="s">
        <v>45</v>
      </c>
      <c r="C61" s="22">
        <f>SUMIFS('Flow2 '!$C:$C,'Flow2 '!$D:$D,Flow3!A61,'Flow2 '!E:E,Flow3!B61)</f>
        <v>402975</v>
      </c>
      <c r="D61" s="19">
        <f t="shared" si="0"/>
        <v>16119</v>
      </c>
    </row>
    <row r="62" spans="1:4" x14ac:dyDescent="0.25">
      <c r="A62" s="13" t="s">
        <v>36</v>
      </c>
      <c r="B62" s="13" t="s">
        <v>46</v>
      </c>
      <c r="C62" s="22">
        <f>SUMIFS('Flow2 '!$C:$C,'Flow2 '!$D:$D,Flow3!A62,'Flow2 '!E:E,Flow3!B62)</f>
        <v>386004</v>
      </c>
      <c r="D62" s="19">
        <f t="shared" si="0"/>
        <v>15440.16</v>
      </c>
    </row>
    <row r="63" spans="1:4" x14ac:dyDescent="0.25">
      <c r="A63" s="13" t="s">
        <v>36</v>
      </c>
      <c r="B63" s="13" t="s">
        <v>47</v>
      </c>
      <c r="C63" s="22">
        <f>SUMIFS('Flow2 '!$C:$C,'Flow2 '!$D:$D,Flow3!A63,'Flow2 '!E:E,Flow3!B63)</f>
        <v>46922</v>
      </c>
      <c r="D63" s="19">
        <f t="shared" si="0"/>
        <v>1876.88</v>
      </c>
    </row>
    <row r="64" spans="1:4" x14ac:dyDescent="0.25">
      <c r="A64" s="13" t="s">
        <v>36</v>
      </c>
      <c r="B64" s="13" t="s">
        <v>48</v>
      </c>
      <c r="C64" s="22">
        <f>SUMIFS('Flow2 '!$C:$C,'Flow2 '!$D:$D,Flow3!A64,'Flow2 '!E:E,Flow3!B64)</f>
        <v>1133946</v>
      </c>
      <c r="D64" s="19">
        <f t="shared" si="0"/>
        <v>45357.84</v>
      </c>
    </row>
    <row r="65" spans="1:4" x14ac:dyDescent="0.25">
      <c r="A65" s="13" t="s">
        <v>36</v>
      </c>
      <c r="B65" s="13" t="s">
        <v>49</v>
      </c>
      <c r="C65" s="22">
        <f>SUMIFS('Flow2 '!$C:$C,'Flow2 '!$D:$D,Flow3!A65,'Flow2 '!E:E,Flow3!B65)</f>
        <v>27655</v>
      </c>
      <c r="D65" s="19">
        <f t="shared" si="0"/>
        <v>1106.2</v>
      </c>
    </row>
    <row r="66" spans="1:4" x14ac:dyDescent="0.25">
      <c r="A66" s="13" t="s">
        <v>36</v>
      </c>
      <c r="B66" s="13" t="s">
        <v>50</v>
      </c>
      <c r="C66" s="22">
        <f>SUMIFS('Flow2 '!$C:$C,'Flow2 '!$D:$D,Flow3!A66,'Flow2 '!E:E,Flow3!B66)</f>
        <v>129330</v>
      </c>
      <c r="D66" s="19">
        <f t="shared" si="0"/>
        <v>5173.2</v>
      </c>
    </row>
    <row r="67" spans="1:4" x14ac:dyDescent="0.25">
      <c r="A67" s="13" t="s">
        <v>36</v>
      </c>
      <c r="B67" s="13" t="s">
        <v>51</v>
      </c>
      <c r="C67" s="22">
        <f>SUMIFS('Flow2 '!$C:$C,'Flow2 '!$D:$D,Flow3!A67,'Flow2 '!E:E,Flow3!B67)</f>
        <v>7420</v>
      </c>
      <c r="D67" s="19">
        <f t="shared" ref="D67:D130" si="1">C67/25</f>
        <v>296.8</v>
      </c>
    </row>
    <row r="68" spans="1:4" x14ac:dyDescent="0.25">
      <c r="A68" s="13" t="s">
        <v>36</v>
      </c>
      <c r="B68" s="13" t="s">
        <v>52</v>
      </c>
      <c r="C68" s="22">
        <f>SUMIFS('Flow2 '!$C:$C,'Flow2 '!$D:$D,Flow3!A68,'Flow2 '!E:E,Flow3!B68)</f>
        <v>41269</v>
      </c>
      <c r="D68" s="19">
        <f t="shared" si="1"/>
        <v>1650.76</v>
      </c>
    </row>
    <row r="69" spans="1:4" x14ac:dyDescent="0.25">
      <c r="A69" s="13" t="s">
        <v>36</v>
      </c>
      <c r="B69" s="13" t="s">
        <v>53</v>
      </c>
      <c r="C69" s="22">
        <f>SUMIFS('Flow2 '!$C:$C,'Flow2 '!$D:$D,Flow3!A69,'Flow2 '!E:E,Flow3!B69)</f>
        <v>88729</v>
      </c>
      <c r="D69" s="19">
        <f t="shared" si="1"/>
        <v>3549.16</v>
      </c>
    </row>
    <row r="70" spans="1:4" x14ac:dyDescent="0.25">
      <c r="A70" s="13" t="s">
        <v>36</v>
      </c>
      <c r="B70" s="13" t="s">
        <v>54</v>
      </c>
      <c r="C70" s="22">
        <f>SUMIFS('Flow2 '!$C:$C,'Flow2 '!$D:$D,Flow3!A70,'Flow2 '!E:E,Flow3!B70)</f>
        <v>41247</v>
      </c>
      <c r="D70" s="19">
        <f t="shared" si="1"/>
        <v>1649.88</v>
      </c>
    </row>
    <row r="71" spans="1:4" x14ac:dyDescent="0.25">
      <c r="A71" s="13" t="s">
        <v>36</v>
      </c>
      <c r="B71" s="13" t="s">
        <v>55</v>
      </c>
      <c r="C71" s="22">
        <f>SUMIFS('Flow2 '!$C:$C,'Flow2 '!$D:$D,Flow3!A71,'Flow2 '!E:E,Flow3!B71)</f>
        <v>79370</v>
      </c>
      <c r="D71" s="19">
        <f t="shared" si="1"/>
        <v>3174.8</v>
      </c>
    </row>
    <row r="72" spans="1:4" x14ac:dyDescent="0.25">
      <c r="A72" s="13" t="s">
        <v>36</v>
      </c>
      <c r="B72" s="13" t="s">
        <v>56</v>
      </c>
      <c r="C72" s="22">
        <f>SUMIFS('Flow2 '!$C:$C,'Flow2 '!$D:$D,Flow3!A72,'Flow2 '!E:E,Flow3!B72)</f>
        <v>3716</v>
      </c>
      <c r="D72" s="19">
        <f t="shared" si="1"/>
        <v>148.63999999999999</v>
      </c>
    </row>
    <row r="73" spans="1:4" x14ac:dyDescent="0.25">
      <c r="A73" s="13" t="s">
        <v>36</v>
      </c>
      <c r="B73" s="13" t="s">
        <v>57</v>
      </c>
      <c r="C73" s="22">
        <f>SUMIFS('Flow2 '!$C:$C,'Flow2 '!$D:$D,Flow3!A73,'Flow2 '!E:E,Flow3!B73)</f>
        <v>30965</v>
      </c>
      <c r="D73" s="19">
        <f t="shared" si="1"/>
        <v>1238.5999999999999</v>
      </c>
    </row>
    <row r="74" spans="1:4" x14ac:dyDescent="0.25">
      <c r="A74" s="14" t="s">
        <v>37</v>
      </c>
      <c r="B74" s="14" t="s">
        <v>34</v>
      </c>
      <c r="C74" s="22">
        <f>SUMIFS('Flow2 '!$C:$C,'Flow2 '!$D:$D,Flow3!A74,'Flow2 '!E:E,Flow3!B74)</f>
        <v>71947</v>
      </c>
      <c r="D74" s="19">
        <f t="shared" si="1"/>
        <v>2877.88</v>
      </c>
    </row>
    <row r="75" spans="1:4" x14ac:dyDescent="0.25">
      <c r="A75" s="14" t="s">
        <v>37</v>
      </c>
      <c r="B75" s="14" t="s">
        <v>35</v>
      </c>
      <c r="C75" s="22">
        <f>SUMIFS('Flow2 '!$C:$C,'Flow2 '!$D:$D,Flow3!A75,'Flow2 '!E:E,Flow3!B75)</f>
        <v>70933.742691558684</v>
      </c>
      <c r="D75" s="19">
        <f t="shared" si="1"/>
        <v>2837.3497076623476</v>
      </c>
    </row>
    <row r="76" spans="1:4" x14ac:dyDescent="0.25">
      <c r="A76" s="14" t="s">
        <v>37</v>
      </c>
      <c r="B76" s="14" t="s">
        <v>36</v>
      </c>
      <c r="C76" s="22">
        <f>SUMIFS('Flow2 '!$C:$C,'Flow2 '!$D:$D,Flow3!A76,'Flow2 '!E:E,Flow3!B76)</f>
        <v>58516</v>
      </c>
      <c r="D76" s="19">
        <f t="shared" si="1"/>
        <v>2340.64</v>
      </c>
    </row>
    <row r="77" spans="1:4" x14ac:dyDescent="0.25">
      <c r="A77" s="14" t="s">
        <v>37</v>
      </c>
      <c r="B77" s="14" t="s">
        <v>37</v>
      </c>
      <c r="C77" s="22">
        <f>SUMIFS('Flow2 '!$C:$C,'Flow2 '!$D:$D,Flow3!A77,'Flow2 '!E:E,Flow3!B77)</f>
        <v>738186</v>
      </c>
      <c r="D77" s="19">
        <f t="shared" si="1"/>
        <v>29527.439999999999</v>
      </c>
    </row>
    <row r="78" spans="1:4" x14ac:dyDescent="0.25">
      <c r="A78" s="14" t="s">
        <v>37</v>
      </c>
      <c r="B78" s="14" t="s">
        <v>38</v>
      </c>
      <c r="C78" s="22">
        <f>SUMIFS('Flow2 '!$C:$C,'Flow2 '!$D:$D,Flow3!A78,'Flow2 '!E:E,Flow3!B78)</f>
        <v>33671</v>
      </c>
      <c r="D78" s="19">
        <f t="shared" si="1"/>
        <v>1346.84</v>
      </c>
    </row>
    <row r="79" spans="1:4" x14ac:dyDescent="0.25">
      <c r="A79" s="14" t="s">
        <v>37</v>
      </c>
      <c r="B79" s="14" t="s">
        <v>39</v>
      </c>
      <c r="C79" s="22">
        <f>SUMIFS('Flow2 '!$C:$C,'Flow2 '!$D:$D,Flow3!A79,'Flow2 '!E:E,Flow3!B79)</f>
        <v>197442</v>
      </c>
      <c r="D79" s="19">
        <f t="shared" si="1"/>
        <v>7897.68</v>
      </c>
    </row>
    <row r="80" spans="1:4" x14ac:dyDescent="0.25">
      <c r="A80" s="14" t="s">
        <v>37</v>
      </c>
      <c r="B80" s="14" t="s">
        <v>40</v>
      </c>
      <c r="C80" s="22">
        <f>SUMIFS('Flow2 '!$C:$C,'Flow2 '!$D:$D,Flow3!A80,'Flow2 '!E:E,Flow3!B80)</f>
        <v>75595</v>
      </c>
      <c r="D80" s="19">
        <f t="shared" si="1"/>
        <v>3023.8</v>
      </c>
    </row>
    <row r="81" spans="1:4" x14ac:dyDescent="0.25">
      <c r="A81" s="14" t="s">
        <v>37</v>
      </c>
      <c r="B81" s="14" t="s">
        <v>41</v>
      </c>
      <c r="C81" s="22">
        <f>SUMIFS('Flow2 '!$C:$C,'Flow2 '!$D:$D,Flow3!A81,'Flow2 '!E:E,Flow3!B81)</f>
        <v>392480</v>
      </c>
      <c r="D81" s="19">
        <f t="shared" si="1"/>
        <v>15699.2</v>
      </c>
    </row>
    <row r="82" spans="1:4" x14ac:dyDescent="0.25">
      <c r="A82" s="14" t="s">
        <v>37</v>
      </c>
      <c r="B82" s="14" t="s">
        <v>42</v>
      </c>
      <c r="C82" s="22">
        <f>SUMIFS('Flow2 '!$C:$C,'Flow2 '!$D:$D,Flow3!A82,'Flow2 '!E:E,Flow3!B82)</f>
        <v>62604.257308441331</v>
      </c>
      <c r="D82" s="19">
        <f t="shared" si="1"/>
        <v>2504.1702923376533</v>
      </c>
    </row>
    <row r="83" spans="1:4" x14ac:dyDescent="0.25">
      <c r="A83" s="14" t="s">
        <v>37</v>
      </c>
      <c r="B83" s="14" t="s">
        <v>43</v>
      </c>
      <c r="C83" s="22">
        <f>SUMIFS('Flow2 '!$C:$C,'Flow2 '!$D:$D,Flow3!A83,'Flow2 '!E:E,Flow3!B83)</f>
        <v>309685</v>
      </c>
      <c r="D83" s="19">
        <f t="shared" si="1"/>
        <v>12387.4</v>
      </c>
    </row>
    <row r="84" spans="1:4" x14ac:dyDescent="0.25">
      <c r="A84" s="14" t="s">
        <v>37</v>
      </c>
      <c r="B84" s="14" t="s">
        <v>44</v>
      </c>
      <c r="C84" s="22">
        <f>SUMIFS('Flow2 '!$C:$C,'Flow2 '!$D:$D,Flow3!A84,'Flow2 '!E:E,Flow3!B84)</f>
        <v>127142</v>
      </c>
      <c r="D84" s="19">
        <f t="shared" si="1"/>
        <v>5085.68</v>
      </c>
    </row>
    <row r="85" spans="1:4" x14ac:dyDescent="0.25">
      <c r="A85" s="14" t="s">
        <v>37</v>
      </c>
      <c r="B85" s="14" t="s">
        <v>45</v>
      </c>
      <c r="C85" s="22">
        <f>SUMIFS('Flow2 '!$C:$C,'Flow2 '!$D:$D,Flow3!A85,'Flow2 '!E:E,Flow3!B85)</f>
        <v>414437</v>
      </c>
      <c r="D85" s="19">
        <f t="shared" si="1"/>
        <v>16577.48</v>
      </c>
    </row>
    <row r="86" spans="1:4" x14ac:dyDescent="0.25">
      <c r="A86" s="14" t="s">
        <v>37</v>
      </c>
      <c r="B86" s="14" t="s">
        <v>46</v>
      </c>
      <c r="C86" s="22">
        <f>SUMIFS('Flow2 '!$C:$C,'Flow2 '!$D:$D,Flow3!A86,'Flow2 '!E:E,Flow3!B86)</f>
        <v>570306</v>
      </c>
      <c r="D86" s="19">
        <f t="shared" si="1"/>
        <v>22812.240000000002</v>
      </c>
    </row>
    <row r="87" spans="1:4" x14ac:dyDescent="0.25">
      <c r="A87" s="14" t="s">
        <v>37</v>
      </c>
      <c r="B87" s="14" t="s">
        <v>47</v>
      </c>
      <c r="C87" s="22">
        <f>SUMIFS('Flow2 '!$C:$C,'Flow2 '!$D:$D,Flow3!A87,'Flow2 '!E:E,Flow3!B87)</f>
        <v>44484</v>
      </c>
      <c r="D87" s="19">
        <f t="shared" si="1"/>
        <v>1779.36</v>
      </c>
    </row>
    <row r="88" spans="1:4" x14ac:dyDescent="0.25">
      <c r="A88" s="14" t="s">
        <v>37</v>
      </c>
      <c r="B88" s="14" t="s">
        <v>48</v>
      </c>
      <c r="C88" s="22">
        <f>SUMIFS('Flow2 '!$C:$C,'Flow2 '!$D:$D,Flow3!A88,'Flow2 '!E:E,Flow3!B88)</f>
        <v>506770</v>
      </c>
      <c r="D88" s="19">
        <f t="shared" si="1"/>
        <v>20270.8</v>
      </c>
    </row>
    <row r="89" spans="1:4" x14ac:dyDescent="0.25">
      <c r="A89" s="14" t="s">
        <v>37</v>
      </c>
      <c r="B89" s="14" t="s">
        <v>49</v>
      </c>
      <c r="C89" s="22">
        <f>SUMIFS('Flow2 '!$C:$C,'Flow2 '!$D:$D,Flow3!A89,'Flow2 '!E:E,Flow3!B89)</f>
        <v>66789</v>
      </c>
      <c r="D89" s="19">
        <f t="shared" si="1"/>
        <v>2671.56</v>
      </c>
    </row>
    <row r="90" spans="1:4" x14ac:dyDescent="0.25">
      <c r="A90" s="14" t="s">
        <v>37</v>
      </c>
      <c r="B90" s="14" t="s">
        <v>50</v>
      </c>
      <c r="C90" s="22">
        <f>SUMIFS('Flow2 '!$C:$C,'Flow2 '!$D:$D,Flow3!A90,'Flow2 '!E:E,Flow3!B90)</f>
        <v>222463</v>
      </c>
      <c r="D90" s="19">
        <f t="shared" si="1"/>
        <v>8898.52</v>
      </c>
    </row>
    <row r="91" spans="1:4" x14ac:dyDescent="0.25">
      <c r="A91" s="14" t="s">
        <v>37</v>
      </c>
      <c r="B91" s="14" t="s">
        <v>51</v>
      </c>
      <c r="C91" s="22">
        <f>SUMIFS('Flow2 '!$C:$C,'Flow2 '!$D:$D,Flow3!A91,'Flow2 '!E:E,Flow3!B91)</f>
        <v>22527</v>
      </c>
      <c r="D91" s="19">
        <f t="shared" si="1"/>
        <v>901.08</v>
      </c>
    </row>
    <row r="92" spans="1:4" x14ac:dyDescent="0.25">
      <c r="A92" s="14" t="s">
        <v>37</v>
      </c>
      <c r="B92" s="14" t="s">
        <v>52</v>
      </c>
      <c r="C92" s="22">
        <f>SUMIFS('Flow2 '!$C:$C,'Flow2 '!$D:$D,Flow3!A92,'Flow2 '!E:E,Flow3!B92)</f>
        <v>129005</v>
      </c>
      <c r="D92" s="19">
        <f t="shared" si="1"/>
        <v>5160.2</v>
      </c>
    </row>
    <row r="93" spans="1:4" x14ac:dyDescent="0.25">
      <c r="A93" s="14" t="s">
        <v>37</v>
      </c>
      <c r="B93" s="14" t="s">
        <v>53</v>
      </c>
      <c r="C93" s="22">
        <f>SUMIFS('Flow2 '!$C:$C,'Flow2 '!$D:$D,Flow3!A93,'Flow2 '!E:E,Flow3!B93)</f>
        <v>98274</v>
      </c>
      <c r="D93" s="19">
        <f t="shared" si="1"/>
        <v>3930.96</v>
      </c>
    </row>
    <row r="94" spans="1:4" x14ac:dyDescent="0.25">
      <c r="A94" s="14" t="s">
        <v>37</v>
      </c>
      <c r="B94" s="14" t="s">
        <v>54</v>
      </c>
      <c r="C94" s="22">
        <f>SUMIFS('Flow2 '!$C:$C,'Flow2 '!$D:$D,Flow3!A94,'Flow2 '!E:E,Flow3!B94)</f>
        <v>71150</v>
      </c>
      <c r="D94" s="19">
        <f t="shared" si="1"/>
        <v>2846</v>
      </c>
    </row>
    <row r="95" spans="1:4" x14ac:dyDescent="0.25">
      <c r="A95" s="14" t="s">
        <v>37</v>
      </c>
      <c r="B95" s="14" t="s">
        <v>55</v>
      </c>
      <c r="C95" s="22">
        <f>SUMIFS('Flow2 '!$C:$C,'Flow2 '!$D:$D,Flow3!A95,'Flow2 '!E:E,Flow3!B95)</f>
        <v>125886</v>
      </c>
      <c r="D95" s="19">
        <f t="shared" si="1"/>
        <v>5035.4399999999996</v>
      </c>
    </row>
    <row r="96" spans="1:4" x14ac:dyDescent="0.25">
      <c r="A96" s="14" t="s">
        <v>37</v>
      </c>
      <c r="B96" s="14" t="s">
        <v>56</v>
      </c>
      <c r="C96" s="22">
        <f>SUMIFS('Flow2 '!$C:$C,'Flow2 '!$D:$D,Flow3!A96,'Flow2 '!E:E,Flow3!B96)</f>
        <v>6720</v>
      </c>
      <c r="D96" s="19">
        <f t="shared" si="1"/>
        <v>268.8</v>
      </c>
    </row>
    <row r="97" spans="1:4" x14ac:dyDescent="0.25">
      <c r="A97" s="14" t="s">
        <v>37</v>
      </c>
      <c r="B97" s="14" t="s">
        <v>57</v>
      </c>
      <c r="C97" s="22">
        <f>SUMIFS('Flow2 '!$C:$C,'Flow2 '!$D:$D,Flow3!A97,'Flow2 '!E:E,Flow3!B97)</f>
        <v>48909</v>
      </c>
      <c r="D97" s="19">
        <f t="shared" si="1"/>
        <v>1956.36</v>
      </c>
    </row>
    <row r="98" spans="1:4" x14ac:dyDescent="0.25">
      <c r="A98" s="15" t="s">
        <v>38</v>
      </c>
      <c r="B98" s="15" t="s">
        <v>34</v>
      </c>
      <c r="C98" s="22">
        <f>SUMIFS('Flow2 '!$C:$C,'Flow2 '!$D:$D,Flow3!A98,'Flow2 '!E:E,Flow3!B98)</f>
        <v>47914</v>
      </c>
      <c r="D98" s="19">
        <f t="shared" si="1"/>
        <v>1916.56</v>
      </c>
    </row>
    <row r="99" spans="1:4" x14ac:dyDescent="0.25">
      <c r="A99" s="15" t="s">
        <v>38</v>
      </c>
      <c r="B99" s="15" t="s">
        <v>35</v>
      </c>
      <c r="C99" s="22">
        <f>SUMIFS('Flow2 '!$C:$C,'Flow2 '!$D:$D,Flow3!A99,'Flow2 '!E:E,Flow3!B99)</f>
        <v>11342.033186159013</v>
      </c>
      <c r="D99" s="19">
        <f t="shared" si="1"/>
        <v>453.68132744636051</v>
      </c>
    </row>
    <row r="100" spans="1:4" x14ac:dyDescent="0.25">
      <c r="A100" s="15" t="s">
        <v>38</v>
      </c>
      <c r="B100" s="15" t="s">
        <v>36</v>
      </c>
      <c r="C100" s="22">
        <f>SUMIFS('Flow2 '!$C:$C,'Flow2 '!$D:$D,Flow3!A100,'Flow2 '!E:E,Flow3!B100)</f>
        <v>20527</v>
      </c>
      <c r="D100" s="19">
        <f t="shared" si="1"/>
        <v>821.08</v>
      </c>
    </row>
    <row r="101" spans="1:4" x14ac:dyDescent="0.25">
      <c r="A101" s="15" t="s">
        <v>38</v>
      </c>
      <c r="B101" s="15" t="s">
        <v>37</v>
      </c>
      <c r="C101" s="22">
        <f>SUMIFS('Flow2 '!$C:$C,'Flow2 '!$D:$D,Flow3!A101,'Flow2 '!E:E,Flow3!B101)</f>
        <v>96740</v>
      </c>
      <c r="D101" s="19">
        <f t="shared" si="1"/>
        <v>3869.6</v>
      </c>
    </row>
    <row r="102" spans="1:4" x14ac:dyDescent="0.25">
      <c r="A102" s="15" t="s">
        <v>38</v>
      </c>
      <c r="B102" s="15" t="s">
        <v>38</v>
      </c>
      <c r="C102" s="22">
        <f>SUMIFS('Flow2 '!$C:$C,'Flow2 '!$D:$D,Flow3!A102,'Flow2 '!E:E,Flow3!B102)</f>
        <v>540138</v>
      </c>
      <c r="D102" s="19">
        <f t="shared" si="1"/>
        <v>21605.52</v>
      </c>
    </row>
    <row r="103" spans="1:4" x14ac:dyDescent="0.25">
      <c r="A103" s="15" t="s">
        <v>38</v>
      </c>
      <c r="B103" s="15" t="s">
        <v>39</v>
      </c>
      <c r="C103" s="22">
        <f>SUMIFS('Flow2 '!$C:$C,'Flow2 '!$D:$D,Flow3!A103,'Flow2 '!E:E,Flow3!B103)</f>
        <v>135014</v>
      </c>
      <c r="D103" s="19">
        <f t="shared" si="1"/>
        <v>5400.56</v>
      </c>
    </row>
    <row r="104" spans="1:4" x14ac:dyDescent="0.25">
      <c r="A104" s="15" t="s">
        <v>38</v>
      </c>
      <c r="B104" s="15" t="s">
        <v>40</v>
      </c>
      <c r="C104" s="22">
        <f>SUMIFS('Flow2 '!$C:$C,'Flow2 '!$D:$D,Flow3!A104,'Flow2 '!E:E,Flow3!B104)</f>
        <v>24438</v>
      </c>
      <c r="D104" s="19">
        <f t="shared" si="1"/>
        <v>977.52</v>
      </c>
    </row>
    <row r="105" spans="1:4" x14ac:dyDescent="0.25">
      <c r="A105" s="15" t="s">
        <v>38</v>
      </c>
      <c r="B105" s="15" t="s">
        <v>41</v>
      </c>
      <c r="C105" s="22">
        <f>SUMIFS('Flow2 '!$C:$C,'Flow2 '!$D:$D,Flow3!A105,'Flow2 '!E:E,Flow3!B105)</f>
        <v>509109</v>
      </c>
      <c r="D105" s="19">
        <f t="shared" si="1"/>
        <v>20364.36</v>
      </c>
    </row>
    <row r="106" spans="1:4" x14ac:dyDescent="0.25">
      <c r="A106" s="15" t="s">
        <v>38</v>
      </c>
      <c r="B106" s="15" t="s">
        <v>42</v>
      </c>
      <c r="C106" s="22">
        <f>SUMIFS('Flow2 '!$C:$C,'Flow2 '!$D:$D,Flow3!A106,'Flow2 '!E:E,Flow3!B106)</f>
        <v>29779.966813840991</v>
      </c>
      <c r="D106" s="19">
        <f t="shared" si="1"/>
        <v>1191.1986725536397</v>
      </c>
    </row>
    <row r="107" spans="1:4" x14ac:dyDescent="0.25">
      <c r="A107" s="15" t="s">
        <v>38</v>
      </c>
      <c r="B107" s="15" t="s">
        <v>43</v>
      </c>
      <c r="C107" s="22">
        <f>SUMIFS('Flow2 '!$C:$C,'Flow2 '!$D:$D,Flow3!A107,'Flow2 '!E:E,Flow3!B107)</f>
        <v>147788</v>
      </c>
      <c r="D107" s="19">
        <f t="shared" si="1"/>
        <v>5911.52</v>
      </c>
    </row>
    <row r="108" spans="1:4" x14ac:dyDescent="0.25">
      <c r="A108" s="15" t="s">
        <v>38</v>
      </c>
      <c r="B108" s="15" t="s">
        <v>44</v>
      </c>
      <c r="C108" s="22">
        <f>SUMIFS('Flow2 '!$C:$C,'Flow2 '!$D:$D,Flow3!A108,'Flow2 '!E:E,Flow3!B108)</f>
        <v>94841</v>
      </c>
      <c r="D108" s="19">
        <f t="shared" si="1"/>
        <v>3793.64</v>
      </c>
    </row>
    <row r="109" spans="1:4" x14ac:dyDescent="0.25">
      <c r="A109" s="15" t="s">
        <v>38</v>
      </c>
      <c r="B109" s="15" t="s">
        <v>45</v>
      </c>
      <c r="C109" s="22">
        <f>SUMIFS('Flow2 '!$C:$C,'Flow2 '!$D:$D,Flow3!A109,'Flow2 '!E:E,Flow3!B109)</f>
        <v>233122</v>
      </c>
      <c r="D109" s="19">
        <f t="shared" si="1"/>
        <v>9324.8799999999992</v>
      </c>
    </row>
    <row r="110" spans="1:4" x14ac:dyDescent="0.25">
      <c r="A110" s="15" t="s">
        <v>38</v>
      </c>
      <c r="B110" s="15" t="s">
        <v>46</v>
      </c>
      <c r="C110" s="22">
        <f>SUMIFS('Flow2 '!$C:$C,'Flow2 '!$D:$D,Flow3!A110,'Flow2 '!E:E,Flow3!B110)</f>
        <v>424879</v>
      </c>
      <c r="D110" s="19">
        <f t="shared" si="1"/>
        <v>16995.16</v>
      </c>
    </row>
    <row r="111" spans="1:4" x14ac:dyDescent="0.25">
      <c r="A111" s="15" t="s">
        <v>38</v>
      </c>
      <c r="B111" s="15" t="s">
        <v>47</v>
      </c>
      <c r="C111" s="22">
        <f>SUMIFS('Flow2 '!$C:$C,'Flow2 '!$D:$D,Flow3!A111,'Flow2 '!E:E,Flow3!B111)</f>
        <v>24467</v>
      </c>
      <c r="D111" s="19">
        <f t="shared" si="1"/>
        <v>978.68</v>
      </c>
    </row>
    <row r="112" spans="1:4" x14ac:dyDescent="0.25">
      <c r="A112" s="15" t="s">
        <v>38</v>
      </c>
      <c r="B112" s="15" t="s">
        <v>48</v>
      </c>
      <c r="C112" s="22">
        <f>SUMIFS('Flow2 '!$C:$C,'Flow2 '!$D:$D,Flow3!A112,'Flow2 '!E:E,Flow3!B112)</f>
        <v>206775</v>
      </c>
      <c r="D112" s="19">
        <f t="shared" si="1"/>
        <v>8271</v>
      </c>
    </row>
    <row r="113" spans="1:4" x14ac:dyDescent="0.25">
      <c r="A113" s="15" t="s">
        <v>38</v>
      </c>
      <c r="B113" s="15" t="s">
        <v>49</v>
      </c>
      <c r="C113" s="22">
        <f>SUMIFS('Flow2 '!$C:$C,'Flow2 '!$D:$D,Flow3!A113,'Flow2 '!E:E,Flow3!B113)</f>
        <v>11519</v>
      </c>
      <c r="D113" s="19">
        <f t="shared" si="1"/>
        <v>460.76</v>
      </c>
    </row>
    <row r="114" spans="1:4" x14ac:dyDescent="0.25">
      <c r="A114" s="15" t="s">
        <v>38</v>
      </c>
      <c r="B114" s="15" t="s">
        <v>50</v>
      </c>
      <c r="C114" s="22">
        <f>SUMIFS('Flow2 '!$C:$C,'Flow2 '!$D:$D,Flow3!A114,'Flow2 '!E:E,Flow3!B114)</f>
        <v>50132</v>
      </c>
      <c r="D114" s="19">
        <f t="shared" si="1"/>
        <v>2005.28</v>
      </c>
    </row>
    <row r="115" spans="1:4" x14ac:dyDescent="0.25">
      <c r="A115" s="15" t="s">
        <v>38</v>
      </c>
      <c r="B115" s="15" t="s">
        <v>51</v>
      </c>
      <c r="C115" s="22">
        <f>SUMIFS('Flow2 '!$C:$C,'Flow2 '!$D:$D,Flow3!A115,'Flow2 '!E:E,Flow3!B115)</f>
        <v>4097</v>
      </c>
      <c r="D115" s="19">
        <f t="shared" si="1"/>
        <v>163.88</v>
      </c>
    </row>
    <row r="116" spans="1:4" x14ac:dyDescent="0.25">
      <c r="A116" s="15" t="s">
        <v>38</v>
      </c>
      <c r="B116" s="15" t="s">
        <v>52</v>
      </c>
      <c r="C116" s="22">
        <f>SUMIFS('Flow2 '!$C:$C,'Flow2 '!$D:$D,Flow3!A116,'Flow2 '!E:E,Flow3!B116)</f>
        <v>104784</v>
      </c>
      <c r="D116" s="19">
        <f t="shared" si="1"/>
        <v>4191.3599999999997</v>
      </c>
    </row>
    <row r="117" spans="1:4" x14ac:dyDescent="0.25">
      <c r="A117" s="15" t="s">
        <v>38</v>
      </c>
      <c r="B117" s="15" t="s">
        <v>53</v>
      </c>
      <c r="C117" s="22">
        <f>SUMIFS('Flow2 '!$C:$C,'Flow2 '!$D:$D,Flow3!A117,'Flow2 '!E:E,Flow3!B117)</f>
        <v>41628</v>
      </c>
      <c r="D117" s="19">
        <f t="shared" si="1"/>
        <v>1665.12</v>
      </c>
    </row>
    <row r="118" spans="1:4" x14ac:dyDescent="0.25">
      <c r="A118" s="15" t="s">
        <v>38</v>
      </c>
      <c r="B118" s="15" t="s">
        <v>54</v>
      </c>
      <c r="C118" s="22">
        <f>SUMIFS('Flow2 '!$C:$C,'Flow2 '!$D:$D,Flow3!A118,'Flow2 '!E:E,Flow3!B118)</f>
        <v>41581</v>
      </c>
      <c r="D118" s="19">
        <f t="shared" si="1"/>
        <v>1663.24</v>
      </c>
    </row>
    <row r="119" spans="1:4" x14ac:dyDescent="0.25">
      <c r="A119" s="15" t="s">
        <v>38</v>
      </c>
      <c r="B119" s="15" t="s">
        <v>55</v>
      </c>
      <c r="C119" s="22">
        <f>SUMIFS('Flow2 '!$C:$C,'Flow2 '!$D:$D,Flow3!A119,'Flow2 '!E:E,Flow3!B119)</f>
        <v>27076</v>
      </c>
      <c r="D119" s="19">
        <f t="shared" si="1"/>
        <v>1083.04</v>
      </c>
    </row>
    <row r="120" spans="1:4" x14ac:dyDescent="0.25">
      <c r="A120" s="15" t="s">
        <v>38</v>
      </c>
      <c r="B120" s="15" t="s">
        <v>56</v>
      </c>
      <c r="C120" s="22">
        <f>SUMIFS('Flow2 '!$C:$C,'Flow2 '!$D:$D,Flow3!A120,'Flow2 '!E:E,Flow3!B120)</f>
        <v>2676</v>
      </c>
      <c r="D120" s="19">
        <f t="shared" si="1"/>
        <v>107.04</v>
      </c>
    </row>
    <row r="121" spans="1:4" x14ac:dyDescent="0.25">
      <c r="A121" s="15" t="s">
        <v>38</v>
      </c>
      <c r="B121" s="15" t="s">
        <v>57</v>
      </c>
      <c r="C121" s="22">
        <f>SUMIFS('Flow2 '!$C:$C,'Flow2 '!$D:$D,Flow3!A121,'Flow2 '!E:E,Flow3!B121)</f>
        <v>24678</v>
      </c>
      <c r="D121" s="19">
        <f t="shared" si="1"/>
        <v>987.12</v>
      </c>
    </row>
    <row r="122" spans="1:4" x14ac:dyDescent="0.25">
      <c r="A122" s="16" t="s">
        <v>39</v>
      </c>
      <c r="B122" s="16" t="s">
        <v>34</v>
      </c>
      <c r="C122" s="22">
        <f>SUMIFS('Flow2 '!$C:$C,'Flow2 '!$D:$D,Flow3!A122,'Flow2 '!E:E,Flow3!B122)</f>
        <v>58365</v>
      </c>
      <c r="D122" s="19">
        <f t="shared" si="1"/>
        <v>2334.6</v>
      </c>
    </row>
    <row r="123" spans="1:4" x14ac:dyDescent="0.25">
      <c r="A123" s="16" t="s">
        <v>39</v>
      </c>
      <c r="B123" s="16" t="s">
        <v>35</v>
      </c>
      <c r="C123" s="22">
        <f>SUMIFS('Flow2 '!$C:$C,'Flow2 '!$D:$D,Flow3!A123,'Flow2 '!E:E,Flow3!B123)</f>
        <v>57134.13965059552</v>
      </c>
      <c r="D123" s="19">
        <f t="shared" si="1"/>
        <v>2285.3655860238209</v>
      </c>
    </row>
    <row r="124" spans="1:4" x14ac:dyDescent="0.25">
      <c r="A124" s="16" t="s">
        <v>39</v>
      </c>
      <c r="B124" s="16" t="s">
        <v>36</v>
      </c>
      <c r="C124" s="22">
        <f>SUMIFS('Flow2 '!$C:$C,'Flow2 '!$D:$D,Flow3!A124,'Flow2 '!E:E,Flow3!B124)</f>
        <v>54833</v>
      </c>
      <c r="D124" s="19">
        <f t="shared" si="1"/>
        <v>2193.3200000000002</v>
      </c>
    </row>
    <row r="125" spans="1:4" x14ac:dyDescent="0.25">
      <c r="A125" s="16" t="s">
        <v>39</v>
      </c>
      <c r="B125" s="16" t="s">
        <v>37</v>
      </c>
      <c r="C125" s="22">
        <f>SUMIFS('Flow2 '!$C:$C,'Flow2 '!$D:$D,Flow3!A125,'Flow2 '!E:E,Flow3!B125)</f>
        <v>256014</v>
      </c>
      <c r="D125" s="19">
        <f t="shared" si="1"/>
        <v>10240.56</v>
      </c>
    </row>
    <row r="126" spans="1:4" x14ac:dyDescent="0.25">
      <c r="A126" s="16" t="s">
        <v>39</v>
      </c>
      <c r="B126" s="16" t="s">
        <v>38</v>
      </c>
      <c r="C126" s="22">
        <f>SUMIFS('Flow2 '!$C:$C,'Flow2 '!$D:$D,Flow3!A126,'Flow2 '!E:E,Flow3!B126)</f>
        <v>67339</v>
      </c>
      <c r="D126" s="19">
        <f t="shared" si="1"/>
        <v>2693.56</v>
      </c>
    </row>
    <row r="127" spans="1:4" x14ac:dyDescent="0.25">
      <c r="A127" s="16" t="s">
        <v>39</v>
      </c>
      <c r="B127" s="16" t="s">
        <v>39</v>
      </c>
      <c r="C127" s="22">
        <f>SUMIFS('Flow2 '!$C:$C,'Flow2 '!$D:$D,Flow3!A127,'Flow2 '!E:E,Flow3!B127)</f>
        <v>3852634</v>
      </c>
      <c r="D127" s="19">
        <f t="shared" si="1"/>
        <v>154105.35999999999</v>
      </c>
    </row>
    <row r="128" spans="1:4" x14ac:dyDescent="0.25">
      <c r="A128" s="16" t="s">
        <v>39</v>
      </c>
      <c r="B128" s="16" t="s">
        <v>40</v>
      </c>
      <c r="C128" s="22">
        <f>SUMIFS('Flow2 '!$C:$C,'Flow2 '!$D:$D,Flow3!A128,'Flow2 '!E:E,Flow3!B128)</f>
        <v>63383</v>
      </c>
      <c r="D128" s="19">
        <f t="shared" si="1"/>
        <v>2535.3200000000002</v>
      </c>
    </row>
    <row r="129" spans="1:4" x14ac:dyDescent="0.25">
      <c r="A129" s="16" t="s">
        <v>39</v>
      </c>
      <c r="B129" s="16" t="s">
        <v>41</v>
      </c>
      <c r="C129" s="22">
        <f>SUMIFS('Flow2 '!$C:$C,'Flow2 '!$D:$D,Flow3!A129,'Flow2 '!E:E,Flow3!B129)</f>
        <v>831821</v>
      </c>
      <c r="D129" s="19">
        <f t="shared" si="1"/>
        <v>33272.839999999997</v>
      </c>
    </row>
    <row r="130" spans="1:4" x14ac:dyDescent="0.25">
      <c r="A130" s="16" t="s">
        <v>39</v>
      </c>
      <c r="B130" s="16" t="s">
        <v>42</v>
      </c>
      <c r="C130" s="22">
        <f>SUMIFS('Flow2 '!$C:$C,'Flow2 '!$D:$D,Flow3!A130,'Flow2 '!E:E,Flow3!B130)</f>
        <v>56221.860349404495</v>
      </c>
      <c r="D130" s="19">
        <f t="shared" si="1"/>
        <v>2248.8744139761798</v>
      </c>
    </row>
    <row r="131" spans="1:4" x14ac:dyDescent="0.25">
      <c r="A131" s="16" t="s">
        <v>39</v>
      </c>
      <c r="B131" s="16" t="s">
        <v>43</v>
      </c>
      <c r="C131" s="22">
        <f>SUMIFS('Flow2 '!$C:$C,'Flow2 '!$D:$D,Flow3!A131,'Flow2 '!E:E,Flow3!B131)</f>
        <v>166644</v>
      </c>
      <c r="D131" s="19">
        <f t="shared" ref="D131:D194" si="2">C131/25</f>
        <v>6665.76</v>
      </c>
    </row>
    <row r="132" spans="1:4" x14ac:dyDescent="0.25">
      <c r="A132" s="16" t="s">
        <v>39</v>
      </c>
      <c r="B132" s="16" t="s">
        <v>44</v>
      </c>
      <c r="C132" s="22">
        <f>SUMIFS('Flow2 '!$C:$C,'Flow2 '!$D:$D,Flow3!A132,'Flow2 '!E:E,Flow3!B132)</f>
        <v>1600854</v>
      </c>
      <c r="D132" s="19">
        <f t="shared" si="2"/>
        <v>64034.16</v>
      </c>
    </row>
    <row r="133" spans="1:4" x14ac:dyDescent="0.25">
      <c r="A133" s="16" t="s">
        <v>39</v>
      </c>
      <c r="B133" s="16" t="s">
        <v>45</v>
      </c>
      <c r="C133" s="22">
        <f>SUMIFS('Flow2 '!$C:$C,'Flow2 '!$D:$D,Flow3!A133,'Flow2 '!E:E,Flow3!B133)</f>
        <v>778905</v>
      </c>
      <c r="D133" s="19">
        <f t="shared" si="2"/>
        <v>31156.2</v>
      </c>
    </row>
    <row r="134" spans="1:4" x14ac:dyDescent="0.25">
      <c r="A134" s="16" t="s">
        <v>39</v>
      </c>
      <c r="B134" s="16" t="s">
        <v>46</v>
      </c>
      <c r="C134" s="22">
        <f>SUMIFS('Flow2 '!$C:$C,'Flow2 '!$D:$D,Flow3!A134,'Flow2 '!E:E,Flow3!B134)</f>
        <v>3514744</v>
      </c>
      <c r="D134" s="19">
        <f t="shared" si="2"/>
        <v>140589.76000000001</v>
      </c>
    </row>
    <row r="135" spans="1:4" x14ac:dyDescent="0.25">
      <c r="A135" s="16" t="s">
        <v>39</v>
      </c>
      <c r="B135" s="16" t="s">
        <v>47</v>
      </c>
      <c r="C135" s="22">
        <f>SUMIFS('Flow2 '!$C:$C,'Flow2 '!$D:$D,Flow3!A135,'Flow2 '!E:E,Flow3!B135)</f>
        <v>77056</v>
      </c>
      <c r="D135" s="19">
        <f t="shared" si="2"/>
        <v>3082.24</v>
      </c>
    </row>
    <row r="136" spans="1:4" x14ac:dyDescent="0.25">
      <c r="A136" s="16" t="s">
        <v>39</v>
      </c>
      <c r="B136" s="16" t="s">
        <v>48</v>
      </c>
      <c r="C136" s="22">
        <f>SUMIFS('Flow2 '!$C:$C,'Flow2 '!$D:$D,Flow3!A136,'Flow2 '!E:E,Flow3!B136)</f>
        <v>653534</v>
      </c>
      <c r="D136" s="19">
        <f t="shared" si="2"/>
        <v>26141.360000000001</v>
      </c>
    </row>
    <row r="137" spans="1:4" x14ac:dyDescent="0.25">
      <c r="A137" s="16" t="s">
        <v>39</v>
      </c>
      <c r="B137" s="16" t="s">
        <v>49</v>
      </c>
      <c r="C137" s="22">
        <f>SUMIFS('Flow2 '!$C:$C,'Flow2 '!$D:$D,Flow3!A137,'Flow2 '!E:E,Flow3!B137)</f>
        <v>39455</v>
      </c>
      <c r="D137" s="19">
        <f t="shared" si="2"/>
        <v>1578.2</v>
      </c>
    </row>
    <row r="138" spans="1:4" x14ac:dyDescent="0.25">
      <c r="A138" s="16" t="s">
        <v>39</v>
      </c>
      <c r="B138" s="16" t="s">
        <v>50</v>
      </c>
      <c r="C138" s="22">
        <f>SUMIFS('Flow2 '!$C:$C,'Flow2 '!$D:$D,Flow3!A138,'Flow2 '!E:E,Flow3!B138)</f>
        <v>156292</v>
      </c>
      <c r="D138" s="19">
        <f t="shared" si="2"/>
        <v>6251.68</v>
      </c>
    </row>
    <row r="139" spans="1:4" x14ac:dyDescent="0.25">
      <c r="A139" s="16" t="s">
        <v>39</v>
      </c>
      <c r="B139" s="16" t="s">
        <v>51</v>
      </c>
      <c r="C139" s="22">
        <f>SUMIFS('Flow2 '!$C:$C,'Flow2 '!$D:$D,Flow3!A139,'Flow2 '!E:E,Flow3!B139)</f>
        <v>17026</v>
      </c>
      <c r="D139" s="19">
        <f t="shared" si="2"/>
        <v>681.04</v>
      </c>
    </row>
    <row r="140" spans="1:4" x14ac:dyDescent="0.25">
      <c r="A140" s="16" t="s">
        <v>39</v>
      </c>
      <c r="B140" s="16" t="s">
        <v>52</v>
      </c>
      <c r="C140" s="22">
        <f>SUMIFS('Flow2 '!$C:$C,'Flow2 '!$D:$D,Flow3!A140,'Flow2 '!E:E,Flow3!B140)</f>
        <v>159460</v>
      </c>
      <c r="D140" s="19">
        <f t="shared" si="2"/>
        <v>6378.4</v>
      </c>
    </row>
    <row r="141" spans="1:4" x14ac:dyDescent="0.25">
      <c r="A141" s="16" t="s">
        <v>39</v>
      </c>
      <c r="B141" s="16" t="s">
        <v>53</v>
      </c>
      <c r="C141" s="22">
        <f>SUMIFS('Flow2 '!$C:$C,'Flow2 '!$D:$D,Flow3!A141,'Flow2 '!E:E,Flow3!B141)</f>
        <v>100759</v>
      </c>
      <c r="D141" s="19">
        <f t="shared" si="2"/>
        <v>4030.36</v>
      </c>
    </row>
    <row r="142" spans="1:4" x14ac:dyDescent="0.25">
      <c r="A142" s="16" t="s">
        <v>39</v>
      </c>
      <c r="B142" s="16" t="s">
        <v>54</v>
      </c>
      <c r="C142" s="22">
        <f>SUMIFS('Flow2 '!$C:$C,'Flow2 '!$D:$D,Flow3!A142,'Flow2 '!E:E,Flow3!B142)</f>
        <v>78603</v>
      </c>
      <c r="D142" s="19">
        <f t="shared" si="2"/>
        <v>3144.12</v>
      </c>
    </row>
    <row r="143" spans="1:4" x14ac:dyDescent="0.25">
      <c r="A143" s="16" t="s">
        <v>39</v>
      </c>
      <c r="B143" s="16" t="s">
        <v>55</v>
      </c>
      <c r="C143" s="22">
        <f>SUMIFS('Flow2 '!$C:$C,'Flow2 '!$D:$D,Flow3!A143,'Flow2 '!E:E,Flow3!B143)</f>
        <v>73687</v>
      </c>
      <c r="D143" s="19">
        <f t="shared" si="2"/>
        <v>2947.48</v>
      </c>
    </row>
    <row r="144" spans="1:4" x14ac:dyDescent="0.25">
      <c r="A144" s="16" t="s">
        <v>39</v>
      </c>
      <c r="B144" s="16" t="s">
        <v>56</v>
      </c>
      <c r="C144" s="22">
        <f>SUMIFS('Flow2 '!$C:$C,'Flow2 '!$D:$D,Flow3!A144,'Flow2 '!E:E,Flow3!B144)</f>
        <v>6359</v>
      </c>
      <c r="D144" s="19">
        <f t="shared" si="2"/>
        <v>254.36</v>
      </c>
    </row>
    <row r="145" spans="1:4" x14ac:dyDescent="0.25">
      <c r="A145" s="16" t="s">
        <v>39</v>
      </c>
      <c r="B145" s="16" t="s">
        <v>57</v>
      </c>
      <c r="C145" s="22">
        <f>SUMIFS('Flow2 '!$C:$C,'Flow2 '!$D:$D,Flow3!A145,'Flow2 '!E:E,Flow3!B145)</f>
        <v>43113</v>
      </c>
      <c r="D145" s="19">
        <f t="shared" si="2"/>
        <v>1724.52</v>
      </c>
    </row>
    <row r="146" spans="1:4" x14ac:dyDescent="0.25">
      <c r="A146" s="17" t="s">
        <v>40</v>
      </c>
      <c r="B146" s="17" t="s">
        <v>34</v>
      </c>
      <c r="C146" s="22">
        <f>SUMIFS('Flow2 '!$C:$C,'Flow2 '!$D:$D,Flow3!A146,'Flow2 '!E:E,Flow3!B146)</f>
        <v>71849</v>
      </c>
      <c r="D146" s="19">
        <f t="shared" si="2"/>
        <v>2873.96</v>
      </c>
    </row>
    <row r="147" spans="1:4" x14ac:dyDescent="0.25">
      <c r="A147" s="17" t="s">
        <v>40</v>
      </c>
      <c r="B147" s="17" t="s">
        <v>35</v>
      </c>
      <c r="C147" s="22">
        <f>SUMIFS('Flow2 '!$C:$C,'Flow2 '!$D:$D,Flow3!A147,'Flow2 '!E:E,Flow3!B147)</f>
        <v>80177.144010713993</v>
      </c>
      <c r="D147" s="19">
        <f t="shared" si="2"/>
        <v>3207.0857604285598</v>
      </c>
    </row>
    <row r="148" spans="1:4" x14ac:dyDescent="0.25">
      <c r="A148" s="17" t="s">
        <v>40</v>
      </c>
      <c r="B148" s="17" t="s">
        <v>36</v>
      </c>
      <c r="C148" s="22">
        <f>SUMIFS('Flow2 '!$C:$C,'Flow2 '!$D:$D,Flow3!A148,'Flow2 '!E:E,Flow3!B148)</f>
        <v>565208</v>
      </c>
      <c r="D148" s="19">
        <f t="shared" si="2"/>
        <v>22608.32</v>
      </c>
    </row>
    <row r="149" spans="1:4" x14ac:dyDescent="0.25">
      <c r="A149" s="17" t="s">
        <v>40</v>
      </c>
      <c r="B149" s="17" t="s">
        <v>37</v>
      </c>
      <c r="C149" s="22">
        <f>SUMIFS('Flow2 '!$C:$C,'Flow2 '!$D:$D,Flow3!A149,'Flow2 '!E:E,Flow3!B149)</f>
        <v>165052</v>
      </c>
      <c r="D149" s="19">
        <f t="shared" si="2"/>
        <v>6602.08</v>
      </c>
    </row>
    <row r="150" spans="1:4" x14ac:dyDescent="0.25">
      <c r="A150" s="17" t="s">
        <v>40</v>
      </c>
      <c r="B150" s="17" t="s">
        <v>38</v>
      </c>
      <c r="C150" s="22">
        <f>SUMIFS('Flow2 '!$C:$C,'Flow2 '!$D:$D,Flow3!A150,'Flow2 '!E:E,Flow3!B150)</f>
        <v>39416</v>
      </c>
      <c r="D150" s="19">
        <f t="shared" si="2"/>
        <v>1576.64</v>
      </c>
    </row>
    <row r="151" spans="1:4" x14ac:dyDescent="0.25">
      <c r="A151" s="17" t="s">
        <v>40</v>
      </c>
      <c r="B151" s="17" t="s">
        <v>39</v>
      </c>
      <c r="C151" s="22">
        <f>SUMIFS('Flow2 '!$C:$C,'Flow2 '!$D:$D,Flow3!A151,'Flow2 '!E:E,Flow3!B151)</f>
        <v>283398</v>
      </c>
      <c r="D151" s="19">
        <f t="shared" si="2"/>
        <v>11335.92</v>
      </c>
    </row>
    <row r="152" spans="1:4" x14ac:dyDescent="0.25">
      <c r="A152" s="17" t="s">
        <v>40</v>
      </c>
      <c r="B152" s="17" t="s">
        <v>40</v>
      </c>
      <c r="C152" s="22">
        <f>SUMIFS('Flow2 '!$C:$C,'Flow2 '!$D:$D,Flow3!A152,'Flow2 '!E:E,Flow3!B152)</f>
        <v>4087251</v>
      </c>
      <c r="D152" s="19">
        <f t="shared" si="2"/>
        <v>163490.04</v>
      </c>
    </row>
    <row r="153" spans="1:4" x14ac:dyDescent="0.25">
      <c r="A153" s="17" t="s">
        <v>40</v>
      </c>
      <c r="B153" s="17" t="s">
        <v>41</v>
      </c>
      <c r="C153" s="22">
        <f>SUMIFS('Flow2 '!$C:$C,'Flow2 '!$D:$D,Flow3!A153,'Flow2 '!E:E,Flow3!B153)</f>
        <v>374112</v>
      </c>
      <c r="D153" s="19">
        <f t="shared" si="2"/>
        <v>14964.48</v>
      </c>
    </row>
    <row r="154" spans="1:4" x14ac:dyDescent="0.25">
      <c r="A154" s="17" t="s">
        <v>40</v>
      </c>
      <c r="B154" s="17" t="s">
        <v>42</v>
      </c>
      <c r="C154" s="22">
        <f>SUMIFS('Flow2 '!$C:$C,'Flow2 '!$D:$D,Flow3!A154,'Flow2 '!E:E,Flow3!B154)</f>
        <v>88823.855989286021</v>
      </c>
      <c r="D154" s="19">
        <f t="shared" si="2"/>
        <v>3552.9542395714407</v>
      </c>
    </row>
    <row r="155" spans="1:4" x14ac:dyDescent="0.25">
      <c r="A155" s="17" t="s">
        <v>40</v>
      </c>
      <c r="B155" s="17" t="s">
        <v>43</v>
      </c>
      <c r="C155" s="22">
        <f>SUMIFS('Flow2 '!$C:$C,'Flow2 '!$D:$D,Flow3!A155,'Flow2 '!E:E,Flow3!B155)</f>
        <v>213660</v>
      </c>
      <c r="D155" s="19">
        <f t="shared" si="2"/>
        <v>8546.4</v>
      </c>
    </row>
    <row r="156" spans="1:4" x14ac:dyDescent="0.25">
      <c r="A156" s="17" t="s">
        <v>40</v>
      </c>
      <c r="B156" s="17" t="s">
        <v>44</v>
      </c>
      <c r="C156" s="22">
        <f>SUMIFS('Flow2 '!$C:$C,'Flow2 '!$D:$D,Flow3!A156,'Flow2 '!E:E,Flow3!B156)</f>
        <v>207540</v>
      </c>
      <c r="D156" s="19">
        <f t="shared" si="2"/>
        <v>8301.6</v>
      </c>
    </row>
    <row r="157" spans="1:4" x14ac:dyDescent="0.25">
      <c r="A157" s="17" t="s">
        <v>40</v>
      </c>
      <c r="B157" s="17" t="s">
        <v>45</v>
      </c>
      <c r="C157" s="22">
        <f>SUMIFS('Flow2 '!$C:$C,'Flow2 '!$D:$D,Flow3!A157,'Flow2 '!E:E,Flow3!B157)</f>
        <v>983943</v>
      </c>
      <c r="D157" s="19">
        <f t="shared" si="2"/>
        <v>39357.72</v>
      </c>
    </row>
    <row r="158" spans="1:4" x14ac:dyDescent="0.25">
      <c r="A158" s="17" t="s">
        <v>40</v>
      </c>
      <c r="B158" s="17" t="s">
        <v>46</v>
      </c>
      <c r="C158" s="22">
        <f>SUMIFS('Flow2 '!$C:$C,'Flow2 '!$D:$D,Flow3!A158,'Flow2 '!E:E,Flow3!B158)</f>
        <v>1009649</v>
      </c>
      <c r="D158" s="19">
        <f t="shared" si="2"/>
        <v>40385.96</v>
      </c>
    </row>
    <row r="159" spans="1:4" x14ac:dyDescent="0.25">
      <c r="A159" s="17" t="s">
        <v>40</v>
      </c>
      <c r="B159" s="17" t="s">
        <v>47</v>
      </c>
      <c r="C159" s="22">
        <f>SUMIFS('Flow2 '!$C:$C,'Flow2 '!$D:$D,Flow3!A159,'Flow2 '!E:E,Flow3!B159)</f>
        <v>115460</v>
      </c>
      <c r="D159" s="19">
        <f t="shared" si="2"/>
        <v>4618.3999999999996</v>
      </c>
    </row>
    <row r="160" spans="1:4" x14ac:dyDescent="0.25">
      <c r="A160" s="17" t="s">
        <v>40</v>
      </c>
      <c r="B160" s="17" t="s">
        <v>48</v>
      </c>
      <c r="C160" s="22">
        <f>SUMIFS('Flow2 '!$C:$C,'Flow2 '!$D:$D,Flow3!A160,'Flow2 '!E:E,Flow3!B160)</f>
        <v>1854914</v>
      </c>
      <c r="D160" s="19">
        <f t="shared" si="2"/>
        <v>74196.56</v>
      </c>
    </row>
    <row r="161" spans="1:4" x14ac:dyDescent="0.25">
      <c r="A161" s="17" t="s">
        <v>40</v>
      </c>
      <c r="B161" s="17" t="s">
        <v>49</v>
      </c>
      <c r="C161" s="22">
        <f>SUMIFS('Flow2 '!$C:$C,'Flow2 '!$D:$D,Flow3!A161,'Flow2 '!E:E,Flow3!B161)</f>
        <v>124113</v>
      </c>
      <c r="D161" s="19">
        <f t="shared" si="2"/>
        <v>4964.5200000000004</v>
      </c>
    </row>
    <row r="162" spans="1:4" x14ac:dyDescent="0.25">
      <c r="A162" s="17" t="s">
        <v>40</v>
      </c>
      <c r="B162" s="17" t="s">
        <v>50</v>
      </c>
      <c r="C162" s="22">
        <f>SUMIFS('Flow2 '!$C:$C,'Flow2 '!$D:$D,Flow3!A162,'Flow2 '!E:E,Flow3!B162)</f>
        <v>556987</v>
      </c>
      <c r="D162" s="19">
        <f t="shared" si="2"/>
        <v>22279.48</v>
      </c>
    </row>
    <row r="163" spans="1:4" x14ac:dyDescent="0.25">
      <c r="A163" s="17" t="s">
        <v>40</v>
      </c>
      <c r="B163" s="17" t="s">
        <v>51</v>
      </c>
      <c r="C163" s="22">
        <f>SUMIFS('Flow2 '!$C:$C,'Flow2 '!$D:$D,Flow3!A163,'Flow2 '!E:E,Flow3!B163)</f>
        <v>31088</v>
      </c>
      <c r="D163" s="19">
        <f t="shared" si="2"/>
        <v>1243.52</v>
      </c>
    </row>
    <row r="164" spans="1:4" x14ac:dyDescent="0.25">
      <c r="A164" s="17" t="s">
        <v>40</v>
      </c>
      <c r="B164" s="17" t="s">
        <v>52</v>
      </c>
      <c r="C164" s="22">
        <f>SUMIFS('Flow2 '!$C:$C,'Flow2 '!$D:$D,Flow3!A164,'Flow2 '!E:E,Flow3!B164)</f>
        <v>123758</v>
      </c>
      <c r="D164" s="19">
        <f t="shared" si="2"/>
        <v>4950.32</v>
      </c>
    </row>
    <row r="165" spans="1:4" x14ac:dyDescent="0.25">
      <c r="A165" s="17" t="s">
        <v>40</v>
      </c>
      <c r="B165" s="17" t="s">
        <v>53</v>
      </c>
      <c r="C165" s="22">
        <f>SUMIFS('Flow2 '!$C:$C,'Flow2 '!$D:$D,Flow3!A165,'Flow2 '!E:E,Flow3!B165)</f>
        <v>288019</v>
      </c>
      <c r="D165" s="19">
        <f t="shared" si="2"/>
        <v>11520.76</v>
      </c>
    </row>
    <row r="166" spans="1:4" x14ac:dyDescent="0.25">
      <c r="A166" s="17" t="s">
        <v>40</v>
      </c>
      <c r="B166" s="17" t="s">
        <v>54</v>
      </c>
      <c r="C166" s="22">
        <f>SUMIFS('Flow2 '!$C:$C,'Flow2 '!$D:$D,Flow3!A166,'Flow2 '!E:E,Flow3!B166)</f>
        <v>136839</v>
      </c>
      <c r="D166" s="19">
        <f t="shared" si="2"/>
        <v>5473.56</v>
      </c>
    </row>
    <row r="167" spans="1:4" x14ac:dyDescent="0.25">
      <c r="A167" s="17" t="s">
        <v>40</v>
      </c>
      <c r="B167" s="17" t="s">
        <v>55</v>
      </c>
      <c r="C167" s="22">
        <f>SUMIFS('Flow2 '!$C:$C,'Flow2 '!$D:$D,Flow3!A167,'Flow2 '!E:E,Flow3!B167)</f>
        <v>429572</v>
      </c>
      <c r="D167" s="19">
        <f t="shared" si="2"/>
        <v>17182.88</v>
      </c>
    </row>
    <row r="168" spans="1:4" x14ac:dyDescent="0.25">
      <c r="A168" s="17" t="s">
        <v>40</v>
      </c>
      <c r="B168" s="17" t="s">
        <v>56</v>
      </c>
      <c r="C168" s="22">
        <f>SUMIFS('Flow2 '!$C:$C,'Flow2 '!$D:$D,Flow3!A168,'Flow2 '!E:E,Flow3!B168)</f>
        <v>13312</v>
      </c>
      <c r="D168" s="19">
        <f t="shared" si="2"/>
        <v>532.48</v>
      </c>
    </row>
    <row r="169" spans="1:4" x14ac:dyDescent="0.25">
      <c r="A169" s="17" t="s">
        <v>40</v>
      </c>
      <c r="B169" s="17" t="s">
        <v>57</v>
      </c>
      <c r="C169" s="22">
        <f>SUMIFS('Flow2 '!$C:$C,'Flow2 '!$D:$D,Flow3!A169,'Flow2 '!E:E,Flow3!B169)</f>
        <v>109343</v>
      </c>
      <c r="D169" s="19">
        <f t="shared" si="2"/>
        <v>4373.72</v>
      </c>
    </row>
    <row r="170" spans="1:4" x14ac:dyDescent="0.25">
      <c r="A170" s="18" t="s">
        <v>41</v>
      </c>
      <c r="B170" s="18" t="s">
        <v>34</v>
      </c>
      <c r="C170" s="22">
        <f>SUMIFS('Flow2 '!$C:$C,'Flow2 '!$D:$D,Flow3!A170,'Flow2 '!E:E,Flow3!B170)</f>
        <v>768112</v>
      </c>
      <c r="D170" s="19">
        <f t="shared" si="2"/>
        <v>30724.48</v>
      </c>
    </row>
    <row r="171" spans="1:4" x14ac:dyDescent="0.25">
      <c r="A171" s="18" t="s">
        <v>41</v>
      </c>
      <c r="B171" s="18" t="s">
        <v>35</v>
      </c>
      <c r="C171" s="22">
        <f>SUMIFS('Flow2 '!$C:$C,'Flow2 '!$D:$D,Flow3!A171,'Flow2 '!E:E,Flow3!B171)</f>
        <v>170656.44138786374</v>
      </c>
      <c r="D171" s="19">
        <f t="shared" si="2"/>
        <v>6826.2576555145497</v>
      </c>
    </row>
    <row r="172" spans="1:4" x14ac:dyDescent="0.25">
      <c r="A172" s="18" t="s">
        <v>41</v>
      </c>
      <c r="B172" s="18" t="s">
        <v>36</v>
      </c>
      <c r="C172" s="22">
        <f>SUMIFS('Flow2 '!$C:$C,'Flow2 '!$D:$D,Flow3!A172,'Flow2 '!E:E,Flow3!B172)</f>
        <v>320069</v>
      </c>
      <c r="D172" s="19">
        <f t="shared" si="2"/>
        <v>12802.76</v>
      </c>
    </row>
    <row r="173" spans="1:4" x14ac:dyDescent="0.25">
      <c r="A173" s="18" t="s">
        <v>41</v>
      </c>
      <c r="B173" s="18" t="s">
        <v>37</v>
      </c>
      <c r="C173" s="22">
        <f>SUMIFS('Flow2 '!$C:$C,'Flow2 '!$D:$D,Flow3!A173,'Flow2 '!E:E,Flow3!B173)</f>
        <v>1807600</v>
      </c>
      <c r="D173" s="19">
        <f t="shared" si="2"/>
        <v>72304</v>
      </c>
    </row>
    <row r="174" spans="1:4" x14ac:dyDescent="0.25">
      <c r="A174" s="18" t="s">
        <v>41</v>
      </c>
      <c r="B174" s="18" t="s">
        <v>38</v>
      </c>
      <c r="C174" s="22">
        <f>SUMIFS('Flow2 '!$C:$C,'Flow2 '!$D:$D,Flow3!A174,'Flow2 '!E:E,Flow3!B174)</f>
        <v>874919</v>
      </c>
      <c r="D174" s="19">
        <f t="shared" si="2"/>
        <v>34996.76</v>
      </c>
    </row>
    <row r="175" spans="1:4" x14ac:dyDescent="0.25">
      <c r="A175" s="18" t="s">
        <v>41</v>
      </c>
      <c r="B175" s="18" t="s">
        <v>39</v>
      </c>
      <c r="C175" s="22">
        <f>SUMIFS('Flow2 '!$C:$C,'Flow2 '!$D:$D,Flow3!A175,'Flow2 '!E:E,Flow3!B175)</f>
        <v>3039223</v>
      </c>
      <c r="D175" s="19">
        <f t="shared" si="2"/>
        <v>121568.92</v>
      </c>
    </row>
    <row r="176" spans="1:4" x14ac:dyDescent="0.25">
      <c r="A176" s="18" t="s">
        <v>41</v>
      </c>
      <c r="B176" s="18" t="s">
        <v>40</v>
      </c>
      <c r="C176" s="22">
        <f>SUMIFS('Flow2 '!$C:$C,'Flow2 '!$D:$D,Flow3!A176,'Flow2 '!E:E,Flow3!B176)</f>
        <v>423466</v>
      </c>
      <c r="D176" s="19">
        <f t="shared" si="2"/>
        <v>16938.64</v>
      </c>
    </row>
    <row r="177" spans="1:4" x14ac:dyDescent="0.25">
      <c r="A177" s="18" t="s">
        <v>41</v>
      </c>
      <c r="B177" s="18" t="s">
        <v>41</v>
      </c>
      <c r="C177" s="22">
        <f>SUMIFS('Flow2 '!$C:$C,'Flow2 '!$D:$D,Flow3!A177,'Flow2 '!E:E,Flow3!B177)</f>
        <v>26262978</v>
      </c>
      <c r="D177" s="19">
        <f t="shared" si="2"/>
        <v>1050519.1200000001</v>
      </c>
    </row>
    <row r="178" spans="1:4" x14ac:dyDescent="0.25">
      <c r="A178" s="18" t="s">
        <v>41</v>
      </c>
      <c r="B178" s="18" t="s">
        <v>42</v>
      </c>
      <c r="C178" s="22">
        <f>SUMIFS('Flow2 '!$C:$C,'Flow2 '!$D:$D,Flow3!A178,'Flow2 '!E:E,Flow3!B178)</f>
        <v>588570.55861213629</v>
      </c>
      <c r="D178" s="19">
        <f t="shared" si="2"/>
        <v>23542.822344485452</v>
      </c>
    </row>
    <row r="179" spans="1:4" x14ac:dyDescent="0.25">
      <c r="A179" s="18" t="s">
        <v>41</v>
      </c>
      <c r="B179" s="18" t="s">
        <v>43</v>
      </c>
      <c r="C179" s="22">
        <f>SUMIFS('Flow2 '!$C:$C,'Flow2 '!$D:$D,Flow3!A179,'Flow2 '!E:E,Flow3!B179)</f>
        <v>2531136</v>
      </c>
      <c r="D179" s="19">
        <f t="shared" si="2"/>
        <v>101245.44</v>
      </c>
    </row>
    <row r="180" spans="1:4" x14ac:dyDescent="0.25">
      <c r="A180" s="18" t="s">
        <v>41</v>
      </c>
      <c r="B180" s="18" t="s">
        <v>44</v>
      </c>
      <c r="C180" s="22">
        <f>SUMIFS('Flow2 '!$C:$C,'Flow2 '!$D:$D,Flow3!A180,'Flow2 '!E:E,Flow3!B180)</f>
        <v>1851116</v>
      </c>
      <c r="D180" s="19">
        <f t="shared" si="2"/>
        <v>74044.639999999999</v>
      </c>
    </row>
    <row r="181" spans="1:4" x14ac:dyDescent="0.25">
      <c r="A181" s="18" t="s">
        <v>41</v>
      </c>
      <c r="B181" s="18" t="s">
        <v>45</v>
      </c>
      <c r="C181" s="22">
        <f>SUMIFS('Flow2 '!$C:$C,'Flow2 '!$D:$D,Flow3!A181,'Flow2 '!E:E,Flow3!B181)</f>
        <v>4327369</v>
      </c>
      <c r="D181" s="19">
        <f t="shared" si="2"/>
        <v>173094.76</v>
      </c>
    </row>
    <row r="182" spans="1:4" x14ac:dyDescent="0.25">
      <c r="A182" s="18" t="s">
        <v>41</v>
      </c>
      <c r="B182" s="18" t="s">
        <v>46</v>
      </c>
      <c r="C182" s="22">
        <f>SUMIFS('Flow2 '!$C:$C,'Flow2 '!$D:$D,Flow3!A182,'Flow2 '!E:E,Flow3!B182)</f>
        <v>8455592</v>
      </c>
      <c r="D182" s="19">
        <f t="shared" si="2"/>
        <v>338223.68</v>
      </c>
    </row>
    <row r="183" spans="1:4" x14ac:dyDescent="0.25">
      <c r="A183" s="18" t="s">
        <v>41</v>
      </c>
      <c r="B183" s="18" t="s">
        <v>47</v>
      </c>
      <c r="C183" s="22">
        <f>SUMIFS('Flow2 '!$C:$C,'Flow2 '!$D:$D,Flow3!A183,'Flow2 '!E:E,Flow3!B183)</f>
        <v>380174</v>
      </c>
      <c r="D183" s="19">
        <f t="shared" si="2"/>
        <v>15206.96</v>
      </c>
    </row>
    <row r="184" spans="1:4" x14ac:dyDescent="0.25">
      <c r="A184" s="18" t="s">
        <v>41</v>
      </c>
      <c r="B184" s="18" t="s">
        <v>48</v>
      </c>
      <c r="C184" s="22">
        <f>SUMIFS('Flow2 '!$C:$C,'Flow2 '!$D:$D,Flow3!A184,'Flow2 '!E:E,Flow3!B184)</f>
        <v>3709170</v>
      </c>
      <c r="D184" s="19">
        <f t="shared" si="2"/>
        <v>148366.79999999999</v>
      </c>
    </row>
    <row r="185" spans="1:4" x14ac:dyDescent="0.25">
      <c r="A185" s="18" t="s">
        <v>41</v>
      </c>
      <c r="B185" s="18" t="s">
        <v>49</v>
      </c>
      <c r="C185" s="22">
        <f>SUMIFS('Flow2 '!$C:$C,'Flow2 '!$D:$D,Flow3!A185,'Flow2 '!E:E,Flow3!B185)</f>
        <v>181797</v>
      </c>
      <c r="D185" s="19">
        <f t="shared" si="2"/>
        <v>7271.88</v>
      </c>
    </row>
    <row r="186" spans="1:4" x14ac:dyDescent="0.25">
      <c r="A186" s="18" t="s">
        <v>41</v>
      </c>
      <c r="B186" s="18" t="s">
        <v>50</v>
      </c>
      <c r="C186" s="22">
        <f>SUMIFS('Flow2 '!$C:$C,'Flow2 '!$D:$D,Flow3!A186,'Flow2 '!E:E,Flow3!B186)</f>
        <v>932322</v>
      </c>
      <c r="D186" s="19">
        <f t="shared" si="2"/>
        <v>37292.879999999997</v>
      </c>
    </row>
    <row r="187" spans="1:4" x14ac:dyDescent="0.25">
      <c r="A187" s="18" t="s">
        <v>41</v>
      </c>
      <c r="B187" s="18" t="s">
        <v>51</v>
      </c>
      <c r="C187" s="22">
        <f>SUMIFS('Flow2 '!$C:$C,'Flow2 '!$D:$D,Flow3!A187,'Flow2 '!E:E,Flow3!B187)</f>
        <v>66402</v>
      </c>
      <c r="D187" s="19">
        <f t="shared" si="2"/>
        <v>2656.08</v>
      </c>
    </row>
    <row r="188" spans="1:4" x14ac:dyDescent="0.25">
      <c r="A188" s="18" t="s">
        <v>41</v>
      </c>
      <c r="B188" s="18" t="s">
        <v>52</v>
      </c>
      <c r="C188" s="22">
        <f>SUMIFS('Flow2 '!$C:$C,'Flow2 '!$D:$D,Flow3!A188,'Flow2 '!E:E,Flow3!B188)</f>
        <v>1395807</v>
      </c>
      <c r="D188" s="19">
        <f t="shared" si="2"/>
        <v>55832.28</v>
      </c>
    </row>
    <row r="189" spans="1:4" x14ac:dyDescent="0.25">
      <c r="A189" s="18" t="s">
        <v>41</v>
      </c>
      <c r="B189" s="18" t="s">
        <v>53</v>
      </c>
      <c r="C189" s="22">
        <f>SUMIFS('Flow2 '!$C:$C,'Flow2 '!$D:$D,Flow3!A189,'Flow2 '!E:E,Flow3!B189)</f>
        <v>878453</v>
      </c>
      <c r="D189" s="19">
        <f t="shared" si="2"/>
        <v>35138.120000000003</v>
      </c>
    </row>
    <row r="190" spans="1:4" x14ac:dyDescent="0.25">
      <c r="A190" s="18" t="s">
        <v>41</v>
      </c>
      <c r="B190" s="18" t="s">
        <v>54</v>
      </c>
      <c r="C190" s="22">
        <f>SUMIFS('Flow2 '!$C:$C,'Flow2 '!$D:$D,Flow3!A190,'Flow2 '!E:E,Flow3!B190)</f>
        <v>790319</v>
      </c>
      <c r="D190" s="19">
        <f t="shared" si="2"/>
        <v>31612.76</v>
      </c>
    </row>
    <row r="191" spans="1:4" x14ac:dyDescent="0.25">
      <c r="A191" s="18" t="s">
        <v>41</v>
      </c>
      <c r="B191" s="18" t="s">
        <v>55</v>
      </c>
      <c r="C191" s="22">
        <f>SUMIFS('Flow2 '!$C:$C,'Flow2 '!$D:$D,Flow3!A191,'Flow2 '!E:E,Flow3!B191)</f>
        <v>397439</v>
      </c>
      <c r="D191" s="19">
        <f t="shared" si="2"/>
        <v>15897.56</v>
      </c>
    </row>
    <row r="192" spans="1:4" x14ac:dyDescent="0.25">
      <c r="A192" s="18" t="s">
        <v>41</v>
      </c>
      <c r="B192" s="18" t="s">
        <v>56</v>
      </c>
      <c r="C192" s="22">
        <f>SUMIFS('Flow2 '!$C:$C,'Flow2 '!$D:$D,Flow3!A192,'Flow2 '!E:E,Flow3!B192)</f>
        <v>37016</v>
      </c>
      <c r="D192" s="19">
        <f t="shared" si="2"/>
        <v>1480.64</v>
      </c>
    </row>
    <row r="193" spans="1:4" x14ac:dyDescent="0.25">
      <c r="A193" s="18" t="s">
        <v>41</v>
      </c>
      <c r="B193" s="18" t="s">
        <v>57</v>
      </c>
      <c r="C193" s="22">
        <f>SUMIFS('Flow2 '!$C:$C,'Flow2 '!$D:$D,Flow3!A193,'Flow2 '!E:E,Flow3!B193)</f>
        <v>238395</v>
      </c>
      <c r="D193" s="19">
        <f t="shared" si="2"/>
        <v>9535.7999999999993</v>
      </c>
    </row>
    <row r="194" spans="1:4" x14ac:dyDescent="0.25">
      <c r="A194" s="12" t="s">
        <v>42</v>
      </c>
      <c r="B194" s="12" t="s">
        <v>34</v>
      </c>
      <c r="C194" s="22">
        <f>SUMIFS('Flow2 '!$C:$C,'Flow2 '!$D:$D,Flow3!A194,'Flow2 '!E:E,Flow3!B194)</f>
        <v>13392.340039449253</v>
      </c>
      <c r="D194" s="19">
        <f t="shared" si="2"/>
        <v>535.69360157797007</v>
      </c>
    </row>
    <row r="195" spans="1:4" x14ac:dyDescent="0.25">
      <c r="A195" s="12" t="s">
        <v>42</v>
      </c>
      <c r="B195" s="12" t="s">
        <v>35</v>
      </c>
      <c r="C195" s="22">
        <f>SUMIFS('Flow2 '!$C:$C,'Flow2 '!$D:$D,Flow3!A195,'Flow2 '!E:E,Flow3!B195)</f>
        <v>30952.912214066979</v>
      </c>
      <c r="D195" s="19">
        <f t="shared" ref="D195:D258" si="3">C195/25</f>
        <v>1238.1164885626793</v>
      </c>
    </row>
    <row r="196" spans="1:4" x14ac:dyDescent="0.25">
      <c r="A196" s="12" t="s">
        <v>42</v>
      </c>
      <c r="B196" s="12" t="s">
        <v>36</v>
      </c>
      <c r="C196" s="22">
        <f>SUMIFS('Flow2 '!$C:$C,'Flow2 '!$D:$D,Flow3!A196,'Flow2 '!E:E,Flow3!B196)</f>
        <v>13507.478152938071</v>
      </c>
      <c r="D196" s="19">
        <f t="shared" si="3"/>
        <v>540.29912611752286</v>
      </c>
    </row>
    <row r="197" spans="1:4" x14ac:dyDescent="0.25">
      <c r="A197" s="12" t="s">
        <v>42</v>
      </c>
      <c r="B197" s="12" t="s">
        <v>37</v>
      </c>
      <c r="C197" s="22">
        <f>SUMIFS('Flow2 '!$C:$C,'Flow2 '!$D:$D,Flow3!A197,'Flow2 '!E:E,Flow3!B197)</f>
        <v>39452.718653884745</v>
      </c>
      <c r="D197" s="19">
        <f t="shared" si="3"/>
        <v>1578.1087461553898</v>
      </c>
    </row>
    <row r="198" spans="1:4" x14ac:dyDescent="0.25">
      <c r="A198" s="12" t="s">
        <v>42</v>
      </c>
      <c r="B198" s="12" t="s">
        <v>38</v>
      </c>
      <c r="C198" s="22">
        <f>SUMIFS('Flow2 '!$C:$C,'Flow2 '!$D:$D,Flow3!A198,'Flow2 '!E:E,Flow3!B198)</f>
        <v>7773.0569099301092</v>
      </c>
      <c r="D198" s="19">
        <f t="shared" si="3"/>
        <v>310.92227639720437</v>
      </c>
    </row>
    <row r="199" spans="1:4" x14ac:dyDescent="0.25">
      <c r="A199" s="12" t="s">
        <v>42</v>
      </c>
      <c r="B199" s="12" t="s">
        <v>39</v>
      </c>
      <c r="C199" s="22">
        <f>SUMIFS('Flow2 '!$C:$C,'Flow2 '!$D:$D,Flow3!A199,'Flow2 '!E:E,Flow3!B199)</f>
        <v>73713.56962773054</v>
      </c>
      <c r="D199" s="19">
        <f t="shared" si="3"/>
        <v>2948.5427851092218</v>
      </c>
    </row>
    <row r="200" spans="1:4" x14ac:dyDescent="0.25">
      <c r="A200" s="12" t="s">
        <v>42</v>
      </c>
      <c r="B200" s="12" t="s">
        <v>40</v>
      </c>
      <c r="C200" s="22">
        <f>SUMIFS('Flow2 '!$C:$C,'Flow2 '!$D:$D,Flow3!A200,'Flow2 '!E:E,Flow3!B200)</f>
        <v>16581.742488623662</v>
      </c>
      <c r="D200" s="19">
        <f t="shared" si="3"/>
        <v>663.26969954494643</v>
      </c>
    </row>
    <row r="201" spans="1:4" x14ac:dyDescent="0.25">
      <c r="A201" s="12" t="s">
        <v>42</v>
      </c>
      <c r="B201" s="12" t="s">
        <v>41</v>
      </c>
      <c r="C201" s="22">
        <f>SUMIFS('Flow2 '!$C:$C,'Flow2 '!$D:$D,Flow3!A201,'Flow2 '!E:E,Flow3!B201)</f>
        <v>107198.5052172897</v>
      </c>
      <c r="D201" s="19">
        <f t="shared" si="3"/>
        <v>4287.9402086915879</v>
      </c>
    </row>
    <row r="202" spans="1:4" x14ac:dyDescent="0.25">
      <c r="A202" s="12" t="s">
        <v>42</v>
      </c>
      <c r="B202" s="12" t="s">
        <v>42</v>
      </c>
      <c r="C202" s="22">
        <f>SUMIFS('Flow2 '!$C:$C,'Flow2 '!$D:$D,Flow3!A202,'Flow2 '!E:E,Flow3!B202)</f>
        <v>122047.0746534288</v>
      </c>
      <c r="D202" s="19">
        <f t="shared" si="3"/>
        <v>4881.8829861371523</v>
      </c>
    </row>
    <row r="203" spans="1:4" x14ac:dyDescent="0.25">
      <c r="A203" s="12" t="s">
        <v>42</v>
      </c>
      <c r="B203" s="12" t="s">
        <v>43</v>
      </c>
      <c r="C203" s="22">
        <f>SUMIFS('Flow2 '!$C:$C,'Flow2 '!$D:$D,Flow3!A203,'Flow2 '!E:E,Flow3!B203)</f>
        <v>44635.068653450129</v>
      </c>
      <c r="D203" s="19">
        <f t="shared" si="3"/>
        <v>1785.4027461380051</v>
      </c>
    </row>
    <row r="204" spans="1:4" x14ac:dyDescent="0.25">
      <c r="A204" s="12" t="s">
        <v>42</v>
      </c>
      <c r="B204" s="12" t="s">
        <v>44</v>
      </c>
      <c r="C204" s="22">
        <f>SUMIFS('Flow2 '!$C:$C,'Flow2 '!$D:$D,Flow3!A204,'Flow2 '!E:E,Flow3!B204)</f>
        <v>59251.090478780869</v>
      </c>
      <c r="D204" s="19">
        <f t="shared" si="3"/>
        <v>2370.0436191512349</v>
      </c>
    </row>
    <row r="205" spans="1:4" x14ac:dyDescent="0.25">
      <c r="A205" s="12" t="s">
        <v>42</v>
      </c>
      <c r="B205" s="12" t="s">
        <v>45</v>
      </c>
      <c r="C205" s="22">
        <f>SUMIFS('Flow2 '!$C:$C,'Flow2 '!$D:$D,Flow3!A205,'Flow2 '!E:E,Flow3!B205)</f>
        <v>123287.56244702992</v>
      </c>
      <c r="D205" s="19">
        <f t="shared" si="3"/>
        <v>4931.5024978811971</v>
      </c>
    </row>
    <row r="206" spans="1:4" x14ac:dyDescent="0.25">
      <c r="A206" s="12" t="s">
        <v>42</v>
      </c>
      <c r="B206" s="12" t="s">
        <v>46</v>
      </c>
      <c r="C206" s="22">
        <f>SUMIFS('Flow2 '!$C:$C,'Flow2 '!$D:$D,Flow3!A206,'Flow2 '!E:E,Flow3!B206)</f>
        <v>212394.84648563596</v>
      </c>
      <c r="D206" s="19">
        <f t="shared" si="3"/>
        <v>8495.7938594254392</v>
      </c>
    </row>
    <row r="207" spans="1:4" x14ac:dyDescent="0.25">
      <c r="A207" s="12" t="s">
        <v>42</v>
      </c>
      <c r="B207" s="12" t="s">
        <v>47</v>
      </c>
      <c r="C207" s="22">
        <f>SUMIFS('Flow2 '!$C:$C,'Flow2 '!$D:$D,Flow3!A207,'Flow2 '!E:E,Flow3!B207)</f>
        <v>12644.180646444089</v>
      </c>
      <c r="D207" s="19">
        <f t="shared" si="3"/>
        <v>505.76722585776355</v>
      </c>
    </row>
    <row r="208" spans="1:4" x14ac:dyDescent="0.25">
      <c r="A208" s="12" t="s">
        <v>42</v>
      </c>
      <c r="B208" s="12" t="s">
        <v>48</v>
      </c>
      <c r="C208" s="22">
        <f>SUMIFS('Flow2 '!$C:$C,'Flow2 '!$D:$D,Flow3!A208,'Flow2 '!E:E,Flow3!B208)</f>
        <v>140537.09748382069</v>
      </c>
      <c r="D208" s="19">
        <f t="shared" si="3"/>
        <v>5621.4838993528274</v>
      </c>
    </row>
    <row r="209" spans="1:4" x14ac:dyDescent="0.25">
      <c r="A209" s="12" t="s">
        <v>42</v>
      </c>
      <c r="B209" s="12" t="s">
        <v>49</v>
      </c>
      <c r="C209" s="22">
        <f>SUMIFS('Flow2 '!$C:$C,'Flow2 '!$D:$D,Flow3!A209,'Flow2 '!E:E,Flow3!B209)</f>
        <v>10957.775676816995</v>
      </c>
      <c r="D209" s="19">
        <f t="shared" si="3"/>
        <v>438.31102707267979</v>
      </c>
    </row>
    <row r="210" spans="1:4" x14ac:dyDescent="0.25">
      <c r="A210" s="12" t="s">
        <v>42</v>
      </c>
      <c r="B210" s="12" t="s">
        <v>50</v>
      </c>
      <c r="C210" s="22">
        <f>SUMIFS('Flow2 '!$C:$C,'Flow2 '!$D:$D,Flow3!A210,'Flow2 '!E:E,Flow3!B210)</f>
        <v>42066.349764868617</v>
      </c>
      <c r="D210" s="19">
        <f t="shared" si="3"/>
        <v>1682.6539905947448</v>
      </c>
    </row>
    <row r="211" spans="1:4" x14ac:dyDescent="0.25">
      <c r="A211" s="12" t="s">
        <v>42</v>
      </c>
      <c r="B211" s="12" t="s">
        <v>51</v>
      </c>
      <c r="C211" s="22">
        <f>SUMIFS('Flow2 '!$C:$C,'Flow2 '!$D:$D,Flow3!A211,'Flow2 '!E:E,Flow3!B211)</f>
        <v>3988.1291841541956</v>
      </c>
      <c r="D211" s="19">
        <f t="shared" si="3"/>
        <v>159.52516736616784</v>
      </c>
    </row>
    <row r="212" spans="1:4" x14ac:dyDescent="0.25">
      <c r="A212" s="12" t="s">
        <v>42</v>
      </c>
      <c r="B212" s="12" t="s">
        <v>52</v>
      </c>
      <c r="C212" s="22">
        <f>SUMIFS('Flow2 '!$C:$C,'Flow2 '!$D:$D,Flow3!A212,'Flow2 '!E:E,Flow3!B212)</f>
        <v>31287.037552897207</v>
      </c>
      <c r="D212" s="19">
        <f t="shared" si="3"/>
        <v>1251.4815021158884</v>
      </c>
    </row>
    <row r="213" spans="1:4" x14ac:dyDescent="0.25">
      <c r="A213" s="12" t="s">
        <v>42</v>
      </c>
      <c r="B213" s="12" t="s">
        <v>53</v>
      </c>
      <c r="C213" s="22">
        <f>SUMIFS('Flow2 '!$C:$C,'Flow2 '!$D:$D,Flow3!A213,'Flow2 '!E:E,Flow3!B213)</f>
        <v>26291.048396022808</v>
      </c>
      <c r="D213" s="19">
        <f t="shared" si="3"/>
        <v>1051.6419358409123</v>
      </c>
    </row>
    <row r="214" spans="1:4" x14ac:dyDescent="0.25">
      <c r="A214" s="12" t="s">
        <v>42</v>
      </c>
      <c r="B214" s="12" t="s">
        <v>54</v>
      </c>
      <c r="C214" s="22">
        <f>SUMIFS('Flow2 '!$C:$C,'Flow2 '!$D:$D,Flow3!A214,'Flow2 '!E:E,Flow3!B214)</f>
        <v>22671.118245411402</v>
      </c>
      <c r="D214" s="19">
        <f t="shared" si="3"/>
        <v>906.84472981645604</v>
      </c>
    </row>
    <row r="215" spans="1:4" x14ac:dyDescent="0.25">
      <c r="A215" s="12" t="s">
        <v>42</v>
      </c>
      <c r="B215" s="12" t="s">
        <v>55</v>
      </c>
      <c r="C215" s="22">
        <f>SUMIFS('Flow2 '!$C:$C,'Flow2 '!$D:$D,Flow3!A215,'Flow2 '!E:E,Flow3!B215)</f>
        <v>23167.254314722162</v>
      </c>
      <c r="D215" s="19">
        <f t="shared" si="3"/>
        <v>926.69017258888653</v>
      </c>
    </row>
    <row r="216" spans="1:4" x14ac:dyDescent="0.25">
      <c r="A216" s="12" t="s">
        <v>42</v>
      </c>
      <c r="B216" s="12" t="s">
        <v>56</v>
      </c>
      <c r="C216" s="22">
        <f>SUMIFS('Flow2 '!$C:$C,'Flow2 '!$D:$D,Flow3!A216,'Flow2 '!E:E,Flow3!B216)</f>
        <v>1530.0306851255921</v>
      </c>
      <c r="D216" s="19">
        <f t="shared" si="3"/>
        <v>61.20122740502368</v>
      </c>
    </row>
    <row r="217" spans="1:4" x14ac:dyDescent="0.25">
      <c r="A217" s="12" t="s">
        <v>42</v>
      </c>
      <c r="B217" s="12" t="s">
        <v>57</v>
      </c>
      <c r="C217" s="22">
        <f>SUMIFS('Flow2 '!$C:$C,'Flow2 '!$D:$D,Flow3!A217,'Flow2 '!E:E,Flow3!B217)</f>
        <v>10969.944995168393</v>
      </c>
      <c r="D217" s="19">
        <f t="shared" si="3"/>
        <v>438.79779980673572</v>
      </c>
    </row>
    <row r="218" spans="1:4" x14ac:dyDescent="0.25">
      <c r="A218" s="13" t="s">
        <v>43</v>
      </c>
      <c r="B218" s="13" t="s">
        <v>34</v>
      </c>
      <c r="C218" s="22">
        <f>SUMIFS('Flow2 '!$C:$C,'Flow2 '!$D:$D,Flow3!A218,'Flow2 '!E:E,Flow3!B218)</f>
        <v>749539</v>
      </c>
      <c r="D218" s="19">
        <f t="shared" si="3"/>
        <v>29981.56</v>
      </c>
    </row>
    <row r="219" spans="1:4" x14ac:dyDescent="0.25">
      <c r="A219" s="13" t="s">
        <v>43</v>
      </c>
      <c r="B219" s="13" t="s">
        <v>35</v>
      </c>
      <c r="C219" s="22">
        <f>SUMIFS('Flow2 '!$C:$C,'Flow2 '!$D:$D,Flow3!A219,'Flow2 '!E:E,Flow3!B219)</f>
        <v>55780.513929212939</v>
      </c>
      <c r="D219" s="19">
        <f t="shared" si="3"/>
        <v>2231.2205571685176</v>
      </c>
    </row>
    <row r="220" spans="1:4" x14ac:dyDescent="0.25">
      <c r="A220" s="13" t="s">
        <v>43</v>
      </c>
      <c r="B220" s="13" t="s">
        <v>36</v>
      </c>
      <c r="C220" s="22">
        <f>SUMIFS('Flow2 '!$C:$C,'Flow2 '!$D:$D,Flow3!A220,'Flow2 '!E:E,Flow3!B220)</f>
        <v>91224</v>
      </c>
      <c r="D220" s="19">
        <f t="shared" si="3"/>
        <v>3648.96</v>
      </c>
    </row>
    <row r="221" spans="1:4" x14ac:dyDescent="0.25">
      <c r="A221" s="13" t="s">
        <v>43</v>
      </c>
      <c r="B221" s="13" t="s">
        <v>37</v>
      </c>
      <c r="C221" s="22">
        <f>SUMIFS('Flow2 '!$C:$C,'Flow2 '!$D:$D,Flow3!A221,'Flow2 '!E:E,Flow3!B221)</f>
        <v>876203</v>
      </c>
      <c r="D221" s="19">
        <f t="shared" si="3"/>
        <v>35048.120000000003</v>
      </c>
    </row>
    <row r="222" spans="1:4" x14ac:dyDescent="0.25">
      <c r="A222" s="13" t="s">
        <v>43</v>
      </c>
      <c r="B222" s="13" t="s">
        <v>38</v>
      </c>
      <c r="C222" s="22">
        <f>SUMIFS('Flow2 '!$C:$C,'Flow2 '!$D:$D,Flow3!A222,'Flow2 '!E:E,Flow3!B222)</f>
        <v>120054</v>
      </c>
      <c r="D222" s="19">
        <f t="shared" si="3"/>
        <v>4802.16</v>
      </c>
    </row>
    <row r="223" spans="1:4" x14ac:dyDescent="0.25">
      <c r="A223" s="13" t="s">
        <v>43</v>
      </c>
      <c r="B223" s="13" t="s">
        <v>39</v>
      </c>
      <c r="C223" s="22">
        <f>SUMIFS('Flow2 '!$C:$C,'Flow2 '!$D:$D,Flow3!A223,'Flow2 '!E:E,Flow3!B223)</f>
        <v>492317</v>
      </c>
      <c r="D223" s="19">
        <f t="shared" si="3"/>
        <v>19692.68</v>
      </c>
    </row>
    <row r="224" spans="1:4" x14ac:dyDescent="0.25">
      <c r="A224" s="13" t="s">
        <v>43</v>
      </c>
      <c r="B224" s="13" t="s">
        <v>40</v>
      </c>
      <c r="C224" s="22">
        <f>SUMIFS('Flow2 '!$C:$C,'Flow2 '!$D:$D,Flow3!A224,'Flow2 '!E:E,Flow3!B224)</f>
        <v>110138</v>
      </c>
      <c r="D224" s="19">
        <f t="shared" si="3"/>
        <v>4405.5200000000004</v>
      </c>
    </row>
    <row r="225" spans="1:4" x14ac:dyDescent="0.25">
      <c r="A225" s="13" t="s">
        <v>43</v>
      </c>
      <c r="B225" s="13" t="s">
        <v>41</v>
      </c>
      <c r="C225" s="22">
        <f>SUMIFS('Flow2 '!$C:$C,'Flow2 '!$D:$D,Flow3!A225,'Flow2 '!E:E,Flow3!B225)</f>
        <v>1298091</v>
      </c>
      <c r="D225" s="19">
        <f t="shared" si="3"/>
        <v>51923.64</v>
      </c>
    </row>
    <row r="226" spans="1:4" x14ac:dyDescent="0.25">
      <c r="A226" s="13" t="s">
        <v>43</v>
      </c>
      <c r="B226" s="13" t="s">
        <v>42</v>
      </c>
      <c r="C226" s="22">
        <f>SUMIFS('Flow2 '!$C:$C,'Flow2 '!$D:$D,Flow3!A226,'Flow2 '!E:E,Flow3!B226)</f>
        <v>115034.48607078707</v>
      </c>
      <c r="D226" s="19">
        <f t="shared" si="3"/>
        <v>4601.3794428314832</v>
      </c>
    </row>
    <row r="227" spans="1:4" x14ac:dyDescent="0.25">
      <c r="A227" s="13" t="s">
        <v>43</v>
      </c>
      <c r="B227" s="13" t="s">
        <v>43</v>
      </c>
      <c r="C227" s="22">
        <f>SUMIFS('Flow2 '!$C:$C,'Flow2 '!$D:$D,Flow3!A227,'Flow2 '!E:E,Flow3!B227)</f>
        <v>8145995</v>
      </c>
      <c r="D227" s="19">
        <f t="shared" si="3"/>
        <v>325839.8</v>
      </c>
    </row>
    <row r="228" spans="1:4" x14ac:dyDescent="0.25">
      <c r="A228" s="13" t="s">
        <v>43</v>
      </c>
      <c r="B228" s="13" t="s">
        <v>44</v>
      </c>
      <c r="C228" s="22">
        <f>SUMIFS('Flow2 '!$C:$C,'Flow2 '!$D:$D,Flow3!A228,'Flow2 '!E:E,Flow3!B228)</f>
        <v>373130</v>
      </c>
      <c r="D228" s="19">
        <f t="shared" si="3"/>
        <v>14925.2</v>
      </c>
    </row>
    <row r="229" spans="1:4" x14ac:dyDescent="0.25">
      <c r="A229" s="13" t="s">
        <v>43</v>
      </c>
      <c r="B229" s="13" t="s">
        <v>45</v>
      </c>
      <c r="C229" s="22">
        <f>SUMIFS('Flow2 '!$C:$C,'Flow2 '!$D:$D,Flow3!A229,'Flow2 '!E:E,Flow3!B229)</f>
        <v>891834</v>
      </c>
      <c r="D229" s="19">
        <f t="shared" si="3"/>
        <v>35673.360000000001</v>
      </c>
    </row>
    <row r="230" spans="1:4" x14ac:dyDescent="0.25">
      <c r="A230" s="13" t="s">
        <v>43</v>
      </c>
      <c r="B230" s="13" t="s">
        <v>46</v>
      </c>
      <c r="C230" s="22">
        <f>SUMIFS('Flow2 '!$C:$C,'Flow2 '!$D:$D,Flow3!A230,'Flow2 '!E:E,Flow3!B230)</f>
        <v>1512227</v>
      </c>
      <c r="D230" s="19">
        <f t="shared" si="3"/>
        <v>60489.08</v>
      </c>
    </row>
    <row r="231" spans="1:4" x14ac:dyDescent="0.25">
      <c r="A231" s="13" t="s">
        <v>43</v>
      </c>
      <c r="B231" s="13" t="s">
        <v>47</v>
      </c>
      <c r="C231" s="22">
        <f>SUMIFS('Flow2 '!$C:$C,'Flow2 '!$D:$D,Flow3!A231,'Flow2 '!E:E,Flow3!B231)</f>
        <v>92411</v>
      </c>
      <c r="D231" s="19">
        <f t="shared" si="3"/>
        <v>3696.44</v>
      </c>
    </row>
    <row r="232" spans="1:4" x14ac:dyDescent="0.25">
      <c r="A232" s="13" t="s">
        <v>43</v>
      </c>
      <c r="B232" s="13" t="s">
        <v>48</v>
      </c>
      <c r="C232" s="22">
        <f>SUMIFS('Flow2 '!$C:$C,'Flow2 '!$D:$D,Flow3!A232,'Flow2 '!E:E,Flow3!B232)</f>
        <v>953345</v>
      </c>
      <c r="D232" s="19">
        <f t="shared" si="3"/>
        <v>38133.800000000003</v>
      </c>
    </row>
    <row r="233" spans="1:4" x14ac:dyDescent="0.25">
      <c r="A233" s="13" t="s">
        <v>43</v>
      </c>
      <c r="B233" s="13" t="s">
        <v>49</v>
      </c>
      <c r="C233" s="22">
        <f>SUMIFS('Flow2 '!$C:$C,'Flow2 '!$D:$D,Flow3!A233,'Flow2 '!E:E,Flow3!B233)</f>
        <v>52384</v>
      </c>
      <c r="D233" s="19">
        <f t="shared" si="3"/>
        <v>2095.36</v>
      </c>
    </row>
    <row r="234" spans="1:4" x14ac:dyDescent="0.25">
      <c r="A234" s="13" t="s">
        <v>43</v>
      </c>
      <c r="B234" s="13" t="s">
        <v>50</v>
      </c>
      <c r="C234" s="22">
        <f>SUMIFS('Flow2 '!$C:$C,'Flow2 '!$D:$D,Flow3!A234,'Flow2 '!E:E,Flow3!B234)</f>
        <v>254575</v>
      </c>
      <c r="D234" s="19">
        <f t="shared" si="3"/>
        <v>10183</v>
      </c>
    </row>
    <row r="235" spans="1:4" x14ac:dyDescent="0.25">
      <c r="A235" s="13" t="s">
        <v>43</v>
      </c>
      <c r="B235" s="13" t="s">
        <v>51</v>
      </c>
      <c r="C235" s="22">
        <f>SUMIFS('Flow2 '!$C:$C,'Flow2 '!$D:$D,Flow3!A235,'Flow2 '!E:E,Flow3!B235)</f>
        <v>19122</v>
      </c>
      <c r="D235" s="19">
        <f t="shared" si="3"/>
        <v>764.88</v>
      </c>
    </row>
    <row r="236" spans="1:4" x14ac:dyDescent="0.25">
      <c r="A236" s="13" t="s">
        <v>43</v>
      </c>
      <c r="B236" s="13" t="s">
        <v>52</v>
      </c>
      <c r="C236" s="22">
        <f>SUMIFS('Flow2 '!$C:$C,'Flow2 '!$D:$D,Flow3!A236,'Flow2 '!E:E,Flow3!B236)</f>
        <v>380906</v>
      </c>
      <c r="D236" s="19">
        <f t="shared" si="3"/>
        <v>15236.24</v>
      </c>
    </row>
    <row r="237" spans="1:4" x14ac:dyDescent="0.25">
      <c r="A237" s="13" t="s">
        <v>43</v>
      </c>
      <c r="B237" s="13" t="s">
        <v>53</v>
      </c>
      <c r="C237" s="22">
        <f>SUMIFS('Flow2 '!$C:$C,'Flow2 '!$D:$D,Flow3!A237,'Flow2 '!E:E,Flow3!B237)</f>
        <v>180631</v>
      </c>
      <c r="D237" s="19">
        <f t="shared" si="3"/>
        <v>7225.24</v>
      </c>
    </row>
    <row r="238" spans="1:4" x14ac:dyDescent="0.25">
      <c r="A238" s="13" t="s">
        <v>43</v>
      </c>
      <c r="B238" s="13" t="s">
        <v>54</v>
      </c>
      <c r="C238" s="22">
        <f>SUMIFS('Flow2 '!$C:$C,'Flow2 '!$D:$D,Flow3!A238,'Flow2 '!E:E,Flow3!B238)</f>
        <v>198817</v>
      </c>
      <c r="D238" s="19">
        <f t="shared" si="3"/>
        <v>7952.68</v>
      </c>
    </row>
    <row r="239" spans="1:4" x14ac:dyDescent="0.25">
      <c r="A239" s="13" t="s">
        <v>43</v>
      </c>
      <c r="B239" s="13" t="s">
        <v>55</v>
      </c>
      <c r="C239" s="22">
        <f>SUMIFS('Flow2 '!$C:$C,'Flow2 '!$D:$D,Flow3!A239,'Flow2 '!E:E,Flow3!B239)</f>
        <v>117685</v>
      </c>
      <c r="D239" s="19">
        <f t="shared" si="3"/>
        <v>4707.3999999999996</v>
      </c>
    </row>
    <row r="240" spans="1:4" x14ac:dyDescent="0.25">
      <c r="A240" s="13" t="s">
        <v>43</v>
      </c>
      <c r="B240" s="13" t="s">
        <v>56</v>
      </c>
      <c r="C240" s="22">
        <f>SUMIFS('Flow2 '!$C:$C,'Flow2 '!$D:$D,Flow3!A240,'Flow2 '!E:E,Flow3!B240)</f>
        <v>13865</v>
      </c>
      <c r="D240" s="19">
        <f t="shared" si="3"/>
        <v>554.6</v>
      </c>
    </row>
    <row r="241" spans="1:4" x14ac:dyDescent="0.25">
      <c r="A241" s="13" t="s">
        <v>43</v>
      </c>
      <c r="B241" s="13" t="s">
        <v>57</v>
      </c>
      <c r="C241" s="22">
        <f>SUMIFS('Flow2 '!$C:$C,'Flow2 '!$D:$D,Flow3!A241,'Flow2 '!E:E,Flow3!B241)</f>
        <v>97313</v>
      </c>
      <c r="D241" s="19">
        <f t="shared" si="3"/>
        <v>3892.52</v>
      </c>
    </row>
    <row r="242" spans="1:4" x14ac:dyDescent="0.25">
      <c r="A242" s="14" t="s">
        <v>44</v>
      </c>
      <c r="B242" s="14" t="s">
        <v>34</v>
      </c>
      <c r="C242" s="22">
        <f>SUMIFS('Flow2 '!$C:$C,'Flow2 '!$D:$D,Flow3!A242,'Flow2 '!E:E,Flow3!B242)</f>
        <v>2221</v>
      </c>
      <c r="D242" s="19">
        <f t="shared" si="3"/>
        <v>88.84</v>
      </c>
    </row>
    <row r="243" spans="1:4" x14ac:dyDescent="0.25">
      <c r="A243" s="14" t="s">
        <v>44</v>
      </c>
      <c r="B243" s="14" t="s">
        <v>35</v>
      </c>
      <c r="C243" s="22">
        <f>SUMIFS('Flow2 '!$C:$C,'Flow2 '!$D:$D,Flow3!A243,'Flow2 '!E:E,Flow3!B243)</f>
        <v>707.09502132019895</v>
      </c>
      <c r="D243" s="19">
        <f t="shared" si="3"/>
        <v>28.283800852807957</v>
      </c>
    </row>
    <row r="244" spans="1:4" x14ac:dyDescent="0.25">
      <c r="A244" s="14" t="s">
        <v>44</v>
      </c>
      <c r="B244" s="14" t="s">
        <v>36</v>
      </c>
      <c r="C244" s="22">
        <f>SUMIFS('Flow2 '!$C:$C,'Flow2 '!$D:$D,Flow3!A244,'Flow2 '!E:E,Flow3!B244)</f>
        <v>2899</v>
      </c>
      <c r="D244" s="19">
        <f t="shared" si="3"/>
        <v>115.96</v>
      </c>
    </row>
    <row r="245" spans="1:4" x14ac:dyDescent="0.25">
      <c r="A245" s="14" t="s">
        <v>44</v>
      </c>
      <c r="B245" s="14" t="s">
        <v>37</v>
      </c>
      <c r="C245" s="22">
        <f>SUMIFS('Flow2 '!$C:$C,'Flow2 '!$D:$D,Flow3!A245,'Flow2 '!E:E,Flow3!B245)</f>
        <v>7674</v>
      </c>
      <c r="D245" s="19">
        <f t="shared" si="3"/>
        <v>306.95999999999998</v>
      </c>
    </row>
    <row r="246" spans="1:4" x14ac:dyDescent="0.25">
      <c r="A246" s="14" t="s">
        <v>44</v>
      </c>
      <c r="B246" s="14" t="s">
        <v>38</v>
      </c>
      <c r="C246" s="22">
        <f>SUMIFS('Flow2 '!$C:$C,'Flow2 '!$D:$D,Flow3!A246,'Flow2 '!E:E,Flow3!B246)</f>
        <v>2690</v>
      </c>
      <c r="D246" s="19">
        <f t="shared" si="3"/>
        <v>107.6</v>
      </c>
    </row>
    <row r="247" spans="1:4" x14ac:dyDescent="0.25">
      <c r="A247" s="14" t="s">
        <v>44</v>
      </c>
      <c r="B247" s="14" t="s">
        <v>39</v>
      </c>
      <c r="C247" s="22">
        <f>SUMIFS('Flow2 '!$C:$C,'Flow2 '!$D:$D,Flow3!A247,'Flow2 '!E:E,Flow3!B247)</f>
        <v>338124</v>
      </c>
      <c r="D247" s="19">
        <f t="shared" si="3"/>
        <v>13524.96</v>
      </c>
    </row>
    <row r="248" spans="1:4" x14ac:dyDescent="0.25">
      <c r="A248" s="14" t="s">
        <v>44</v>
      </c>
      <c r="B248" s="14" t="s">
        <v>40</v>
      </c>
      <c r="C248" s="22">
        <f>SUMIFS('Flow2 '!$C:$C,'Flow2 '!$D:$D,Flow3!A248,'Flow2 '!E:E,Flow3!B248)</f>
        <v>1789</v>
      </c>
      <c r="D248" s="19">
        <f t="shared" si="3"/>
        <v>71.56</v>
      </c>
    </row>
    <row r="249" spans="1:4" x14ac:dyDescent="0.25">
      <c r="A249" s="14" t="s">
        <v>44</v>
      </c>
      <c r="B249" s="14" t="s">
        <v>41</v>
      </c>
      <c r="C249" s="22">
        <f>SUMIFS('Flow2 '!$C:$C,'Flow2 '!$D:$D,Flow3!A249,'Flow2 '!E:E,Flow3!B249)</f>
        <v>40376</v>
      </c>
      <c r="D249" s="19">
        <f t="shared" si="3"/>
        <v>1615.04</v>
      </c>
    </row>
    <row r="250" spans="1:4" x14ac:dyDescent="0.25">
      <c r="A250" s="14" t="s">
        <v>44</v>
      </c>
      <c r="B250" s="14" t="s">
        <v>42</v>
      </c>
      <c r="C250" s="22">
        <f>SUMIFS('Flow2 '!$C:$C,'Flow2 '!$D:$D,Flow3!A250,'Flow2 '!E:E,Flow3!B250)</f>
        <v>2351.9049786798009</v>
      </c>
      <c r="D250" s="19">
        <f t="shared" si="3"/>
        <v>94.076199147192042</v>
      </c>
    </row>
    <row r="251" spans="1:4" x14ac:dyDescent="0.25">
      <c r="A251" s="14" t="s">
        <v>44</v>
      </c>
      <c r="B251" s="14" t="s">
        <v>43</v>
      </c>
      <c r="C251" s="22">
        <f>SUMIFS('Flow2 '!$C:$C,'Flow2 '!$D:$D,Flow3!A251,'Flow2 '!E:E,Flow3!B251)</f>
        <v>9654</v>
      </c>
      <c r="D251" s="19">
        <f t="shared" si="3"/>
        <v>386.16</v>
      </c>
    </row>
    <row r="252" spans="1:4" x14ac:dyDescent="0.25">
      <c r="A252" s="14" t="s">
        <v>44</v>
      </c>
      <c r="B252" s="14" t="s">
        <v>44</v>
      </c>
      <c r="C252" s="22">
        <f>SUMIFS('Flow2 '!$C:$C,'Flow2 '!$D:$D,Flow3!A252,'Flow2 '!E:E,Flow3!B252)</f>
        <v>1008910</v>
      </c>
      <c r="D252" s="19">
        <f t="shared" si="3"/>
        <v>40356.400000000001</v>
      </c>
    </row>
    <row r="253" spans="1:4" x14ac:dyDescent="0.25">
      <c r="A253" s="14" t="s">
        <v>44</v>
      </c>
      <c r="B253" s="14" t="s">
        <v>45</v>
      </c>
      <c r="C253" s="22">
        <f>SUMIFS('Flow2 '!$C:$C,'Flow2 '!$D:$D,Flow3!A253,'Flow2 '!E:E,Flow3!B253)</f>
        <v>74919</v>
      </c>
      <c r="D253" s="19">
        <f t="shared" si="3"/>
        <v>2996.76</v>
      </c>
    </row>
    <row r="254" spans="1:4" x14ac:dyDescent="0.25">
      <c r="A254" s="14" t="s">
        <v>44</v>
      </c>
      <c r="B254" s="14" t="s">
        <v>46</v>
      </c>
      <c r="C254" s="22">
        <f>SUMIFS('Flow2 '!$C:$C,'Flow2 '!$D:$D,Flow3!A254,'Flow2 '!E:E,Flow3!B254)</f>
        <v>712058</v>
      </c>
      <c r="D254" s="19">
        <f t="shared" si="3"/>
        <v>28482.32</v>
      </c>
    </row>
    <row r="255" spans="1:4" x14ac:dyDescent="0.25">
      <c r="A255" s="14" t="s">
        <v>44</v>
      </c>
      <c r="B255" s="14" t="s">
        <v>47</v>
      </c>
      <c r="C255" s="22">
        <f>SUMIFS('Flow2 '!$C:$C,'Flow2 '!$D:$D,Flow3!A255,'Flow2 '!E:E,Flow3!B255)</f>
        <v>6708</v>
      </c>
      <c r="D255" s="19">
        <f t="shared" si="3"/>
        <v>268.32</v>
      </c>
    </row>
    <row r="256" spans="1:4" x14ac:dyDescent="0.25">
      <c r="A256" s="14" t="s">
        <v>44</v>
      </c>
      <c r="B256" s="14" t="s">
        <v>48</v>
      </c>
      <c r="C256" s="22">
        <f>SUMIFS('Flow2 '!$C:$C,'Flow2 '!$D:$D,Flow3!A256,'Flow2 '!E:E,Flow3!B256)</f>
        <v>74548</v>
      </c>
      <c r="D256" s="19">
        <f t="shared" si="3"/>
        <v>2981.92</v>
      </c>
    </row>
    <row r="257" spans="1:4" x14ac:dyDescent="0.25">
      <c r="A257" s="14" t="s">
        <v>44</v>
      </c>
      <c r="B257" s="14" t="s">
        <v>49</v>
      </c>
      <c r="C257" s="22">
        <f>SUMIFS('Flow2 '!$C:$C,'Flow2 '!$D:$D,Flow3!A257,'Flow2 '!E:E,Flow3!B257)</f>
        <v>821</v>
      </c>
      <c r="D257" s="19">
        <f t="shared" si="3"/>
        <v>32.840000000000003</v>
      </c>
    </row>
    <row r="258" spans="1:4" x14ac:dyDescent="0.25">
      <c r="A258" s="14" t="s">
        <v>44</v>
      </c>
      <c r="B258" s="14" t="s">
        <v>50</v>
      </c>
      <c r="C258" s="22">
        <f>SUMIFS('Flow2 '!$C:$C,'Flow2 '!$D:$D,Flow3!A258,'Flow2 '!E:E,Flow3!B258)</f>
        <v>4683</v>
      </c>
      <c r="D258" s="19">
        <f t="shared" si="3"/>
        <v>187.32</v>
      </c>
    </row>
    <row r="259" spans="1:4" x14ac:dyDescent="0.25">
      <c r="A259" s="14" t="s">
        <v>44</v>
      </c>
      <c r="B259" s="14" t="s">
        <v>51</v>
      </c>
      <c r="C259" s="22">
        <f>SUMIFS('Flow2 '!$C:$C,'Flow2 '!$D:$D,Flow3!A259,'Flow2 '!E:E,Flow3!B259)</f>
        <v>206</v>
      </c>
      <c r="D259" s="19">
        <f t="shared" ref="D259:D322" si="4">C259/25</f>
        <v>8.24</v>
      </c>
    </row>
    <row r="260" spans="1:4" x14ac:dyDescent="0.25">
      <c r="A260" s="14" t="s">
        <v>44</v>
      </c>
      <c r="B260" s="14" t="s">
        <v>52</v>
      </c>
      <c r="C260" s="22">
        <f>SUMIFS('Flow2 '!$C:$C,'Flow2 '!$D:$D,Flow3!A260,'Flow2 '!E:E,Flow3!B260)</f>
        <v>10741</v>
      </c>
      <c r="D260" s="19">
        <f t="shared" si="4"/>
        <v>429.64</v>
      </c>
    </row>
    <row r="261" spans="1:4" x14ac:dyDescent="0.25">
      <c r="A261" s="14" t="s">
        <v>44</v>
      </c>
      <c r="B261" s="14" t="s">
        <v>53</v>
      </c>
      <c r="C261" s="22">
        <f>SUMIFS('Flow2 '!$C:$C,'Flow2 '!$D:$D,Flow3!A261,'Flow2 '!E:E,Flow3!B261)</f>
        <v>4166</v>
      </c>
      <c r="D261" s="19">
        <f t="shared" si="4"/>
        <v>166.64</v>
      </c>
    </row>
    <row r="262" spans="1:4" x14ac:dyDescent="0.25">
      <c r="A262" s="14" t="s">
        <v>44</v>
      </c>
      <c r="B262" s="14" t="s">
        <v>54</v>
      </c>
      <c r="C262" s="22">
        <f>SUMIFS('Flow2 '!$C:$C,'Flow2 '!$D:$D,Flow3!A262,'Flow2 '!E:E,Flow3!B262)</f>
        <v>3268</v>
      </c>
      <c r="D262" s="19">
        <f t="shared" si="4"/>
        <v>130.72</v>
      </c>
    </row>
    <row r="263" spans="1:4" x14ac:dyDescent="0.25">
      <c r="A263" s="14" t="s">
        <v>44</v>
      </c>
      <c r="B263" s="14" t="s">
        <v>55</v>
      </c>
      <c r="C263" s="22">
        <f>SUMIFS('Flow2 '!$C:$C,'Flow2 '!$D:$D,Flow3!A263,'Flow2 '!E:E,Flow3!B263)</f>
        <v>1563</v>
      </c>
      <c r="D263" s="19">
        <f t="shared" si="4"/>
        <v>62.52</v>
      </c>
    </row>
    <row r="264" spans="1:4" x14ac:dyDescent="0.25">
      <c r="A264" s="14" t="s">
        <v>44</v>
      </c>
      <c r="B264" s="14" t="s">
        <v>56</v>
      </c>
      <c r="C264" s="22">
        <f>SUMIFS('Flow2 '!$C:$C,'Flow2 '!$D:$D,Flow3!A264,'Flow2 '!E:E,Flow3!B264)</f>
        <v>283</v>
      </c>
      <c r="D264" s="19">
        <f t="shared" si="4"/>
        <v>11.32</v>
      </c>
    </row>
    <row r="265" spans="1:4" x14ac:dyDescent="0.25">
      <c r="A265" s="14" t="s">
        <v>44</v>
      </c>
      <c r="B265" s="14" t="s">
        <v>57</v>
      </c>
      <c r="C265" s="22">
        <f>SUMIFS('Flow2 '!$C:$C,'Flow2 '!$D:$D,Flow3!A265,'Flow2 '!E:E,Flow3!B265)</f>
        <v>1424</v>
      </c>
      <c r="D265" s="19">
        <f t="shared" si="4"/>
        <v>56.96</v>
      </c>
    </row>
    <row r="266" spans="1:4" x14ac:dyDescent="0.25">
      <c r="A266" s="15" t="s">
        <v>45</v>
      </c>
      <c r="B266" s="15" t="s">
        <v>34</v>
      </c>
      <c r="C266" s="22">
        <f>SUMIFS('Flow2 '!$C:$C,'Flow2 '!$D:$D,Flow3!A266,'Flow2 '!E:E,Flow3!B266)</f>
        <v>149866</v>
      </c>
      <c r="D266" s="19">
        <f t="shared" si="4"/>
        <v>5994.64</v>
      </c>
    </row>
    <row r="267" spans="1:4" x14ac:dyDescent="0.25">
      <c r="A267" s="15" t="s">
        <v>45</v>
      </c>
      <c r="B267" s="15" t="s">
        <v>35</v>
      </c>
      <c r="C267" s="22">
        <f>SUMIFS('Flow2 '!$C:$C,'Flow2 '!$D:$D,Flow3!A267,'Flow2 '!E:E,Flow3!B267)</f>
        <v>84683.033074961364</v>
      </c>
      <c r="D267" s="19">
        <f t="shared" si="4"/>
        <v>3387.3213229984544</v>
      </c>
    </row>
    <row r="268" spans="1:4" x14ac:dyDescent="0.25">
      <c r="A268" s="15" t="s">
        <v>45</v>
      </c>
      <c r="B268" s="15" t="s">
        <v>36</v>
      </c>
      <c r="C268" s="22">
        <f>SUMIFS('Flow2 '!$C:$C,'Flow2 '!$D:$D,Flow3!A268,'Flow2 '!E:E,Flow3!B268)</f>
        <v>278081</v>
      </c>
      <c r="D268" s="19">
        <f t="shared" si="4"/>
        <v>11123.24</v>
      </c>
    </row>
    <row r="269" spans="1:4" x14ac:dyDescent="0.25">
      <c r="A269" s="15" t="s">
        <v>45</v>
      </c>
      <c r="B269" s="15" t="s">
        <v>37</v>
      </c>
      <c r="C269" s="22">
        <f>SUMIFS('Flow2 '!$C:$C,'Flow2 '!$D:$D,Flow3!A269,'Flow2 '!E:E,Flow3!B269)</f>
        <v>360131</v>
      </c>
      <c r="D269" s="19">
        <f t="shared" si="4"/>
        <v>14405.24</v>
      </c>
    </row>
    <row r="270" spans="1:4" x14ac:dyDescent="0.25">
      <c r="A270" s="15" t="s">
        <v>45</v>
      </c>
      <c r="B270" s="15" t="s">
        <v>38</v>
      </c>
      <c r="C270" s="22">
        <f>SUMIFS('Flow2 '!$C:$C,'Flow2 '!$D:$D,Flow3!A270,'Flow2 '!E:E,Flow3!B270)</f>
        <v>87626</v>
      </c>
      <c r="D270" s="19">
        <f t="shared" si="4"/>
        <v>3505.04</v>
      </c>
    </row>
    <row r="271" spans="1:4" x14ac:dyDescent="0.25">
      <c r="A271" s="15" t="s">
        <v>45</v>
      </c>
      <c r="B271" s="15" t="s">
        <v>39</v>
      </c>
      <c r="C271" s="22">
        <f>SUMIFS('Flow2 '!$C:$C,'Flow2 '!$D:$D,Flow3!A271,'Flow2 '!E:E,Flow3!B271)</f>
        <v>1905021</v>
      </c>
      <c r="D271" s="19">
        <f t="shared" si="4"/>
        <v>76200.84</v>
      </c>
    </row>
    <row r="272" spans="1:4" x14ac:dyDescent="0.25">
      <c r="A272" s="15" t="s">
        <v>45</v>
      </c>
      <c r="B272" s="15" t="s">
        <v>40</v>
      </c>
      <c r="C272" s="22">
        <f>SUMIFS('Flow2 '!$C:$C,'Flow2 '!$D:$D,Flow3!A272,'Flow2 '!E:E,Flow3!B272)</f>
        <v>273905</v>
      </c>
      <c r="D272" s="19">
        <f t="shared" si="4"/>
        <v>10956.2</v>
      </c>
    </row>
    <row r="273" spans="1:4" x14ac:dyDescent="0.25">
      <c r="A273" s="15" t="s">
        <v>45</v>
      </c>
      <c r="B273" s="15" t="s">
        <v>41</v>
      </c>
      <c r="C273" s="22">
        <f>SUMIFS('Flow2 '!$C:$C,'Flow2 '!$D:$D,Flow3!A273,'Flow2 '!E:E,Flow3!B273)</f>
        <v>971418</v>
      </c>
      <c r="D273" s="19">
        <f t="shared" si="4"/>
        <v>38856.720000000001</v>
      </c>
    </row>
    <row r="274" spans="1:4" x14ac:dyDescent="0.25">
      <c r="A274" s="15" t="s">
        <v>45</v>
      </c>
      <c r="B274" s="15" t="s">
        <v>42</v>
      </c>
      <c r="C274" s="22">
        <f>SUMIFS('Flow2 '!$C:$C,'Flow2 '!$D:$D,Flow3!A274,'Flow2 '!E:E,Flow3!B274)</f>
        <v>148024.96692503867</v>
      </c>
      <c r="D274" s="19">
        <f t="shared" si="4"/>
        <v>5920.9986770015466</v>
      </c>
    </row>
    <row r="275" spans="1:4" x14ac:dyDescent="0.25">
      <c r="A275" s="15" t="s">
        <v>45</v>
      </c>
      <c r="B275" s="15" t="s">
        <v>43</v>
      </c>
      <c r="C275" s="22">
        <f>SUMIFS('Flow2 '!$C:$C,'Flow2 '!$D:$D,Flow3!A275,'Flow2 '!E:E,Flow3!B275)</f>
        <v>420213</v>
      </c>
      <c r="D275" s="19">
        <f t="shared" si="4"/>
        <v>16808.52</v>
      </c>
    </row>
    <row r="276" spans="1:4" x14ac:dyDescent="0.25">
      <c r="A276" s="15" t="s">
        <v>45</v>
      </c>
      <c r="B276" s="15" t="s">
        <v>44</v>
      </c>
      <c r="C276" s="22">
        <f>SUMIFS('Flow2 '!$C:$C,'Flow2 '!$D:$D,Flow3!A276,'Flow2 '!E:E,Flow3!B276)</f>
        <v>1725434</v>
      </c>
      <c r="D276" s="19">
        <f t="shared" si="4"/>
        <v>69017.36</v>
      </c>
    </row>
    <row r="277" spans="1:4" x14ac:dyDescent="0.25">
      <c r="A277" s="15" t="s">
        <v>45</v>
      </c>
      <c r="B277" s="15" t="s">
        <v>45</v>
      </c>
      <c r="C277" s="22">
        <f>SUMIFS('Flow2 '!$C:$C,'Flow2 '!$D:$D,Flow3!A277,'Flow2 '!E:E,Flow3!B277)</f>
        <v>23744998</v>
      </c>
      <c r="D277" s="19">
        <f t="shared" si="4"/>
        <v>949799.92</v>
      </c>
    </row>
    <row r="278" spans="1:4" x14ac:dyDescent="0.25">
      <c r="A278" s="15" t="s">
        <v>45</v>
      </c>
      <c r="B278" s="15" t="s">
        <v>46</v>
      </c>
      <c r="C278" s="22">
        <f>SUMIFS('Flow2 '!$C:$C,'Flow2 '!$D:$D,Flow3!A278,'Flow2 '!E:E,Flow3!B278)</f>
        <v>7326096</v>
      </c>
      <c r="D278" s="19">
        <f t="shared" si="4"/>
        <v>293043.84000000003</v>
      </c>
    </row>
    <row r="279" spans="1:4" x14ac:dyDescent="0.25">
      <c r="A279" s="15" t="s">
        <v>45</v>
      </c>
      <c r="B279" s="15" t="s">
        <v>47</v>
      </c>
      <c r="C279" s="22">
        <f>SUMIFS('Flow2 '!$C:$C,'Flow2 '!$D:$D,Flow3!A279,'Flow2 '!E:E,Flow3!B279)</f>
        <v>1345272</v>
      </c>
      <c r="D279" s="19">
        <f t="shared" si="4"/>
        <v>53810.879999999997</v>
      </c>
    </row>
    <row r="280" spans="1:4" x14ac:dyDescent="0.25">
      <c r="A280" s="15" t="s">
        <v>45</v>
      </c>
      <c r="B280" s="15" t="s">
        <v>48</v>
      </c>
      <c r="C280" s="22">
        <f>SUMIFS('Flow2 '!$C:$C,'Flow2 '!$D:$D,Flow3!A280,'Flow2 '!E:E,Flow3!B280)</f>
        <v>7765225</v>
      </c>
      <c r="D280" s="19">
        <f t="shared" si="4"/>
        <v>310609</v>
      </c>
    </row>
    <row r="281" spans="1:4" x14ac:dyDescent="0.25">
      <c r="A281" s="15" t="s">
        <v>45</v>
      </c>
      <c r="B281" s="15" t="s">
        <v>49</v>
      </c>
      <c r="C281" s="22">
        <f>SUMIFS('Flow2 '!$C:$C,'Flow2 '!$D:$D,Flow3!A281,'Flow2 '!E:E,Flow3!B281)</f>
        <v>92560</v>
      </c>
      <c r="D281" s="19">
        <f t="shared" si="4"/>
        <v>3702.4</v>
      </c>
    </row>
    <row r="282" spans="1:4" x14ac:dyDescent="0.25">
      <c r="A282" s="15" t="s">
        <v>45</v>
      </c>
      <c r="B282" s="15" t="s">
        <v>50</v>
      </c>
      <c r="C282" s="22">
        <f>SUMIFS('Flow2 '!$C:$C,'Flow2 '!$D:$D,Flow3!A282,'Flow2 '!E:E,Flow3!B282)</f>
        <v>408653</v>
      </c>
      <c r="D282" s="19">
        <f t="shared" si="4"/>
        <v>16346.12</v>
      </c>
    </row>
    <row r="283" spans="1:4" x14ac:dyDescent="0.25">
      <c r="A283" s="15" t="s">
        <v>45</v>
      </c>
      <c r="B283" s="15" t="s">
        <v>51</v>
      </c>
      <c r="C283" s="22">
        <f>SUMIFS('Flow2 '!$C:$C,'Flow2 '!$D:$D,Flow3!A283,'Flow2 '!E:E,Flow3!B283)</f>
        <v>30170</v>
      </c>
      <c r="D283" s="19">
        <f t="shared" si="4"/>
        <v>1206.8</v>
      </c>
    </row>
    <row r="284" spans="1:4" x14ac:dyDescent="0.25">
      <c r="A284" s="15" t="s">
        <v>45</v>
      </c>
      <c r="B284" s="15" t="s">
        <v>52</v>
      </c>
      <c r="C284" s="22">
        <f>SUMIFS('Flow2 '!$C:$C,'Flow2 '!$D:$D,Flow3!A284,'Flow2 '!E:E,Flow3!B284)</f>
        <v>363074</v>
      </c>
      <c r="D284" s="19">
        <f t="shared" si="4"/>
        <v>14522.96</v>
      </c>
    </row>
    <row r="285" spans="1:4" x14ac:dyDescent="0.25">
      <c r="A285" s="15" t="s">
        <v>45</v>
      </c>
      <c r="B285" s="15" t="s">
        <v>53</v>
      </c>
      <c r="C285" s="22">
        <f>SUMIFS('Flow2 '!$C:$C,'Flow2 '!$D:$D,Flow3!A285,'Flow2 '!E:E,Flow3!B285)</f>
        <v>430122</v>
      </c>
      <c r="D285" s="19">
        <f t="shared" si="4"/>
        <v>17204.88</v>
      </c>
    </row>
    <row r="286" spans="1:4" x14ac:dyDescent="0.25">
      <c r="A286" s="15" t="s">
        <v>45</v>
      </c>
      <c r="B286" s="15" t="s">
        <v>54</v>
      </c>
      <c r="C286" s="22">
        <f>SUMIFS('Flow2 '!$C:$C,'Flow2 '!$D:$D,Flow3!A286,'Flow2 '!E:E,Flow3!B286)</f>
        <v>286685</v>
      </c>
      <c r="D286" s="19">
        <f t="shared" si="4"/>
        <v>11467.4</v>
      </c>
    </row>
    <row r="287" spans="1:4" x14ac:dyDescent="0.25">
      <c r="A287" s="15" t="s">
        <v>45</v>
      </c>
      <c r="B287" s="15" t="s">
        <v>55</v>
      </c>
      <c r="C287" s="22">
        <f>SUMIFS('Flow2 '!$C:$C,'Flow2 '!$D:$D,Flow3!A287,'Flow2 '!E:E,Flow3!B287)</f>
        <v>248132</v>
      </c>
      <c r="D287" s="19">
        <f t="shared" si="4"/>
        <v>9925.2800000000007</v>
      </c>
    </row>
    <row r="288" spans="1:4" x14ac:dyDescent="0.25">
      <c r="A288" s="15" t="s">
        <v>45</v>
      </c>
      <c r="B288" s="15" t="s">
        <v>56</v>
      </c>
      <c r="C288" s="22">
        <f>SUMIFS('Flow2 '!$C:$C,'Flow2 '!$D:$D,Flow3!A288,'Flow2 '!E:E,Flow3!B288)</f>
        <v>20117</v>
      </c>
      <c r="D288" s="19">
        <f t="shared" si="4"/>
        <v>804.68</v>
      </c>
    </row>
    <row r="289" spans="1:4" x14ac:dyDescent="0.25">
      <c r="A289" s="15" t="s">
        <v>45</v>
      </c>
      <c r="B289" s="15" t="s">
        <v>57</v>
      </c>
      <c r="C289" s="22">
        <f>SUMIFS('Flow2 '!$C:$C,'Flow2 '!$D:$D,Flow3!A289,'Flow2 '!E:E,Flow3!B289)</f>
        <v>176128</v>
      </c>
      <c r="D289" s="19">
        <f t="shared" si="4"/>
        <v>7045.12</v>
      </c>
    </row>
    <row r="290" spans="1:4" x14ac:dyDescent="0.25">
      <c r="A290" s="16" t="s">
        <v>46</v>
      </c>
      <c r="B290" s="16" t="s">
        <v>34</v>
      </c>
      <c r="C290" s="22">
        <f>SUMIFS('Flow2 '!$C:$C,'Flow2 '!$D:$D,Flow3!A290,'Flow2 '!E:E,Flow3!B290)</f>
        <v>404294</v>
      </c>
      <c r="D290" s="19">
        <f t="shared" si="4"/>
        <v>16171.76</v>
      </c>
    </row>
    <row r="291" spans="1:4" x14ac:dyDescent="0.25">
      <c r="A291" s="16" t="s">
        <v>46</v>
      </c>
      <c r="B291" s="16" t="s">
        <v>35</v>
      </c>
      <c r="C291" s="22">
        <f>SUMIFS('Flow2 '!$C:$C,'Flow2 '!$D:$D,Flow3!A291,'Flow2 '!E:E,Flow3!B291)</f>
        <v>183682.76884544161</v>
      </c>
      <c r="D291" s="19">
        <f t="shared" si="4"/>
        <v>7347.3107538176646</v>
      </c>
    </row>
    <row r="292" spans="1:4" x14ac:dyDescent="0.25">
      <c r="A292" s="16" t="s">
        <v>46</v>
      </c>
      <c r="B292" s="16" t="s">
        <v>36</v>
      </c>
      <c r="C292" s="22">
        <f>SUMIFS('Flow2 '!$C:$C,'Flow2 '!$D:$D,Flow3!A292,'Flow2 '!E:E,Flow3!B292)</f>
        <v>229486</v>
      </c>
      <c r="D292" s="19">
        <f t="shared" si="4"/>
        <v>9179.44</v>
      </c>
    </row>
    <row r="293" spans="1:4" x14ac:dyDescent="0.25">
      <c r="A293" s="16" t="s">
        <v>46</v>
      </c>
      <c r="B293" s="16" t="s">
        <v>37</v>
      </c>
      <c r="C293" s="22">
        <f>SUMIFS('Flow2 '!$C:$C,'Flow2 '!$D:$D,Flow3!A293,'Flow2 '!E:E,Flow3!B293)</f>
        <v>487888</v>
      </c>
      <c r="D293" s="19">
        <f t="shared" si="4"/>
        <v>19515.52</v>
      </c>
    </row>
    <row r="294" spans="1:4" x14ac:dyDescent="0.25">
      <c r="A294" s="16" t="s">
        <v>46</v>
      </c>
      <c r="B294" s="16" t="s">
        <v>38</v>
      </c>
      <c r="C294" s="22">
        <f>SUMIFS('Flow2 '!$C:$C,'Flow2 '!$D:$D,Flow3!A294,'Flow2 '!E:E,Flow3!B294)</f>
        <v>142117</v>
      </c>
      <c r="D294" s="19">
        <f t="shared" si="4"/>
        <v>5684.68</v>
      </c>
    </row>
    <row r="295" spans="1:4" x14ac:dyDescent="0.25">
      <c r="A295" s="16" t="s">
        <v>46</v>
      </c>
      <c r="B295" s="16" t="s">
        <v>39</v>
      </c>
      <c r="C295" s="22">
        <f>SUMIFS('Flow2 '!$C:$C,'Flow2 '!$D:$D,Flow3!A295,'Flow2 '!E:E,Flow3!B295)</f>
        <v>4103375</v>
      </c>
      <c r="D295" s="19">
        <f t="shared" si="4"/>
        <v>164135</v>
      </c>
    </row>
    <row r="296" spans="1:4" x14ac:dyDescent="0.25">
      <c r="A296" s="16" t="s">
        <v>46</v>
      </c>
      <c r="B296" s="16" t="s">
        <v>40</v>
      </c>
      <c r="C296" s="22">
        <f>SUMIFS('Flow2 '!$C:$C,'Flow2 '!$D:$D,Flow3!A296,'Flow2 '!E:E,Flow3!B296)</f>
        <v>251607</v>
      </c>
      <c r="D296" s="19">
        <f t="shared" si="4"/>
        <v>10064.280000000001</v>
      </c>
    </row>
    <row r="297" spans="1:4" x14ac:dyDescent="0.25">
      <c r="A297" s="16" t="s">
        <v>46</v>
      </c>
      <c r="B297" s="16" t="s">
        <v>41</v>
      </c>
      <c r="C297" s="22">
        <f>SUMIFS('Flow2 '!$C:$C,'Flow2 '!$D:$D,Flow3!A297,'Flow2 '!E:E,Flow3!B297)</f>
        <v>1972177</v>
      </c>
      <c r="D297" s="19">
        <f t="shared" si="4"/>
        <v>78887.08</v>
      </c>
    </row>
    <row r="298" spans="1:4" x14ac:dyDescent="0.25">
      <c r="A298" s="16" t="s">
        <v>46</v>
      </c>
      <c r="B298" s="16" t="s">
        <v>42</v>
      </c>
      <c r="C298" s="22">
        <f>SUMIFS('Flow2 '!$C:$C,'Flow2 '!$D:$D,Flow3!A298,'Flow2 '!E:E,Flow3!B298)</f>
        <v>272194.23115455842</v>
      </c>
      <c r="D298" s="19">
        <f t="shared" si="4"/>
        <v>10887.769246182337</v>
      </c>
    </row>
    <row r="299" spans="1:4" x14ac:dyDescent="0.25">
      <c r="A299" s="16" t="s">
        <v>46</v>
      </c>
      <c r="B299" s="16" t="s">
        <v>43</v>
      </c>
      <c r="C299" s="22">
        <f>SUMIFS('Flow2 '!$C:$C,'Flow2 '!$D:$D,Flow3!A299,'Flow2 '!E:E,Flow3!B299)</f>
        <v>622480</v>
      </c>
      <c r="D299" s="19">
        <f t="shared" si="4"/>
        <v>24899.200000000001</v>
      </c>
    </row>
    <row r="300" spans="1:4" x14ac:dyDescent="0.25">
      <c r="A300" s="16" t="s">
        <v>46</v>
      </c>
      <c r="B300" s="16" t="s">
        <v>44</v>
      </c>
      <c r="C300" s="22">
        <f>SUMIFS('Flow2 '!$C:$C,'Flow2 '!$D:$D,Flow3!A300,'Flow2 '!E:E,Flow3!B300)</f>
        <v>4651318</v>
      </c>
      <c r="D300" s="19">
        <f t="shared" si="4"/>
        <v>186052.72</v>
      </c>
    </row>
    <row r="301" spans="1:4" x14ac:dyDescent="0.25">
      <c r="A301" s="16" t="s">
        <v>46</v>
      </c>
      <c r="B301" s="16" t="s">
        <v>45</v>
      </c>
      <c r="C301" s="22">
        <f>SUMIFS('Flow2 '!$C:$C,'Flow2 '!$D:$D,Flow3!A301,'Flow2 '!E:E,Flow3!B301)</f>
        <v>6009666</v>
      </c>
      <c r="D301" s="19">
        <f t="shared" si="4"/>
        <v>240386.64</v>
      </c>
    </row>
    <row r="302" spans="1:4" x14ac:dyDescent="0.25">
      <c r="A302" s="16" t="s">
        <v>46</v>
      </c>
      <c r="B302" s="16" t="s">
        <v>46</v>
      </c>
      <c r="C302" s="22">
        <f>SUMIFS('Flow2 '!$C:$C,'Flow2 '!$D:$D,Flow3!A302,'Flow2 '!E:E,Flow3!B302)</f>
        <v>39550598</v>
      </c>
      <c r="D302" s="19">
        <f t="shared" si="4"/>
        <v>1582023.92</v>
      </c>
    </row>
    <row r="303" spans="1:4" x14ac:dyDescent="0.25">
      <c r="A303" s="16" t="s">
        <v>46</v>
      </c>
      <c r="B303" s="16" t="s">
        <v>47</v>
      </c>
      <c r="C303" s="22">
        <f>SUMIFS('Flow2 '!$C:$C,'Flow2 '!$D:$D,Flow3!A303,'Flow2 '!E:E,Flow3!B303)</f>
        <v>499170</v>
      </c>
      <c r="D303" s="19">
        <f t="shared" si="4"/>
        <v>19966.8</v>
      </c>
    </row>
    <row r="304" spans="1:4" x14ac:dyDescent="0.25">
      <c r="A304" s="16" t="s">
        <v>46</v>
      </c>
      <c r="B304" s="16" t="s">
        <v>48</v>
      </c>
      <c r="C304" s="22">
        <f>SUMIFS('Flow2 '!$C:$C,'Flow2 '!$D:$D,Flow3!A304,'Flow2 '!E:E,Flow3!B304)</f>
        <v>3378038</v>
      </c>
      <c r="D304" s="19">
        <f t="shared" si="4"/>
        <v>135121.51999999999</v>
      </c>
    </row>
    <row r="305" spans="1:4" x14ac:dyDescent="0.25">
      <c r="A305" s="16" t="s">
        <v>46</v>
      </c>
      <c r="B305" s="16" t="s">
        <v>49</v>
      </c>
      <c r="C305" s="22">
        <f>SUMIFS('Flow2 '!$C:$C,'Flow2 '!$D:$D,Flow3!A305,'Flow2 '!E:E,Flow3!B305)</f>
        <v>167932</v>
      </c>
      <c r="D305" s="19">
        <f t="shared" si="4"/>
        <v>6717.28</v>
      </c>
    </row>
    <row r="306" spans="1:4" x14ac:dyDescent="0.25">
      <c r="A306" s="16" t="s">
        <v>46</v>
      </c>
      <c r="B306" s="16" t="s">
        <v>50</v>
      </c>
      <c r="C306" s="22">
        <f>SUMIFS('Flow2 '!$C:$C,'Flow2 '!$D:$D,Flow3!A306,'Flow2 '!E:E,Flow3!B306)</f>
        <v>645408</v>
      </c>
      <c r="D306" s="19">
        <f t="shared" si="4"/>
        <v>25816.32</v>
      </c>
    </row>
    <row r="307" spans="1:4" x14ac:dyDescent="0.25">
      <c r="A307" s="16" t="s">
        <v>46</v>
      </c>
      <c r="B307" s="16" t="s">
        <v>51</v>
      </c>
      <c r="C307" s="22">
        <f>SUMIFS('Flow2 '!$C:$C,'Flow2 '!$D:$D,Flow3!A307,'Flow2 '!E:E,Flow3!B307)</f>
        <v>38307</v>
      </c>
      <c r="D307" s="19">
        <f t="shared" si="4"/>
        <v>1532.28</v>
      </c>
    </row>
    <row r="308" spans="1:4" x14ac:dyDescent="0.25">
      <c r="A308" s="16" t="s">
        <v>46</v>
      </c>
      <c r="B308" s="16" t="s">
        <v>52</v>
      </c>
      <c r="C308" s="22">
        <f>SUMIFS('Flow2 '!$C:$C,'Flow2 '!$D:$D,Flow3!A308,'Flow2 '!E:E,Flow3!B308)</f>
        <v>441907</v>
      </c>
      <c r="D308" s="19">
        <f t="shared" si="4"/>
        <v>17676.28</v>
      </c>
    </row>
    <row r="309" spans="1:4" x14ac:dyDescent="0.25">
      <c r="A309" s="16" t="s">
        <v>46</v>
      </c>
      <c r="B309" s="16" t="s">
        <v>53</v>
      </c>
      <c r="C309" s="22">
        <f>SUMIFS('Flow2 '!$C:$C,'Flow2 '!$D:$D,Flow3!A309,'Flow2 '!E:E,Flow3!B309)</f>
        <v>457185</v>
      </c>
      <c r="D309" s="19">
        <f t="shared" si="4"/>
        <v>18287.400000000001</v>
      </c>
    </row>
    <row r="310" spans="1:4" x14ac:dyDescent="0.25">
      <c r="A310" s="16" t="s">
        <v>46</v>
      </c>
      <c r="B310" s="16" t="s">
        <v>54</v>
      </c>
      <c r="C310" s="22">
        <f>SUMIFS('Flow2 '!$C:$C,'Flow2 '!$D:$D,Flow3!A310,'Flow2 '!E:E,Flow3!B310)</f>
        <v>365568</v>
      </c>
      <c r="D310" s="19">
        <f t="shared" si="4"/>
        <v>14622.72</v>
      </c>
    </row>
    <row r="311" spans="1:4" x14ac:dyDescent="0.25">
      <c r="A311" s="16" t="s">
        <v>46</v>
      </c>
      <c r="B311" s="16" t="s">
        <v>55</v>
      </c>
      <c r="C311" s="22">
        <f>SUMIFS('Flow2 '!$C:$C,'Flow2 '!$D:$D,Flow3!A311,'Flow2 '!E:E,Flow3!B311)</f>
        <v>253443</v>
      </c>
      <c r="D311" s="19">
        <f t="shared" si="4"/>
        <v>10137.719999999999</v>
      </c>
    </row>
    <row r="312" spans="1:4" x14ac:dyDescent="0.25">
      <c r="A312" s="16" t="s">
        <v>46</v>
      </c>
      <c r="B312" s="16" t="s">
        <v>56</v>
      </c>
      <c r="C312" s="22">
        <f>SUMIFS('Flow2 '!$C:$C,'Flow2 '!$D:$D,Flow3!A312,'Flow2 '!E:E,Flow3!B312)</f>
        <v>20805</v>
      </c>
      <c r="D312" s="19">
        <f t="shared" si="4"/>
        <v>832.2</v>
      </c>
    </row>
    <row r="313" spans="1:4" x14ac:dyDescent="0.25">
      <c r="A313" s="16" t="s">
        <v>46</v>
      </c>
      <c r="B313" s="16" t="s">
        <v>57</v>
      </c>
      <c r="C313" s="22">
        <f>SUMIFS('Flow2 '!$C:$C,'Flow2 '!$D:$D,Flow3!A313,'Flow2 '!E:E,Flow3!B313)</f>
        <v>147555</v>
      </c>
      <c r="D313" s="19">
        <f t="shared" si="4"/>
        <v>5902.2</v>
      </c>
    </row>
    <row r="314" spans="1:4" x14ac:dyDescent="0.25">
      <c r="A314" s="17" t="s">
        <v>47</v>
      </c>
      <c r="B314" s="17" t="s">
        <v>34</v>
      </c>
      <c r="C314" s="22">
        <f>SUMIFS('Flow2 '!$C:$C,'Flow2 '!$D:$D,Flow3!A314,'Flow2 '!E:E,Flow3!B314)</f>
        <v>5134</v>
      </c>
      <c r="D314" s="19">
        <f t="shared" si="4"/>
        <v>205.36</v>
      </c>
    </row>
    <row r="315" spans="1:4" x14ac:dyDescent="0.25">
      <c r="A315" s="17" t="s">
        <v>47</v>
      </c>
      <c r="B315" s="17" t="s">
        <v>35</v>
      </c>
      <c r="C315" s="22">
        <f>SUMIFS('Flow2 '!$C:$C,'Flow2 '!$D:$D,Flow3!A315,'Flow2 '!E:E,Flow3!B315)</f>
        <v>2606.3724711678633</v>
      </c>
      <c r="D315" s="19">
        <f t="shared" si="4"/>
        <v>104.25489884671453</v>
      </c>
    </row>
    <row r="316" spans="1:4" x14ac:dyDescent="0.25">
      <c r="A316" s="17" t="s">
        <v>47</v>
      </c>
      <c r="B316" s="17" t="s">
        <v>36</v>
      </c>
      <c r="C316" s="22">
        <f>SUMIFS('Flow2 '!$C:$C,'Flow2 '!$D:$D,Flow3!A316,'Flow2 '!E:E,Flow3!B316)</f>
        <v>10449</v>
      </c>
      <c r="D316" s="19">
        <f t="shared" si="4"/>
        <v>417.96</v>
      </c>
    </row>
    <row r="317" spans="1:4" x14ac:dyDescent="0.25">
      <c r="A317" s="17" t="s">
        <v>47</v>
      </c>
      <c r="B317" s="17" t="s">
        <v>37</v>
      </c>
      <c r="C317" s="22">
        <f>SUMIFS('Flow2 '!$C:$C,'Flow2 '!$D:$D,Flow3!A317,'Flow2 '!E:E,Flow3!B317)</f>
        <v>16412</v>
      </c>
      <c r="D317" s="19">
        <f t="shared" si="4"/>
        <v>656.48</v>
      </c>
    </row>
    <row r="318" spans="1:4" x14ac:dyDescent="0.25">
      <c r="A318" s="17" t="s">
        <v>47</v>
      </c>
      <c r="B318" s="17" t="s">
        <v>38</v>
      </c>
      <c r="C318" s="22">
        <f>SUMIFS('Flow2 '!$C:$C,'Flow2 '!$D:$D,Flow3!A318,'Flow2 '!E:E,Flow3!B318)</f>
        <v>2688</v>
      </c>
      <c r="D318" s="19">
        <f t="shared" si="4"/>
        <v>107.52</v>
      </c>
    </row>
    <row r="319" spans="1:4" x14ac:dyDescent="0.25">
      <c r="A319" s="17" t="s">
        <v>47</v>
      </c>
      <c r="B319" s="17" t="s">
        <v>39</v>
      </c>
      <c r="C319" s="22">
        <f>SUMIFS('Flow2 '!$C:$C,'Flow2 '!$D:$D,Flow3!A319,'Flow2 '!E:E,Flow3!B319)</f>
        <v>100260</v>
      </c>
      <c r="D319" s="19">
        <f t="shared" si="4"/>
        <v>4010.4</v>
      </c>
    </row>
    <row r="320" spans="1:4" x14ac:dyDescent="0.25">
      <c r="A320" s="17" t="s">
        <v>47</v>
      </c>
      <c r="B320" s="17" t="s">
        <v>40</v>
      </c>
      <c r="C320" s="22">
        <f>SUMIFS('Flow2 '!$C:$C,'Flow2 '!$D:$D,Flow3!A320,'Flow2 '!E:E,Flow3!B320)</f>
        <v>10374</v>
      </c>
      <c r="D320" s="19">
        <f t="shared" si="4"/>
        <v>414.96</v>
      </c>
    </row>
    <row r="321" spans="1:4" x14ac:dyDescent="0.25">
      <c r="A321" s="17" t="s">
        <v>47</v>
      </c>
      <c r="B321" s="17" t="s">
        <v>41</v>
      </c>
      <c r="C321" s="22">
        <f>SUMIFS('Flow2 '!$C:$C,'Flow2 '!$D:$D,Flow3!A321,'Flow2 '!E:E,Flow3!B321)</f>
        <v>31156</v>
      </c>
      <c r="D321" s="19">
        <f t="shared" si="4"/>
        <v>1246.24</v>
      </c>
    </row>
    <row r="322" spans="1:4" x14ac:dyDescent="0.25">
      <c r="A322" s="17" t="s">
        <v>47</v>
      </c>
      <c r="B322" s="17" t="s">
        <v>42</v>
      </c>
      <c r="C322" s="22">
        <f>SUMIFS('Flow2 '!$C:$C,'Flow2 '!$D:$D,Flow3!A322,'Flow2 '!E:E,Flow3!B322)</f>
        <v>5143.6275288321376</v>
      </c>
      <c r="D322" s="19">
        <f t="shared" si="4"/>
        <v>205.7451011532855</v>
      </c>
    </row>
    <row r="323" spans="1:4" x14ac:dyDescent="0.25">
      <c r="A323" s="17" t="s">
        <v>47</v>
      </c>
      <c r="B323" s="17" t="s">
        <v>43</v>
      </c>
      <c r="C323" s="22">
        <f>SUMIFS('Flow2 '!$C:$C,'Flow2 '!$D:$D,Flow3!A323,'Flow2 '!E:E,Flow3!B323)</f>
        <v>13108</v>
      </c>
      <c r="D323" s="19">
        <f t="shared" ref="D323:D386" si="5">C323/25</f>
        <v>524.32000000000005</v>
      </c>
    </row>
    <row r="324" spans="1:4" x14ac:dyDescent="0.25">
      <c r="A324" s="17" t="s">
        <v>47</v>
      </c>
      <c r="B324" s="17" t="s">
        <v>44</v>
      </c>
      <c r="C324" s="22">
        <f>SUMIFS('Flow2 '!$C:$C,'Flow2 '!$D:$D,Flow3!A324,'Flow2 '!E:E,Flow3!B324)</f>
        <v>98941</v>
      </c>
      <c r="D324" s="19">
        <f t="shared" si="5"/>
        <v>3957.64</v>
      </c>
    </row>
    <row r="325" spans="1:4" x14ac:dyDescent="0.25">
      <c r="A325" s="17" t="s">
        <v>47</v>
      </c>
      <c r="B325" s="17" t="s">
        <v>45</v>
      </c>
      <c r="C325" s="22">
        <f>SUMIFS('Flow2 '!$C:$C,'Flow2 '!$D:$D,Flow3!A325,'Flow2 '!E:E,Flow3!B325)</f>
        <v>482059</v>
      </c>
      <c r="D325" s="19">
        <f t="shared" si="5"/>
        <v>19282.36</v>
      </c>
    </row>
    <row r="326" spans="1:4" x14ac:dyDescent="0.25">
      <c r="A326" s="17" t="s">
        <v>47</v>
      </c>
      <c r="B326" s="17" t="s">
        <v>46</v>
      </c>
      <c r="C326" s="22">
        <f>SUMIFS('Flow2 '!$C:$C,'Flow2 '!$D:$D,Flow3!A326,'Flow2 '!E:E,Flow3!B326)</f>
        <v>299755</v>
      </c>
      <c r="D326" s="19">
        <f t="shared" si="5"/>
        <v>11990.2</v>
      </c>
    </row>
    <row r="327" spans="1:4" x14ac:dyDescent="0.25">
      <c r="A327" s="17" t="s">
        <v>47</v>
      </c>
      <c r="B327" s="17" t="s">
        <v>47</v>
      </c>
      <c r="C327" s="22">
        <f>SUMIFS('Flow2 '!$C:$C,'Flow2 '!$D:$D,Flow3!A327,'Flow2 '!E:E,Flow3!B327)</f>
        <v>331119</v>
      </c>
      <c r="D327" s="19">
        <f t="shared" si="5"/>
        <v>13244.76</v>
      </c>
    </row>
    <row r="328" spans="1:4" x14ac:dyDescent="0.25">
      <c r="A328" s="17" t="s">
        <v>47</v>
      </c>
      <c r="B328" s="17" t="s">
        <v>48</v>
      </c>
      <c r="C328" s="22">
        <f>SUMIFS('Flow2 '!$C:$C,'Flow2 '!$D:$D,Flow3!A328,'Flow2 '!E:E,Flow3!B328)</f>
        <v>411196</v>
      </c>
      <c r="D328" s="19">
        <f t="shared" si="5"/>
        <v>16447.84</v>
      </c>
    </row>
    <row r="329" spans="1:4" x14ac:dyDescent="0.25">
      <c r="A329" s="17" t="s">
        <v>47</v>
      </c>
      <c r="B329" s="17" t="s">
        <v>49</v>
      </c>
      <c r="C329" s="22">
        <f>SUMIFS('Flow2 '!$C:$C,'Flow2 '!$D:$D,Flow3!A329,'Flow2 '!E:E,Flow3!B329)</f>
        <v>3069</v>
      </c>
      <c r="D329" s="19">
        <f t="shared" si="5"/>
        <v>122.76</v>
      </c>
    </row>
    <row r="330" spans="1:4" x14ac:dyDescent="0.25">
      <c r="A330" s="17" t="s">
        <v>47</v>
      </c>
      <c r="B330" s="17" t="s">
        <v>50</v>
      </c>
      <c r="C330" s="22">
        <f>SUMIFS('Flow2 '!$C:$C,'Flow2 '!$D:$D,Flow3!A330,'Flow2 '!E:E,Flow3!B330)</f>
        <v>14503</v>
      </c>
      <c r="D330" s="19">
        <f t="shared" si="5"/>
        <v>580.12</v>
      </c>
    </row>
    <row r="331" spans="1:4" x14ac:dyDescent="0.25">
      <c r="A331" s="17" t="s">
        <v>47</v>
      </c>
      <c r="B331" s="17" t="s">
        <v>51</v>
      </c>
      <c r="C331" s="22">
        <f>SUMIFS('Flow2 '!$C:$C,'Flow2 '!$D:$D,Flow3!A331,'Flow2 '!E:E,Flow3!B331)</f>
        <v>944</v>
      </c>
      <c r="D331" s="19">
        <f t="shared" si="5"/>
        <v>37.76</v>
      </c>
    </row>
    <row r="332" spans="1:4" x14ac:dyDescent="0.25">
      <c r="A332" s="17" t="s">
        <v>47</v>
      </c>
      <c r="B332" s="17" t="s">
        <v>52</v>
      </c>
      <c r="C332" s="22">
        <f>SUMIFS('Flow2 '!$C:$C,'Flow2 '!$D:$D,Flow3!A332,'Flow2 '!E:E,Flow3!B332)</f>
        <v>21107</v>
      </c>
      <c r="D332" s="19">
        <f t="shared" si="5"/>
        <v>844.28</v>
      </c>
    </row>
    <row r="333" spans="1:4" x14ac:dyDescent="0.25">
      <c r="A333" s="17" t="s">
        <v>47</v>
      </c>
      <c r="B333" s="17" t="s">
        <v>53</v>
      </c>
      <c r="C333" s="22">
        <f>SUMIFS('Flow2 '!$C:$C,'Flow2 '!$D:$D,Flow3!A333,'Flow2 '!E:E,Flow3!B333)</f>
        <v>13319</v>
      </c>
      <c r="D333" s="19">
        <f t="shared" si="5"/>
        <v>532.76</v>
      </c>
    </row>
    <row r="334" spans="1:4" x14ac:dyDescent="0.25">
      <c r="A334" s="17" t="s">
        <v>47</v>
      </c>
      <c r="B334" s="17" t="s">
        <v>54</v>
      </c>
      <c r="C334" s="22">
        <f>SUMIFS('Flow2 '!$C:$C,'Flow2 '!$D:$D,Flow3!A334,'Flow2 '!E:E,Flow3!B334)</f>
        <v>8572</v>
      </c>
      <c r="D334" s="19">
        <f t="shared" si="5"/>
        <v>342.88</v>
      </c>
    </row>
    <row r="335" spans="1:4" x14ac:dyDescent="0.25">
      <c r="A335" s="17" t="s">
        <v>47</v>
      </c>
      <c r="B335" s="17" t="s">
        <v>55</v>
      </c>
      <c r="C335" s="22">
        <f>SUMIFS('Flow2 '!$C:$C,'Flow2 '!$D:$D,Flow3!A335,'Flow2 '!E:E,Flow3!B335)</f>
        <v>8051</v>
      </c>
      <c r="D335" s="19">
        <f t="shared" si="5"/>
        <v>322.04000000000002</v>
      </c>
    </row>
    <row r="336" spans="1:4" x14ac:dyDescent="0.25">
      <c r="A336" s="17" t="s">
        <v>47</v>
      </c>
      <c r="B336" s="17" t="s">
        <v>56</v>
      </c>
      <c r="C336" s="22">
        <f>SUMIFS('Flow2 '!$C:$C,'Flow2 '!$D:$D,Flow3!A336,'Flow2 '!E:E,Flow3!B336)</f>
        <v>587</v>
      </c>
      <c r="D336" s="19">
        <f t="shared" si="5"/>
        <v>23.48</v>
      </c>
    </row>
    <row r="337" spans="1:4" x14ac:dyDescent="0.25">
      <c r="A337" s="17" t="s">
        <v>47</v>
      </c>
      <c r="B337" s="17" t="s">
        <v>57</v>
      </c>
      <c r="C337" s="22">
        <f>SUMIFS('Flow2 '!$C:$C,'Flow2 '!$D:$D,Flow3!A337,'Flow2 '!E:E,Flow3!B337)</f>
        <v>5242</v>
      </c>
      <c r="D337" s="19">
        <f t="shared" si="5"/>
        <v>209.68</v>
      </c>
    </row>
    <row r="338" spans="1:4" x14ac:dyDescent="0.25">
      <c r="A338" s="18" t="s">
        <v>48</v>
      </c>
      <c r="B338" s="18" t="s">
        <v>34</v>
      </c>
      <c r="C338" s="22">
        <f>SUMIFS('Flow2 '!$C:$C,'Flow2 '!$D:$D,Flow3!A338,'Flow2 '!E:E,Flow3!B338)</f>
        <v>245009</v>
      </c>
      <c r="D338" s="19">
        <f t="shared" si="5"/>
        <v>9800.36</v>
      </c>
    </row>
    <row r="339" spans="1:4" x14ac:dyDescent="0.25">
      <c r="A339" s="18" t="s">
        <v>48</v>
      </c>
      <c r="B339" s="18" t="s">
        <v>35</v>
      </c>
      <c r="C339" s="22">
        <f>SUMIFS('Flow2 '!$C:$C,'Flow2 '!$D:$D,Flow3!A339,'Flow2 '!E:E,Flow3!B339)</f>
        <v>171312.82278654489</v>
      </c>
      <c r="D339" s="19">
        <f t="shared" si="5"/>
        <v>6852.5129114617957</v>
      </c>
    </row>
    <row r="340" spans="1:4" x14ac:dyDescent="0.25">
      <c r="A340" s="18" t="s">
        <v>48</v>
      </c>
      <c r="B340" s="18" t="s">
        <v>36</v>
      </c>
      <c r="C340" s="22">
        <f>SUMIFS('Flow2 '!$C:$C,'Flow2 '!$D:$D,Flow3!A340,'Flow2 '!E:E,Flow3!B340)</f>
        <v>1223903</v>
      </c>
      <c r="D340" s="19">
        <f t="shared" si="5"/>
        <v>48956.12</v>
      </c>
    </row>
    <row r="341" spans="1:4" x14ac:dyDescent="0.25">
      <c r="A341" s="18" t="s">
        <v>48</v>
      </c>
      <c r="B341" s="18" t="s">
        <v>37</v>
      </c>
      <c r="C341" s="22">
        <f>SUMIFS('Flow2 '!$C:$C,'Flow2 '!$D:$D,Flow3!A341,'Flow2 '!E:E,Flow3!B341)</f>
        <v>546211</v>
      </c>
      <c r="D341" s="19">
        <f t="shared" si="5"/>
        <v>21848.44</v>
      </c>
    </row>
    <row r="342" spans="1:4" x14ac:dyDescent="0.25">
      <c r="A342" s="18" t="s">
        <v>48</v>
      </c>
      <c r="B342" s="18" t="s">
        <v>38</v>
      </c>
      <c r="C342" s="22">
        <f>SUMIFS('Flow2 '!$C:$C,'Flow2 '!$D:$D,Flow3!A342,'Flow2 '!E:E,Flow3!B342)</f>
        <v>132461</v>
      </c>
      <c r="D342" s="19">
        <f t="shared" si="5"/>
        <v>5298.44</v>
      </c>
    </row>
    <row r="343" spans="1:4" x14ac:dyDescent="0.25">
      <c r="A343" s="18" t="s">
        <v>48</v>
      </c>
      <c r="B343" s="18" t="s">
        <v>39</v>
      </c>
      <c r="C343" s="22">
        <f>SUMIFS('Flow2 '!$C:$C,'Flow2 '!$D:$D,Flow3!A343,'Flow2 '!E:E,Flow3!B343)</f>
        <v>1647932</v>
      </c>
      <c r="D343" s="19">
        <f t="shared" si="5"/>
        <v>65917.279999999999</v>
      </c>
    </row>
    <row r="344" spans="1:4" x14ac:dyDescent="0.25">
      <c r="A344" s="18" t="s">
        <v>48</v>
      </c>
      <c r="B344" s="18" t="s">
        <v>40</v>
      </c>
      <c r="C344" s="22">
        <f>SUMIFS('Flow2 '!$C:$C,'Flow2 '!$D:$D,Flow3!A344,'Flow2 '!E:E,Flow3!B344)</f>
        <v>850972</v>
      </c>
      <c r="D344" s="19">
        <f t="shared" si="5"/>
        <v>34038.879999999997</v>
      </c>
    </row>
    <row r="345" spans="1:4" x14ac:dyDescent="0.25">
      <c r="A345" s="18" t="s">
        <v>48</v>
      </c>
      <c r="B345" s="18" t="s">
        <v>41</v>
      </c>
      <c r="C345" s="22">
        <f>SUMIFS('Flow2 '!$C:$C,'Flow2 '!$D:$D,Flow3!A345,'Flow2 '!E:E,Flow3!B345)</f>
        <v>1503938</v>
      </c>
      <c r="D345" s="19">
        <f t="shared" si="5"/>
        <v>60157.52</v>
      </c>
    </row>
    <row r="346" spans="1:4" x14ac:dyDescent="0.25">
      <c r="A346" s="18" t="s">
        <v>48</v>
      </c>
      <c r="B346" s="18" t="s">
        <v>42</v>
      </c>
      <c r="C346" s="22">
        <f>SUMIFS('Flow2 '!$C:$C,'Flow2 '!$D:$D,Flow3!A346,'Flow2 '!E:E,Flow3!B346)</f>
        <v>223499.17721345514</v>
      </c>
      <c r="D346" s="19">
        <f t="shared" si="5"/>
        <v>8939.9670885382056</v>
      </c>
    </row>
    <row r="347" spans="1:4" x14ac:dyDescent="0.25">
      <c r="A347" s="18" t="s">
        <v>48</v>
      </c>
      <c r="B347" s="18" t="s">
        <v>43</v>
      </c>
      <c r="C347" s="22">
        <f>SUMIFS('Flow2 '!$C:$C,'Flow2 '!$D:$D,Flow3!A347,'Flow2 '!E:E,Flow3!B347)</f>
        <v>699772</v>
      </c>
      <c r="D347" s="19">
        <f t="shared" si="5"/>
        <v>27990.880000000001</v>
      </c>
    </row>
    <row r="348" spans="1:4" x14ac:dyDescent="0.25">
      <c r="A348" s="18" t="s">
        <v>48</v>
      </c>
      <c r="B348" s="18" t="s">
        <v>44</v>
      </c>
      <c r="C348" s="22">
        <f>SUMIFS('Flow2 '!$C:$C,'Flow2 '!$D:$D,Flow3!A348,'Flow2 '!E:E,Flow3!B348)</f>
        <v>1406006</v>
      </c>
      <c r="D348" s="19">
        <f t="shared" si="5"/>
        <v>56240.24</v>
      </c>
    </row>
    <row r="349" spans="1:4" x14ac:dyDescent="0.25">
      <c r="A349" s="18" t="s">
        <v>48</v>
      </c>
      <c r="B349" s="18" t="s">
        <v>45</v>
      </c>
      <c r="C349" s="22">
        <f>SUMIFS('Flow2 '!$C:$C,'Flow2 '!$D:$D,Flow3!A349,'Flow2 '!E:E,Flow3!B349)</f>
        <v>8466407</v>
      </c>
      <c r="D349" s="19">
        <f t="shared" si="5"/>
        <v>338656.28</v>
      </c>
    </row>
    <row r="350" spans="1:4" x14ac:dyDescent="0.25">
      <c r="A350" s="18" t="s">
        <v>48</v>
      </c>
      <c r="B350" s="18" t="s">
        <v>46</v>
      </c>
      <c r="C350" s="22">
        <f>SUMIFS('Flow2 '!$C:$C,'Flow2 '!$D:$D,Flow3!A350,'Flow2 '!E:E,Flow3!B350)</f>
        <v>5866834</v>
      </c>
      <c r="D350" s="19">
        <f t="shared" si="5"/>
        <v>234673.36</v>
      </c>
    </row>
    <row r="351" spans="1:4" x14ac:dyDescent="0.25">
      <c r="A351" s="18" t="s">
        <v>48</v>
      </c>
      <c r="B351" s="18" t="s">
        <v>47</v>
      </c>
      <c r="C351" s="22">
        <f>SUMIFS('Flow2 '!$C:$C,'Flow2 '!$D:$D,Flow3!A351,'Flow2 '!E:E,Flow3!B351)</f>
        <v>950294</v>
      </c>
      <c r="D351" s="19">
        <f t="shared" si="5"/>
        <v>38011.760000000002</v>
      </c>
    </row>
    <row r="352" spans="1:4" x14ac:dyDescent="0.25">
      <c r="A352" s="18" t="s">
        <v>48</v>
      </c>
      <c r="B352" s="18" t="s">
        <v>48</v>
      </c>
      <c r="C352" s="22">
        <f>SUMIFS('Flow2 '!$C:$C,'Flow2 '!$D:$D,Flow3!A352,'Flow2 '!E:E,Flow3!B352)</f>
        <v>44613253</v>
      </c>
      <c r="D352" s="19">
        <f t="shared" si="5"/>
        <v>1784530.12</v>
      </c>
    </row>
    <row r="353" spans="1:4" x14ac:dyDescent="0.25">
      <c r="A353" s="18" t="s">
        <v>48</v>
      </c>
      <c r="B353" s="18" t="s">
        <v>49</v>
      </c>
      <c r="C353" s="22">
        <f>SUMIFS('Flow2 '!$C:$C,'Flow2 '!$D:$D,Flow3!A353,'Flow2 '!E:E,Flow3!B353)</f>
        <v>213232</v>
      </c>
      <c r="D353" s="19">
        <f t="shared" si="5"/>
        <v>8529.2800000000007</v>
      </c>
    </row>
    <row r="354" spans="1:4" x14ac:dyDescent="0.25">
      <c r="A354" s="18" t="s">
        <v>48</v>
      </c>
      <c r="B354" s="18" t="s">
        <v>50</v>
      </c>
      <c r="C354" s="22">
        <f>SUMIFS('Flow2 '!$C:$C,'Flow2 '!$D:$D,Flow3!A354,'Flow2 '!E:E,Flow3!B354)</f>
        <v>972283</v>
      </c>
      <c r="D354" s="19">
        <f t="shared" si="5"/>
        <v>38891.32</v>
      </c>
    </row>
    <row r="355" spans="1:4" x14ac:dyDescent="0.25">
      <c r="A355" s="18" t="s">
        <v>48</v>
      </c>
      <c r="B355" s="18" t="s">
        <v>51</v>
      </c>
      <c r="C355" s="22">
        <f>SUMIFS('Flow2 '!$C:$C,'Flow2 '!$D:$D,Flow3!A355,'Flow2 '!E:E,Flow3!B355)</f>
        <v>65739</v>
      </c>
      <c r="D355" s="19">
        <f t="shared" si="5"/>
        <v>2629.56</v>
      </c>
    </row>
    <row r="356" spans="1:4" x14ac:dyDescent="0.25">
      <c r="A356" s="18" t="s">
        <v>48</v>
      </c>
      <c r="B356" s="18" t="s">
        <v>52</v>
      </c>
      <c r="C356" s="22">
        <f>SUMIFS('Flow2 '!$C:$C,'Flow2 '!$D:$D,Flow3!A356,'Flow2 '!E:E,Flow3!B356)</f>
        <v>1568389</v>
      </c>
      <c r="D356" s="19">
        <f t="shared" si="5"/>
        <v>62735.56</v>
      </c>
    </row>
    <row r="357" spans="1:4" x14ac:dyDescent="0.25">
      <c r="A357" s="18" t="s">
        <v>48</v>
      </c>
      <c r="B357" s="18" t="s">
        <v>53</v>
      </c>
      <c r="C357" s="22">
        <f>SUMIFS('Flow2 '!$C:$C,'Flow2 '!$D:$D,Flow3!A357,'Flow2 '!E:E,Flow3!B357)</f>
        <v>941801</v>
      </c>
      <c r="D357" s="19">
        <f t="shared" si="5"/>
        <v>37672.04</v>
      </c>
    </row>
    <row r="358" spans="1:4" x14ac:dyDescent="0.25">
      <c r="A358" s="18" t="s">
        <v>48</v>
      </c>
      <c r="B358" s="18" t="s">
        <v>54</v>
      </c>
      <c r="C358" s="22">
        <f>SUMIFS('Flow2 '!$C:$C,'Flow2 '!$D:$D,Flow3!A358,'Flow2 '!E:E,Flow3!B358)</f>
        <v>499077</v>
      </c>
      <c r="D358" s="19">
        <f t="shared" si="5"/>
        <v>19963.080000000002</v>
      </c>
    </row>
    <row r="359" spans="1:4" x14ac:dyDescent="0.25">
      <c r="A359" s="18" t="s">
        <v>48</v>
      </c>
      <c r="B359" s="18" t="s">
        <v>55</v>
      </c>
      <c r="C359" s="22">
        <f>SUMIFS('Flow2 '!$C:$C,'Flow2 '!$D:$D,Flow3!A359,'Flow2 '!E:E,Flow3!B359)</f>
        <v>535728</v>
      </c>
      <c r="D359" s="19">
        <f t="shared" si="5"/>
        <v>21429.119999999999</v>
      </c>
    </row>
    <row r="360" spans="1:4" x14ac:dyDescent="0.25">
      <c r="A360" s="18" t="s">
        <v>48</v>
      </c>
      <c r="B360" s="18" t="s">
        <v>56</v>
      </c>
      <c r="C360" s="22">
        <f>SUMIFS('Flow2 '!$C:$C,'Flow2 '!$D:$D,Flow3!A360,'Flow2 '!E:E,Flow3!B360)</f>
        <v>36447</v>
      </c>
      <c r="D360" s="19">
        <f t="shared" si="5"/>
        <v>1457.88</v>
      </c>
    </row>
    <row r="361" spans="1:4" x14ac:dyDescent="0.25">
      <c r="A361" s="18" t="s">
        <v>48</v>
      </c>
      <c r="B361" s="18" t="s">
        <v>57</v>
      </c>
      <c r="C361" s="22">
        <f>SUMIFS('Flow2 '!$C:$C,'Flow2 '!$D:$D,Flow3!A361,'Flow2 '!E:E,Flow3!B361)</f>
        <v>297258</v>
      </c>
      <c r="D361" s="19">
        <f t="shared" si="5"/>
        <v>11890.32</v>
      </c>
    </row>
    <row r="362" spans="1:4" x14ac:dyDescent="0.25">
      <c r="A362" s="12" t="s">
        <v>49</v>
      </c>
      <c r="B362" s="12" t="s">
        <v>34</v>
      </c>
      <c r="C362" s="22">
        <f>SUMIFS('Flow2 '!$C:$C,'Flow2 '!$D:$D,Flow3!A362,'Flow2 '!E:E,Flow3!B362)</f>
        <v>34909</v>
      </c>
      <c r="D362" s="19">
        <f t="shared" si="5"/>
        <v>1396.36</v>
      </c>
    </row>
    <row r="363" spans="1:4" x14ac:dyDescent="0.25">
      <c r="A363" s="12" t="s">
        <v>49</v>
      </c>
      <c r="B363" s="12" t="s">
        <v>35</v>
      </c>
      <c r="C363" s="22">
        <f>SUMIFS('Flow2 '!$C:$C,'Flow2 '!$D:$D,Flow3!A363,'Flow2 '!E:E,Flow3!B363)</f>
        <v>72951.282105030084</v>
      </c>
      <c r="D363" s="19">
        <f t="shared" si="5"/>
        <v>2918.0512842012035</v>
      </c>
    </row>
    <row r="364" spans="1:4" x14ac:dyDescent="0.25">
      <c r="A364" s="12" t="s">
        <v>49</v>
      </c>
      <c r="B364" s="12" t="s">
        <v>36</v>
      </c>
      <c r="C364" s="22">
        <f>SUMIFS('Flow2 '!$C:$C,'Flow2 '!$D:$D,Flow3!A364,'Flow2 '!E:E,Flow3!B364)</f>
        <v>69633</v>
      </c>
      <c r="D364" s="19">
        <f t="shared" si="5"/>
        <v>2785.32</v>
      </c>
    </row>
    <row r="365" spans="1:4" x14ac:dyDescent="0.25">
      <c r="A365" s="12" t="s">
        <v>49</v>
      </c>
      <c r="B365" s="12" t="s">
        <v>37</v>
      </c>
      <c r="C365" s="22">
        <f>SUMIFS('Flow2 '!$C:$C,'Flow2 '!$D:$D,Flow3!A365,'Flow2 '!E:E,Flow3!B365)</f>
        <v>99277</v>
      </c>
      <c r="D365" s="19">
        <f t="shared" si="5"/>
        <v>3971.08</v>
      </c>
    </row>
    <row r="366" spans="1:4" x14ac:dyDescent="0.25">
      <c r="A366" s="12" t="s">
        <v>49</v>
      </c>
      <c r="B366" s="12" t="s">
        <v>38</v>
      </c>
      <c r="C366" s="22">
        <f>SUMIFS('Flow2 '!$C:$C,'Flow2 '!$D:$D,Flow3!A366,'Flow2 '!E:E,Flow3!B366)</f>
        <v>14214</v>
      </c>
      <c r="D366" s="19">
        <f t="shared" si="5"/>
        <v>568.55999999999995</v>
      </c>
    </row>
    <row r="367" spans="1:4" x14ac:dyDescent="0.25">
      <c r="A367" s="12" t="s">
        <v>49</v>
      </c>
      <c r="B367" s="12" t="s">
        <v>39</v>
      </c>
      <c r="C367" s="22">
        <f>SUMIFS('Flow2 '!$C:$C,'Flow2 '!$D:$D,Flow3!A367,'Flow2 '!E:E,Flow3!B367)</f>
        <v>133306</v>
      </c>
      <c r="D367" s="19">
        <f t="shared" si="5"/>
        <v>5332.24</v>
      </c>
    </row>
    <row r="368" spans="1:4" x14ac:dyDescent="0.25">
      <c r="A368" s="12" t="s">
        <v>49</v>
      </c>
      <c r="B368" s="12" t="s">
        <v>40</v>
      </c>
      <c r="C368" s="22">
        <f>SUMIFS('Flow2 '!$C:$C,'Flow2 '!$D:$D,Flow3!A368,'Flow2 '!E:E,Flow3!B368)</f>
        <v>103050</v>
      </c>
      <c r="D368" s="19">
        <f t="shared" si="5"/>
        <v>4122</v>
      </c>
    </row>
    <row r="369" spans="1:4" x14ac:dyDescent="0.25">
      <c r="A369" s="12" t="s">
        <v>49</v>
      </c>
      <c r="B369" s="12" t="s">
        <v>41</v>
      </c>
      <c r="C369" s="22">
        <f>SUMIFS('Flow2 '!$C:$C,'Flow2 '!$D:$D,Flow3!A369,'Flow2 '!E:E,Flow3!B369)</f>
        <v>162287</v>
      </c>
      <c r="D369" s="19">
        <f t="shared" si="5"/>
        <v>6491.48</v>
      </c>
    </row>
    <row r="370" spans="1:4" x14ac:dyDescent="0.25">
      <c r="A370" s="12" t="s">
        <v>49</v>
      </c>
      <c r="B370" s="12" t="s">
        <v>42</v>
      </c>
      <c r="C370" s="22">
        <f>SUMIFS('Flow2 '!$C:$C,'Flow2 '!$D:$D,Flow3!A370,'Flow2 '!E:E,Flow3!B370)</f>
        <v>43908.71789496993</v>
      </c>
      <c r="D370" s="19">
        <f t="shared" si="5"/>
        <v>1756.3487157987972</v>
      </c>
    </row>
    <row r="371" spans="1:4" x14ac:dyDescent="0.25">
      <c r="A371" s="12" t="s">
        <v>49</v>
      </c>
      <c r="B371" s="12" t="s">
        <v>43</v>
      </c>
      <c r="C371" s="22">
        <f>SUMIFS('Flow2 '!$C:$C,'Flow2 '!$D:$D,Flow3!A371,'Flow2 '!E:E,Flow3!B371)</f>
        <v>102927</v>
      </c>
      <c r="D371" s="19">
        <f t="shared" si="5"/>
        <v>4117.08</v>
      </c>
    </row>
    <row r="372" spans="1:4" x14ac:dyDescent="0.25">
      <c r="A372" s="12" t="s">
        <v>49</v>
      </c>
      <c r="B372" s="12" t="s">
        <v>44</v>
      </c>
      <c r="C372" s="22">
        <f>SUMIFS('Flow2 '!$C:$C,'Flow2 '!$D:$D,Flow3!A372,'Flow2 '!E:E,Flow3!B372)</f>
        <v>86921</v>
      </c>
      <c r="D372" s="19">
        <f t="shared" si="5"/>
        <v>3476.84</v>
      </c>
    </row>
    <row r="373" spans="1:4" x14ac:dyDescent="0.25">
      <c r="A373" s="12" t="s">
        <v>49</v>
      </c>
      <c r="B373" s="12" t="s">
        <v>45</v>
      </c>
      <c r="C373" s="22">
        <f>SUMIFS('Flow2 '!$C:$C,'Flow2 '!$D:$D,Flow3!A373,'Flow2 '!E:E,Flow3!B373)</f>
        <v>358457</v>
      </c>
      <c r="D373" s="19">
        <f t="shared" si="5"/>
        <v>14338.28</v>
      </c>
    </row>
    <row r="374" spans="1:4" x14ac:dyDescent="0.25">
      <c r="A374" s="12" t="s">
        <v>49</v>
      </c>
      <c r="B374" s="12" t="s">
        <v>46</v>
      </c>
      <c r="C374" s="22">
        <f>SUMIFS('Flow2 '!$C:$C,'Flow2 '!$D:$D,Flow3!A374,'Flow2 '!E:E,Flow3!B374)</f>
        <v>414873</v>
      </c>
      <c r="D374" s="19">
        <f t="shared" si="5"/>
        <v>16594.919999999998</v>
      </c>
    </row>
    <row r="375" spans="1:4" x14ac:dyDescent="0.25">
      <c r="A375" s="12" t="s">
        <v>49</v>
      </c>
      <c r="B375" s="12" t="s">
        <v>47</v>
      </c>
      <c r="C375" s="22">
        <f>SUMIFS('Flow2 '!$C:$C,'Flow2 '!$D:$D,Flow3!A375,'Flow2 '!E:E,Flow3!B375)</f>
        <v>39425</v>
      </c>
      <c r="D375" s="19">
        <f t="shared" si="5"/>
        <v>1577</v>
      </c>
    </row>
    <row r="376" spans="1:4" x14ac:dyDescent="0.25">
      <c r="A376" s="12" t="s">
        <v>49</v>
      </c>
      <c r="B376" s="12" t="s">
        <v>48</v>
      </c>
      <c r="C376" s="22">
        <f>SUMIFS('Flow2 '!$C:$C,'Flow2 '!$D:$D,Flow3!A376,'Flow2 '!E:E,Flow3!B376)</f>
        <v>505502</v>
      </c>
      <c r="D376" s="19">
        <f t="shared" si="5"/>
        <v>20220.080000000002</v>
      </c>
    </row>
    <row r="377" spans="1:4" x14ac:dyDescent="0.25">
      <c r="A377" s="12" t="s">
        <v>49</v>
      </c>
      <c r="B377" s="12" t="s">
        <v>49</v>
      </c>
      <c r="C377" s="22">
        <f>SUMIFS('Flow2 '!$C:$C,'Flow2 '!$D:$D,Flow3!A377,'Flow2 '!E:E,Flow3!B377)</f>
        <v>754306</v>
      </c>
      <c r="D377" s="19">
        <f t="shared" si="5"/>
        <v>30172.240000000002</v>
      </c>
    </row>
    <row r="378" spans="1:4" x14ac:dyDescent="0.25">
      <c r="A378" s="12" t="s">
        <v>49</v>
      </c>
      <c r="B378" s="12" t="s">
        <v>50</v>
      </c>
      <c r="C378" s="22">
        <f>SUMIFS('Flow2 '!$C:$C,'Flow2 '!$D:$D,Flow3!A378,'Flow2 '!E:E,Flow3!B378)</f>
        <v>571676</v>
      </c>
      <c r="D378" s="19">
        <f t="shared" si="5"/>
        <v>22867.040000000001</v>
      </c>
    </row>
    <row r="379" spans="1:4" x14ac:dyDescent="0.25">
      <c r="A379" s="12" t="s">
        <v>49</v>
      </c>
      <c r="B379" s="12" t="s">
        <v>51</v>
      </c>
      <c r="C379" s="22">
        <f>SUMIFS('Flow2 '!$C:$C,'Flow2 '!$D:$D,Flow3!A379,'Flow2 '!E:E,Flow3!B379)</f>
        <v>32451</v>
      </c>
      <c r="D379" s="19">
        <f t="shared" si="5"/>
        <v>1298.04</v>
      </c>
    </row>
    <row r="380" spans="1:4" x14ac:dyDescent="0.25">
      <c r="A380" s="12" t="s">
        <v>49</v>
      </c>
      <c r="B380" s="12" t="s">
        <v>52</v>
      </c>
      <c r="C380" s="22">
        <f>SUMIFS('Flow2 '!$C:$C,'Flow2 '!$D:$D,Flow3!A380,'Flow2 '!E:E,Flow3!B380)</f>
        <v>82678</v>
      </c>
      <c r="D380" s="19">
        <f t="shared" si="5"/>
        <v>3307.12</v>
      </c>
    </row>
    <row r="381" spans="1:4" x14ac:dyDescent="0.25">
      <c r="A381" s="12" t="s">
        <v>49</v>
      </c>
      <c r="B381" s="12" t="s">
        <v>53</v>
      </c>
      <c r="C381" s="22">
        <f>SUMIFS('Flow2 '!$C:$C,'Flow2 '!$D:$D,Flow3!A381,'Flow2 '!E:E,Flow3!B381)</f>
        <v>128049</v>
      </c>
      <c r="D381" s="19">
        <f t="shared" si="5"/>
        <v>5121.96</v>
      </c>
    </row>
    <row r="382" spans="1:4" x14ac:dyDescent="0.25">
      <c r="A382" s="12" t="s">
        <v>49</v>
      </c>
      <c r="B382" s="12" t="s">
        <v>54</v>
      </c>
      <c r="C382" s="22">
        <f>SUMIFS('Flow2 '!$C:$C,'Flow2 '!$D:$D,Flow3!A382,'Flow2 '!E:E,Flow3!B382)</f>
        <v>62096</v>
      </c>
      <c r="D382" s="19">
        <f t="shared" si="5"/>
        <v>2483.84</v>
      </c>
    </row>
    <row r="383" spans="1:4" x14ac:dyDescent="0.25">
      <c r="A383" s="12" t="s">
        <v>49</v>
      </c>
      <c r="B383" s="12" t="s">
        <v>55</v>
      </c>
      <c r="C383" s="22">
        <f>SUMIFS('Flow2 '!$C:$C,'Flow2 '!$D:$D,Flow3!A383,'Flow2 '!E:E,Flow3!B383)</f>
        <v>176815</v>
      </c>
      <c r="D383" s="19">
        <f t="shared" si="5"/>
        <v>7072.6</v>
      </c>
    </row>
    <row r="384" spans="1:4" x14ac:dyDescent="0.25">
      <c r="A384" s="12" t="s">
        <v>49</v>
      </c>
      <c r="B384" s="12" t="s">
        <v>56</v>
      </c>
      <c r="C384" s="22">
        <f>SUMIFS('Flow2 '!$C:$C,'Flow2 '!$D:$D,Flow3!A384,'Flow2 '!E:E,Flow3!B384)</f>
        <v>8079</v>
      </c>
      <c r="D384" s="19">
        <f t="shared" si="5"/>
        <v>323.16000000000003</v>
      </c>
    </row>
    <row r="385" spans="1:4" x14ac:dyDescent="0.25">
      <c r="A385" s="12" t="s">
        <v>49</v>
      </c>
      <c r="B385" s="12" t="s">
        <v>57</v>
      </c>
      <c r="C385" s="22">
        <f>SUMIFS('Flow2 '!$C:$C,'Flow2 '!$D:$D,Flow3!A385,'Flow2 '!E:E,Flow3!B385)</f>
        <v>68855</v>
      </c>
      <c r="D385" s="19">
        <f t="shared" si="5"/>
        <v>2754.2</v>
      </c>
    </row>
    <row r="386" spans="1:4" x14ac:dyDescent="0.25">
      <c r="A386" s="13" t="s">
        <v>50</v>
      </c>
      <c r="B386" s="13" t="s">
        <v>34</v>
      </c>
      <c r="C386" s="22">
        <f>SUMIFS('Flow2 '!$C:$C,'Flow2 '!$D:$D,Flow3!A386,'Flow2 '!E:E,Flow3!B386)</f>
        <v>238948</v>
      </c>
      <c r="D386" s="19">
        <f t="shared" si="5"/>
        <v>9557.92</v>
      </c>
    </row>
    <row r="387" spans="1:4" x14ac:dyDescent="0.25">
      <c r="A387" s="13" t="s">
        <v>50</v>
      </c>
      <c r="B387" s="13" t="s">
        <v>35</v>
      </c>
      <c r="C387" s="22">
        <f>SUMIFS('Flow2 '!$C:$C,'Flow2 '!$D:$D,Flow3!A387,'Flow2 '!E:E,Flow3!B387)</f>
        <v>479213.0292444948</v>
      </c>
      <c r="D387" s="19">
        <f t="shared" ref="D387:D450" si="6">C387/25</f>
        <v>19168.521169779793</v>
      </c>
    </row>
    <row r="388" spans="1:4" x14ac:dyDescent="0.25">
      <c r="A388" s="13" t="s">
        <v>50</v>
      </c>
      <c r="B388" s="13" t="s">
        <v>36</v>
      </c>
      <c r="C388" s="22">
        <f>SUMIFS('Flow2 '!$C:$C,'Flow2 '!$D:$D,Flow3!A388,'Flow2 '!E:E,Flow3!B388)</f>
        <v>494496</v>
      </c>
      <c r="D388" s="19">
        <f t="shared" si="6"/>
        <v>19779.84</v>
      </c>
    </row>
    <row r="389" spans="1:4" x14ac:dyDescent="0.25">
      <c r="A389" s="13" t="s">
        <v>50</v>
      </c>
      <c r="B389" s="13" t="s">
        <v>37</v>
      </c>
      <c r="C389" s="22">
        <f>SUMIFS('Flow2 '!$C:$C,'Flow2 '!$D:$D,Flow3!A389,'Flow2 '!E:E,Flow3!B389)</f>
        <v>578640</v>
      </c>
      <c r="D389" s="19">
        <f t="shared" si="6"/>
        <v>23145.599999999999</v>
      </c>
    </row>
    <row r="390" spans="1:4" x14ac:dyDescent="0.25">
      <c r="A390" s="13" t="s">
        <v>50</v>
      </c>
      <c r="B390" s="13" t="s">
        <v>38</v>
      </c>
      <c r="C390" s="22">
        <f>SUMIFS('Flow2 '!$C:$C,'Flow2 '!$D:$D,Flow3!A390,'Flow2 '!E:E,Flow3!B390)</f>
        <v>95364</v>
      </c>
      <c r="D390" s="19">
        <f t="shared" si="6"/>
        <v>3814.56</v>
      </c>
    </row>
    <row r="391" spans="1:4" x14ac:dyDescent="0.25">
      <c r="A391" s="13" t="s">
        <v>50</v>
      </c>
      <c r="B391" s="13" t="s">
        <v>39</v>
      </c>
      <c r="C391" s="22">
        <f>SUMIFS('Flow2 '!$C:$C,'Flow2 '!$D:$D,Flow3!A391,'Flow2 '!E:E,Flow3!B391)</f>
        <v>863367</v>
      </c>
      <c r="D391" s="19">
        <f t="shared" si="6"/>
        <v>34534.68</v>
      </c>
    </row>
    <row r="392" spans="1:4" x14ac:dyDescent="0.25">
      <c r="A392" s="13" t="s">
        <v>50</v>
      </c>
      <c r="B392" s="13" t="s">
        <v>40</v>
      </c>
      <c r="C392" s="22">
        <f>SUMIFS('Flow2 '!$C:$C,'Flow2 '!$D:$D,Flow3!A392,'Flow2 '!E:E,Flow3!B392)</f>
        <v>747618</v>
      </c>
      <c r="D392" s="19">
        <f t="shared" si="6"/>
        <v>29904.720000000001</v>
      </c>
    </row>
    <row r="393" spans="1:4" x14ac:dyDescent="0.25">
      <c r="A393" s="13" t="s">
        <v>50</v>
      </c>
      <c r="B393" s="13" t="s">
        <v>41</v>
      </c>
      <c r="C393" s="22">
        <f>SUMIFS('Flow2 '!$C:$C,'Flow2 '!$D:$D,Flow3!A393,'Flow2 '!E:E,Flow3!B393)</f>
        <v>1062270</v>
      </c>
      <c r="D393" s="19">
        <f t="shared" si="6"/>
        <v>42490.8</v>
      </c>
    </row>
    <row r="394" spans="1:4" x14ac:dyDescent="0.25">
      <c r="A394" s="13" t="s">
        <v>50</v>
      </c>
      <c r="B394" s="13" t="s">
        <v>42</v>
      </c>
      <c r="C394" s="22">
        <f>SUMIFS('Flow2 '!$C:$C,'Flow2 '!$D:$D,Flow3!A394,'Flow2 '!E:E,Flow3!B394)</f>
        <v>276691.9707555052</v>
      </c>
      <c r="D394" s="19">
        <f t="shared" si="6"/>
        <v>11067.678830220208</v>
      </c>
    </row>
    <row r="395" spans="1:4" x14ac:dyDescent="0.25">
      <c r="A395" s="13" t="s">
        <v>50</v>
      </c>
      <c r="B395" s="13" t="s">
        <v>43</v>
      </c>
      <c r="C395" s="22">
        <f>SUMIFS('Flow2 '!$C:$C,'Flow2 '!$D:$D,Flow3!A395,'Flow2 '!E:E,Flow3!B395)</f>
        <v>671805</v>
      </c>
      <c r="D395" s="19">
        <f t="shared" si="6"/>
        <v>26872.2</v>
      </c>
    </row>
    <row r="396" spans="1:4" x14ac:dyDescent="0.25">
      <c r="A396" s="13" t="s">
        <v>50</v>
      </c>
      <c r="B396" s="13" t="s">
        <v>44</v>
      </c>
      <c r="C396" s="22">
        <f>SUMIFS('Flow2 '!$C:$C,'Flow2 '!$D:$D,Flow3!A396,'Flow2 '!E:E,Flow3!B396)</f>
        <v>586488</v>
      </c>
      <c r="D396" s="19">
        <f t="shared" si="6"/>
        <v>23459.52</v>
      </c>
    </row>
    <row r="397" spans="1:4" x14ac:dyDescent="0.25">
      <c r="A397" s="13" t="s">
        <v>50</v>
      </c>
      <c r="B397" s="13" t="s">
        <v>45</v>
      </c>
      <c r="C397" s="22">
        <f>SUMIFS('Flow2 '!$C:$C,'Flow2 '!$D:$D,Flow3!A397,'Flow2 '!E:E,Flow3!B397)</f>
        <v>2374934</v>
      </c>
      <c r="D397" s="19">
        <f t="shared" si="6"/>
        <v>94997.36</v>
      </c>
    </row>
    <row r="398" spans="1:4" x14ac:dyDescent="0.25">
      <c r="A398" s="13" t="s">
        <v>50</v>
      </c>
      <c r="B398" s="13" t="s">
        <v>46</v>
      </c>
      <c r="C398" s="22">
        <f>SUMIFS('Flow2 '!$C:$C,'Flow2 '!$D:$D,Flow3!A398,'Flow2 '!E:E,Flow3!B398)</f>
        <v>2736404</v>
      </c>
      <c r="D398" s="19">
        <f t="shared" si="6"/>
        <v>109456.16</v>
      </c>
    </row>
    <row r="399" spans="1:4" x14ac:dyDescent="0.25">
      <c r="A399" s="13" t="s">
        <v>50</v>
      </c>
      <c r="B399" s="13" t="s">
        <v>47</v>
      </c>
      <c r="C399" s="22">
        <f>SUMIFS('Flow2 '!$C:$C,'Flow2 '!$D:$D,Flow3!A399,'Flow2 '!E:E,Flow3!B399)</f>
        <v>260610</v>
      </c>
      <c r="D399" s="19">
        <f t="shared" si="6"/>
        <v>10424.4</v>
      </c>
    </row>
    <row r="400" spans="1:4" x14ac:dyDescent="0.25">
      <c r="A400" s="13" t="s">
        <v>50</v>
      </c>
      <c r="B400" s="13" t="s">
        <v>48</v>
      </c>
      <c r="C400" s="22">
        <f>SUMIFS('Flow2 '!$C:$C,'Flow2 '!$D:$D,Flow3!A400,'Flow2 '!E:E,Flow3!B400)</f>
        <v>3508127</v>
      </c>
      <c r="D400" s="19">
        <f t="shared" si="6"/>
        <v>140325.07999999999</v>
      </c>
    </row>
    <row r="401" spans="1:4" x14ac:dyDescent="0.25">
      <c r="A401" s="13" t="s">
        <v>50</v>
      </c>
      <c r="B401" s="13" t="s">
        <v>49</v>
      </c>
      <c r="C401" s="22">
        <f>SUMIFS('Flow2 '!$C:$C,'Flow2 '!$D:$D,Flow3!A401,'Flow2 '!E:E,Flow3!B401)</f>
        <v>959134</v>
      </c>
      <c r="D401" s="19">
        <f t="shared" si="6"/>
        <v>38365.360000000001</v>
      </c>
    </row>
    <row r="402" spans="1:4" x14ac:dyDescent="0.25">
      <c r="A402" s="13" t="s">
        <v>50</v>
      </c>
      <c r="B402" s="13" t="s">
        <v>50</v>
      </c>
      <c r="C402" s="22">
        <f>SUMIFS('Flow2 '!$C:$C,'Flow2 '!$D:$D,Flow3!A402,'Flow2 '!E:E,Flow3!B402)</f>
        <v>10298506</v>
      </c>
      <c r="D402" s="19">
        <f t="shared" si="6"/>
        <v>411940.24</v>
      </c>
    </row>
    <row r="403" spans="1:4" x14ac:dyDescent="0.25">
      <c r="A403" s="13" t="s">
        <v>50</v>
      </c>
      <c r="B403" s="13" t="s">
        <v>51</v>
      </c>
      <c r="C403" s="22">
        <f>SUMIFS('Flow2 '!$C:$C,'Flow2 '!$D:$D,Flow3!A403,'Flow2 '!E:E,Flow3!B403)</f>
        <v>266874</v>
      </c>
      <c r="D403" s="19">
        <f t="shared" si="6"/>
        <v>10674.96</v>
      </c>
    </row>
    <row r="404" spans="1:4" x14ac:dyDescent="0.25">
      <c r="A404" s="13" t="s">
        <v>50</v>
      </c>
      <c r="B404" s="13" t="s">
        <v>52</v>
      </c>
      <c r="C404" s="22">
        <f>SUMIFS('Flow2 '!$C:$C,'Flow2 '!$D:$D,Flow3!A404,'Flow2 '!E:E,Flow3!B404)</f>
        <v>858587</v>
      </c>
      <c r="D404" s="19">
        <f t="shared" si="6"/>
        <v>34343.480000000003</v>
      </c>
    </row>
    <row r="405" spans="1:4" x14ac:dyDescent="0.25">
      <c r="A405" s="13" t="s">
        <v>50</v>
      </c>
      <c r="B405" s="13" t="s">
        <v>53</v>
      </c>
      <c r="C405" s="22">
        <f>SUMIFS('Flow2 '!$C:$C,'Flow2 '!$D:$D,Flow3!A405,'Flow2 '!E:E,Flow3!B405)</f>
        <v>1054949</v>
      </c>
      <c r="D405" s="19">
        <f t="shared" si="6"/>
        <v>42197.96</v>
      </c>
    </row>
    <row r="406" spans="1:4" x14ac:dyDescent="0.25">
      <c r="A406" s="13" t="s">
        <v>50</v>
      </c>
      <c r="B406" s="13" t="s">
        <v>54</v>
      </c>
      <c r="C406" s="22">
        <f>SUMIFS('Flow2 '!$C:$C,'Flow2 '!$D:$D,Flow3!A406,'Flow2 '!E:E,Flow3!B406)</f>
        <v>465395</v>
      </c>
      <c r="D406" s="19">
        <f t="shared" si="6"/>
        <v>18615.8</v>
      </c>
    </row>
    <row r="407" spans="1:4" x14ac:dyDescent="0.25">
      <c r="A407" s="13" t="s">
        <v>50</v>
      </c>
      <c r="B407" s="13" t="s">
        <v>55</v>
      </c>
      <c r="C407" s="22">
        <f>SUMIFS('Flow2 '!$C:$C,'Flow2 '!$D:$D,Flow3!A407,'Flow2 '!E:E,Flow3!B407)</f>
        <v>994365</v>
      </c>
      <c r="D407" s="19">
        <f t="shared" si="6"/>
        <v>39774.6</v>
      </c>
    </row>
    <row r="408" spans="1:4" x14ac:dyDescent="0.25">
      <c r="A408" s="13" t="s">
        <v>50</v>
      </c>
      <c r="B408" s="13" t="s">
        <v>56</v>
      </c>
      <c r="C408" s="22">
        <f>SUMIFS('Flow2 '!$C:$C,'Flow2 '!$D:$D,Flow3!A408,'Flow2 '!E:E,Flow3!B408)</f>
        <v>66274</v>
      </c>
      <c r="D408" s="19">
        <f t="shared" si="6"/>
        <v>2650.96</v>
      </c>
    </row>
    <row r="409" spans="1:4" x14ac:dyDescent="0.25">
      <c r="A409" s="13" t="s">
        <v>50</v>
      </c>
      <c r="B409" s="13" t="s">
        <v>57</v>
      </c>
      <c r="C409" s="22">
        <f>SUMIFS('Flow2 '!$C:$C,'Flow2 '!$D:$D,Flow3!A409,'Flow2 '!E:E,Flow3!B409)</f>
        <v>602562</v>
      </c>
      <c r="D409" s="19">
        <f t="shared" si="6"/>
        <v>24102.48</v>
      </c>
    </row>
    <row r="410" spans="1:4" x14ac:dyDescent="0.25">
      <c r="A410" s="14" t="s">
        <v>51</v>
      </c>
      <c r="B410" s="14" t="s">
        <v>34</v>
      </c>
      <c r="C410" s="22">
        <f>SUMIFS('Flow2 '!$C:$C,'Flow2 '!$D:$D,Flow3!A410,'Flow2 '!E:E,Flow3!B410)</f>
        <v>13314</v>
      </c>
      <c r="D410" s="19">
        <f t="shared" si="6"/>
        <v>532.55999999999995</v>
      </c>
    </row>
    <row r="411" spans="1:4" x14ac:dyDescent="0.25">
      <c r="A411" s="14" t="s">
        <v>51</v>
      </c>
      <c r="B411" s="14" t="s">
        <v>35</v>
      </c>
      <c r="C411" s="22">
        <f>SUMIFS('Flow2 '!$C:$C,'Flow2 '!$D:$D,Flow3!A411,'Flow2 '!E:E,Flow3!B411)</f>
        <v>78468.980514562252</v>
      </c>
      <c r="D411" s="19">
        <f t="shared" si="6"/>
        <v>3138.7592205824899</v>
      </c>
    </row>
    <row r="412" spans="1:4" x14ac:dyDescent="0.25">
      <c r="A412" s="14" t="s">
        <v>51</v>
      </c>
      <c r="B412" s="14" t="s">
        <v>36</v>
      </c>
      <c r="C412" s="22">
        <f>SUMIFS('Flow2 '!$C:$C,'Flow2 '!$D:$D,Flow3!A412,'Flow2 '!E:E,Flow3!B412)</f>
        <v>16864</v>
      </c>
      <c r="D412" s="19">
        <f t="shared" si="6"/>
        <v>674.56</v>
      </c>
    </row>
    <row r="413" spans="1:4" x14ac:dyDescent="0.25">
      <c r="A413" s="14" t="s">
        <v>51</v>
      </c>
      <c r="B413" s="14" t="s">
        <v>37</v>
      </c>
      <c r="C413" s="22">
        <f>SUMIFS('Flow2 '!$C:$C,'Flow2 '!$D:$D,Flow3!A413,'Flow2 '!E:E,Flow3!B413)</f>
        <v>35332</v>
      </c>
      <c r="D413" s="19">
        <f t="shared" si="6"/>
        <v>1413.28</v>
      </c>
    </row>
    <row r="414" spans="1:4" x14ac:dyDescent="0.25">
      <c r="A414" s="14" t="s">
        <v>51</v>
      </c>
      <c r="B414" s="14" t="s">
        <v>38</v>
      </c>
      <c r="C414" s="22">
        <f>SUMIFS('Flow2 '!$C:$C,'Flow2 '!$D:$D,Flow3!A414,'Flow2 '!E:E,Flow3!B414)</f>
        <v>4632</v>
      </c>
      <c r="D414" s="19">
        <f t="shared" si="6"/>
        <v>185.28</v>
      </c>
    </row>
    <row r="415" spans="1:4" x14ac:dyDescent="0.25">
      <c r="A415" s="14" t="s">
        <v>51</v>
      </c>
      <c r="B415" s="14" t="s">
        <v>39</v>
      </c>
      <c r="C415" s="22">
        <f>SUMIFS('Flow2 '!$C:$C,'Flow2 '!$D:$D,Flow3!A415,'Flow2 '!E:E,Flow3!B415)</f>
        <v>49241</v>
      </c>
      <c r="D415" s="19">
        <f t="shared" si="6"/>
        <v>1969.64</v>
      </c>
    </row>
    <row r="416" spans="1:4" x14ac:dyDescent="0.25">
      <c r="A416" s="14" t="s">
        <v>51</v>
      </c>
      <c r="B416" s="14" t="s">
        <v>40</v>
      </c>
      <c r="C416" s="22">
        <f>SUMIFS('Flow2 '!$C:$C,'Flow2 '!$D:$D,Flow3!A416,'Flow2 '!E:E,Flow3!B416)</f>
        <v>23379</v>
      </c>
      <c r="D416" s="19">
        <f t="shared" si="6"/>
        <v>935.16</v>
      </c>
    </row>
    <row r="417" spans="1:4" x14ac:dyDescent="0.25">
      <c r="A417" s="14" t="s">
        <v>51</v>
      </c>
      <c r="B417" s="14" t="s">
        <v>41</v>
      </c>
      <c r="C417" s="22">
        <f>SUMIFS('Flow2 '!$C:$C,'Flow2 '!$D:$D,Flow3!A417,'Flow2 '!E:E,Flow3!B417)</f>
        <v>50424</v>
      </c>
      <c r="D417" s="19">
        <f t="shared" si="6"/>
        <v>2016.96</v>
      </c>
    </row>
    <row r="418" spans="1:4" x14ac:dyDescent="0.25">
      <c r="A418" s="14" t="s">
        <v>51</v>
      </c>
      <c r="B418" s="14" t="s">
        <v>42</v>
      </c>
      <c r="C418" s="22">
        <f>SUMIFS('Flow2 '!$C:$C,'Flow2 '!$D:$D,Flow3!A418,'Flow2 '!E:E,Flow3!B418)</f>
        <v>44288.019485437748</v>
      </c>
      <c r="D418" s="19">
        <f t="shared" si="6"/>
        <v>1771.5207794175099</v>
      </c>
    </row>
    <row r="419" spans="1:4" x14ac:dyDescent="0.25">
      <c r="A419" s="14" t="s">
        <v>51</v>
      </c>
      <c r="B419" s="14" t="s">
        <v>43</v>
      </c>
      <c r="C419" s="22">
        <f>SUMIFS('Flow2 '!$C:$C,'Flow2 '!$D:$D,Flow3!A419,'Flow2 '!E:E,Flow3!B419)</f>
        <v>35040</v>
      </c>
      <c r="D419" s="19">
        <f t="shared" si="6"/>
        <v>1401.6</v>
      </c>
    </row>
    <row r="420" spans="1:4" x14ac:dyDescent="0.25">
      <c r="A420" s="14" t="s">
        <v>51</v>
      </c>
      <c r="B420" s="14" t="s">
        <v>44</v>
      </c>
      <c r="C420" s="22">
        <f>SUMIFS('Flow2 '!$C:$C,'Flow2 '!$D:$D,Flow3!A420,'Flow2 '!E:E,Flow3!B420)</f>
        <v>27790</v>
      </c>
      <c r="D420" s="19">
        <f t="shared" si="6"/>
        <v>1111.5999999999999</v>
      </c>
    </row>
    <row r="421" spans="1:4" x14ac:dyDescent="0.25">
      <c r="A421" s="14" t="s">
        <v>51</v>
      </c>
      <c r="B421" s="14" t="s">
        <v>45</v>
      </c>
      <c r="C421" s="22">
        <f>SUMIFS('Flow2 '!$C:$C,'Flow2 '!$D:$D,Flow3!A421,'Flow2 '!E:E,Flow3!B421)</f>
        <v>100021</v>
      </c>
      <c r="D421" s="19">
        <f t="shared" si="6"/>
        <v>4000.84</v>
      </c>
    </row>
    <row r="422" spans="1:4" x14ac:dyDescent="0.25">
      <c r="A422" s="14" t="s">
        <v>51</v>
      </c>
      <c r="B422" s="14" t="s">
        <v>46</v>
      </c>
      <c r="C422" s="22">
        <f>SUMIFS('Flow2 '!$C:$C,'Flow2 '!$D:$D,Flow3!A422,'Flow2 '!E:E,Flow3!B422)</f>
        <v>124915</v>
      </c>
      <c r="D422" s="19">
        <f t="shared" si="6"/>
        <v>4996.6000000000004</v>
      </c>
    </row>
    <row r="423" spans="1:4" x14ac:dyDescent="0.25">
      <c r="A423" s="14" t="s">
        <v>51</v>
      </c>
      <c r="B423" s="14" t="s">
        <v>47</v>
      </c>
      <c r="C423" s="22">
        <f>SUMIFS('Flow2 '!$C:$C,'Flow2 '!$D:$D,Flow3!A423,'Flow2 '!E:E,Flow3!B423)</f>
        <v>10850</v>
      </c>
      <c r="D423" s="19">
        <f t="shared" si="6"/>
        <v>434</v>
      </c>
    </row>
    <row r="424" spans="1:4" x14ac:dyDescent="0.25">
      <c r="A424" s="14" t="s">
        <v>51</v>
      </c>
      <c r="B424" s="14" t="s">
        <v>48</v>
      </c>
      <c r="C424" s="22">
        <f>SUMIFS('Flow2 '!$C:$C,'Flow2 '!$D:$D,Flow3!A424,'Flow2 '!E:E,Flow3!B424)</f>
        <v>137101</v>
      </c>
      <c r="D424" s="19">
        <f t="shared" si="6"/>
        <v>5484.04</v>
      </c>
    </row>
    <row r="425" spans="1:4" x14ac:dyDescent="0.25">
      <c r="A425" s="14" t="s">
        <v>51</v>
      </c>
      <c r="B425" s="14" t="s">
        <v>49</v>
      </c>
      <c r="C425" s="22">
        <f>SUMIFS('Flow2 '!$C:$C,'Flow2 '!$D:$D,Flow3!A425,'Flow2 '!E:E,Flow3!B425)</f>
        <v>30164</v>
      </c>
      <c r="D425" s="19">
        <f t="shared" si="6"/>
        <v>1206.56</v>
      </c>
    </row>
    <row r="426" spans="1:4" x14ac:dyDescent="0.25">
      <c r="A426" s="14" t="s">
        <v>51</v>
      </c>
      <c r="B426" s="14" t="s">
        <v>50</v>
      </c>
      <c r="C426" s="22">
        <f>SUMIFS('Flow2 '!$C:$C,'Flow2 '!$D:$D,Flow3!A426,'Flow2 '!E:E,Flow3!B426)</f>
        <v>150562</v>
      </c>
      <c r="D426" s="19">
        <f t="shared" si="6"/>
        <v>6022.48</v>
      </c>
    </row>
    <row r="427" spans="1:4" x14ac:dyDescent="0.25">
      <c r="A427" s="14" t="s">
        <v>51</v>
      </c>
      <c r="B427" s="14" t="s">
        <v>51</v>
      </c>
      <c r="C427" s="22">
        <f>SUMIFS('Flow2 '!$C:$C,'Flow2 '!$D:$D,Flow3!A427,'Flow2 '!E:E,Flow3!B427)</f>
        <v>260587</v>
      </c>
      <c r="D427" s="19">
        <f t="shared" si="6"/>
        <v>10423.48</v>
      </c>
    </row>
    <row r="428" spans="1:4" x14ac:dyDescent="0.25">
      <c r="A428" s="14" t="s">
        <v>51</v>
      </c>
      <c r="B428" s="14" t="s">
        <v>52</v>
      </c>
      <c r="C428" s="22">
        <f>SUMIFS('Flow2 '!$C:$C,'Flow2 '!$D:$D,Flow3!A428,'Flow2 '!E:E,Flow3!B428)</f>
        <v>25087</v>
      </c>
      <c r="D428" s="19">
        <f t="shared" si="6"/>
        <v>1003.48</v>
      </c>
    </row>
    <row r="429" spans="1:4" x14ac:dyDescent="0.25">
      <c r="A429" s="14" t="s">
        <v>51</v>
      </c>
      <c r="B429" s="14" t="s">
        <v>53</v>
      </c>
      <c r="C429" s="22">
        <f>SUMIFS('Flow2 '!$C:$C,'Flow2 '!$D:$D,Flow3!A429,'Flow2 '!E:E,Flow3!B429)</f>
        <v>41310</v>
      </c>
      <c r="D429" s="19">
        <f t="shared" si="6"/>
        <v>1652.4</v>
      </c>
    </row>
    <row r="430" spans="1:4" x14ac:dyDescent="0.25">
      <c r="A430" s="14" t="s">
        <v>51</v>
      </c>
      <c r="B430" s="14" t="s">
        <v>54</v>
      </c>
      <c r="C430" s="22">
        <f>SUMIFS('Flow2 '!$C:$C,'Flow2 '!$D:$D,Flow3!A430,'Flow2 '!E:E,Flow3!B430)</f>
        <v>22818</v>
      </c>
      <c r="D430" s="19">
        <f t="shared" si="6"/>
        <v>912.72</v>
      </c>
    </row>
    <row r="431" spans="1:4" x14ac:dyDescent="0.25">
      <c r="A431" s="14" t="s">
        <v>51</v>
      </c>
      <c r="B431" s="14" t="s">
        <v>55</v>
      </c>
      <c r="C431" s="22">
        <f>SUMIFS('Flow2 '!$C:$C,'Flow2 '!$D:$D,Flow3!A431,'Flow2 '!E:E,Flow3!B431)</f>
        <v>35595</v>
      </c>
      <c r="D431" s="19">
        <f t="shared" si="6"/>
        <v>1423.8</v>
      </c>
    </row>
    <row r="432" spans="1:4" x14ac:dyDescent="0.25">
      <c r="A432" s="14" t="s">
        <v>51</v>
      </c>
      <c r="B432" s="14" t="s">
        <v>56</v>
      </c>
      <c r="C432" s="22">
        <f>SUMIFS('Flow2 '!$C:$C,'Flow2 '!$D:$D,Flow3!A432,'Flow2 '!E:E,Flow3!B432)</f>
        <v>4494</v>
      </c>
      <c r="D432" s="19">
        <f t="shared" si="6"/>
        <v>179.76</v>
      </c>
    </row>
    <row r="433" spans="1:4" x14ac:dyDescent="0.25">
      <c r="A433" s="14" t="s">
        <v>51</v>
      </c>
      <c r="B433" s="14" t="s">
        <v>57</v>
      </c>
      <c r="C433" s="22">
        <f>SUMIFS('Flow2 '!$C:$C,'Flow2 '!$D:$D,Flow3!A433,'Flow2 '!E:E,Flow3!B433)</f>
        <v>30600</v>
      </c>
      <c r="D433" s="19">
        <f t="shared" si="6"/>
        <v>1224</v>
      </c>
    </row>
    <row r="434" spans="1:4" x14ac:dyDescent="0.25">
      <c r="A434" s="15" t="s">
        <v>52</v>
      </c>
      <c r="B434" s="15" t="s">
        <v>34</v>
      </c>
      <c r="C434" s="22">
        <f>SUMIFS('Flow2 '!$C:$C,'Flow2 '!$D:$D,Flow3!A434,'Flow2 '!E:E,Flow3!B434)</f>
        <v>68596</v>
      </c>
      <c r="D434" s="19">
        <f t="shared" si="6"/>
        <v>2743.84</v>
      </c>
    </row>
    <row r="435" spans="1:4" x14ac:dyDescent="0.25">
      <c r="A435" s="15" t="s">
        <v>52</v>
      </c>
      <c r="B435" s="15" t="s">
        <v>35</v>
      </c>
      <c r="C435" s="22">
        <f>SUMIFS('Flow2 '!$C:$C,'Flow2 '!$D:$D,Flow3!A435,'Flow2 '!E:E,Flow3!B435)</f>
        <v>38049.654908327779</v>
      </c>
      <c r="D435" s="19">
        <f t="shared" si="6"/>
        <v>1521.9861963331111</v>
      </c>
    </row>
    <row r="436" spans="1:4" x14ac:dyDescent="0.25">
      <c r="A436" s="15" t="s">
        <v>52</v>
      </c>
      <c r="B436" s="15" t="s">
        <v>36</v>
      </c>
      <c r="C436" s="22">
        <f>SUMIFS('Flow2 '!$C:$C,'Flow2 '!$D:$D,Flow3!A436,'Flow2 '!E:E,Flow3!B436)</f>
        <v>47810</v>
      </c>
      <c r="D436" s="19">
        <f t="shared" si="6"/>
        <v>1912.4</v>
      </c>
    </row>
    <row r="437" spans="1:4" x14ac:dyDescent="0.25">
      <c r="A437" s="15" t="s">
        <v>52</v>
      </c>
      <c r="B437" s="15" t="s">
        <v>37</v>
      </c>
      <c r="C437" s="22">
        <f>SUMIFS('Flow2 '!$C:$C,'Flow2 '!$D:$D,Flow3!A437,'Flow2 '!E:E,Flow3!B437)</f>
        <v>209258</v>
      </c>
      <c r="D437" s="19">
        <f t="shared" si="6"/>
        <v>8370.32</v>
      </c>
    </row>
    <row r="438" spans="1:4" x14ac:dyDescent="0.25">
      <c r="A438" s="15" t="s">
        <v>52</v>
      </c>
      <c r="B438" s="15" t="s">
        <v>38</v>
      </c>
      <c r="C438" s="22">
        <f>SUMIFS('Flow2 '!$C:$C,'Flow2 '!$D:$D,Flow3!A438,'Flow2 '!E:E,Flow3!B438)</f>
        <v>72542</v>
      </c>
      <c r="D438" s="19">
        <f t="shared" si="6"/>
        <v>2901.68</v>
      </c>
    </row>
    <row r="439" spans="1:4" x14ac:dyDescent="0.25">
      <c r="A439" s="15" t="s">
        <v>52</v>
      </c>
      <c r="B439" s="15" t="s">
        <v>39</v>
      </c>
      <c r="C439" s="22">
        <f>SUMIFS('Flow2 '!$C:$C,'Flow2 '!$D:$D,Flow3!A439,'Flow2 '!E:E,Flow3!B439)</f>
        <v>166464</v>
      </c>
      <c r="D439" s="19">
        <f t="shared" si="6"/>
        <v>6658.56</v>
      </c>
    </row>
    <row r="440" spans="1:4" x14ac:dyDescent="0.25">
      <c r="A440" s="15" t="s">
        <v>52</v>
      </c>
      <c r="B440" s="15" t="s">
        <v>40</v>
      </c>
      <c r="C440" s="22">
        <f>SUMIFS('Flow2 '!$C:$C,'Flow2 '!$D:$D,Flow3!A440,'Flow2 '!E:E,Flow3!B440)</f>
        <v>62981</v>
      </c>
      <c r="D440" s="19">
        <f t="shared" si="6"/>
        <v>2519.2399999999998</v>
      </c>
    </row>
    <row r="441" spans="1:4" x14ac:dyDescent="0.25">
      <c r="A441" s="15" t="s">
        <v>52</v>
      </c>
      <c r="B441" s="15" t="s">
        <v>41</v>
      </c>
      <c r="C441" s="22">
        <f>SUMIFS('Flow2 '!$C:$C,'Flow2 '!$D:$D,Flow3!A441,'Flow2 '!E:E,Flow3!B441)</f>
        <v>539810</v>
      </c>
      <c r="D441" s="19">
        <f t="shared" si="6"/>
        <v>21592.400000000001</v>
      </c>
    </row>
    <row r="442" spans="1:4" x14ac:dyDescent="0.25">
      <c r="A442" s="15" t="s">
        <v>52</v>
      </c>
      <c r="B442" s="15" t="s">
        <v>42</v>
      </c>
      <c r="C442" s="22">
        <f>SUMIFS('Flow2 '!$C:$C,'Flow2 '!$D:$D,Flow3!A442,'Flow2 '!E:E,Flow3!B442)</f>
        <v>54831.345091672229</v>
      </c>
      <c r="D442" s="19">
        <f t="shared" si="6"/>
        <v>2193.2538036668893</v>
      </c>
    </row>
    <row r="443" spans="1:4" x14ac:dyDescent="0.25">
      <c r="A443" s="15" t="s">
        <v>52</v>
      </c>
      <c r="B443" s="15" t="s">
        <v>43</v>
      </c>
      <c r="C443" s="22">
        <f>SUMIFS('Flow2 '!$C:$C,'Flow2 '!$D:$D,Flow3!A443,'Flow2 '!E:E,Flow3!B443)</f>
        <v>235936</v>
      </c>
      <c r="D443" s="19">
        <f t="shared" si="6"/>
        <v>9437.44</v>
      </c>
    </row>
    <row r="444" spans="1:4" x14ac:dyDescent="0.25">
      <c r="A444" s="15" t="s">
        <v>52</v>
      </c>
      <c r="B444" s="15" t="s">
        <v>44</v>
      </c>
      <c r="C444" s="22">
        <f>SUMIFS('Flow2 '!$C:$C,'Flow2 '!$D:$D,Flow3!A444,'Flow2 '!E:E,Flow3!B444)</f>
        <v>120149</v>
      </c>
      <c r="D444" s="19">
        <f t="shared" si="6"/>
        <v>4805.96</v>
      </c>
    </row>
    <row r="445" spans="1:4" x14ac:dyDescent="0.25">
      <c r="A445" s="15" t="s">
        <v>52</v>
      </c>
      <c r="B445" s="15" t="s">
        <v>45</v>
      </c>
      <c r="C445" s="22">
        <f>SUMIFS('Flow2 '!$C:$C,'Flow2 '!$D:$D,Flow3!A445,'Flow2 '!E:E,Flow3!B445)</f>
        <v>365645</v>
      </c>
      <c r="D445" s="19">
        <f t="shared" si="6"/>
        <v>14625.8</v>
      </c>
    </row>
    <row r="446" spans="1:4" x14ac:dyDescent="0.25">
      <c r="A446" s="15" t="s">
        <v>52</v>
      </c>
      <c r="B446" s="15" t="s">
        <v>46</v>
      </c>
      <c r="C446" s="22">
        <f>SUMIFS('Flow2 '!$C:$C,'Flow2 '!$D:$D,Flow3!A446,'Flow2 '!E:E,Flow3!B446)</f>
        <v>555304</v>
      </c>
      <c r="D446" s="19">
        <f t="shared" si="6"/>
        <v>22212.16</v>
      </c>
    </row>
    <row r="447" spans="1:4" x14ac:dyDescent="0.25">
      <c r="A447" s="15" t="s">
        <v>52</v>
      </c>
      <c r="B447" s="15" t="s">
        <v>47</v>
      </c>
      <c r="C447" s="22">
        <f>SUMIFS('Flow2 '!$C:$C,'Flow2 '!$D:$D,Flow3!A447,'Flow2 '!E:E,Flow3!B447)</f>
        <v>38540</v>
      </c>
      <c r="D447" s="19">
        <f t="shared" si="6"/>
        <v>1541.6</v>
      </c>
    </row>
    <row r="448" spans="1:4" x14ac:dyDescent="0.25">
      <c r="A448" s="15" t="s">
        <v>52</v>
      </c>
      <c r="B448" s="15" t="s">
        <v>48</v>
      </c>
      <c r="C448" s="22">
        <f>SUMIFS('Flow2 '!$C:$C,'Flow2 '!$D:$D,Flow3!A448,'Flow2 '!E:E,Flow3!B448)</f>
        <v>400594</v>
      </c>
      <c r="D448" s="19">
        <f t="shared" si="6"/>
        <v>16023.76</v>
      </c>
    </row>
    <row r="449" spans="1:4" x14ac:dyDescent="0.25">
      <c r="A449" s="15" t="s">
        <v>52</v>
      </c>
      <c r="B449" s="15" t="s">
        <v>49</v>
      </c>
      <c r="C449" s="22">
        <f>SUMIFS('Flow2 '!$C:$C,'Flow2 '!$D:$D,Flow3!A449,'Flow2 '!E:E,Flow3!B449)</f>
        <v>54582</v>
      </c>
      <c r="D449" s="19">
        <f t="shared" si="6"/>
        <v>2183.2800000000002</v>
      </c>
    </row>
    <row r="450" spans="1:4" x14ac:dyDescent="0.25">
      <c r="A450" s="15" t="s">
        <v>52</v>
      </c>
      <c r="B450" s="15" t="s">
        <v>50</v>
      </c>
      <c r="C450" s="22">
        <f>SUMIFS('Flow2 '!$C:$C,'Flow2 '!$D:$D,Flow3!A450,'Flow2 '!E:E,Flow3!B450)</f>
        <v>359351</v>
      </c>
      <c r="D450" s="19">
        <f t="shared" si="6"/>
        <v>14374.04</v>
      </c>
    </row>
    <row r="451" spans="1:4" x14ac:dyDescent="0.25">
      <c r="A451" s="15" t="s">
        <v>52</v>
      </c>
      <c r="B451" s="15" t="s">
        <v>51</v>
      </c>
      <c r="C451" s="22">
        <f>SUMIFS('Flow2 '!$C:$C,'Flow2 '!$D:$D,Flow3!A451,'Flow2 '!E:E,Flow3!B451)</f>
        <v>18303</v>
      </c>
      <c r="D451" s="19">
        <f t="shared" ref="D451:D514" si="7">C451/25</f>
        <v>732.12</v>
      </c>
    </row>
    <row r="452" spans="1:4" x14ac:dyDescent="0.25">
      <c r="A452" s="15" t="s">
        <v>52</v>
      </c>
      <c r="B452" s="15" t="s">
        <v>52</v>
      </c>
      <c r="C452" s="22">
        <f>SUMIFS('Flow2 '!$C:$C,'Flow2 '!$D:$D,Flow3!A452,'Flow2 '!E:E,Flow3!B452)</f>
        <v>797047</v>
      </c>
      <c r="D452" s="19">
        <f t="shared" si="7"/>
        <v>31881.88</v>
      </c>
    </row>
    <row r="453" spans="1:4" x14ac:dyDescent="0.25">
      <c r="A453" s="15" t="s">
        <v>52</v>
      </c>
      <c r="B453" s="15" t="s">
        <v>53</v>
      </c>
      <c r="C453" s="22">
        <f>SUMIFS('Flow2 '!$C:$C,'Flow2 '!$D:$D,Flow3!A453,'Flow2 '!E:E,Flow3!B453)</f>
        <v>114241</v>
      </c>
      <c r="D453" s="19">
        <f t="shared" si="7"/>
        <v>4569.6400000000003</v>
      </c>
    </row>
    <row r="454" spans="1:4" x14ac:dyDescent="0.25">
      <c r="A454" s="15" t="s">
        <v>52</v>
      </c>
      <c r="B454" s="15" t="s">
        <v>54</v>
      </c>
      <c r="C454" s="22">
        <f>SUMIFS('Flow2 '!$C:$C,'Flow2 '!$D:$D,Flow3!A454,'Flow2 '!E:E,Flow3!B454)</f>
        <v>76682</v>
      </c>
      <c r="D454" s="19">
        <f t="shared" si="7"/>
        <v>3067.28</v>
      </c>
    </row>
    <row r="455" spans="1:4" x14ac:dyDescent="0.25">
      <c r="A455" s="15" t="s">
        <v>52</v>
      </c>
      <c r="B455" s="15" t="s">
        <v>55</v>
      </c>
      <c r="C455" s="22">
        <f>SUMIFS('Flow2 '!$C:$C,'Flow2 '!$D:$D,Flow3!A455,'Flow2 '!E:E,Flow3!B455)</f>
        <v>76628</v>
      </c>
      <c r="D455" s="19">
        <f t="shared" si="7"/>
        <v>3065.12</v>
      </c>
    </row>
    <row r="456" spans="1:4" x14ac:dyDescent="0.25">
      <c r="A456" s="15" t="s">
        <v>52</v>
      </c>
      <c r="B456" s="15" t="s">
        <v>56</v>
      </c>
      <c r="C456" s="22">
        <f>SUMIFS('Flow2 '!$C:$C,'Flow2 '!$D:$D,Flow3!A456,'Flow2 '!E:E,Flow3!B456)</f>
        <v>7355</v>
      </c>
      <c r="D456" s="19">
        <f t="shared" si="7"/>
        <v>294.2</v>
      </c>
    </row>
    <row r="457" spans="1:4" x14ac:dyDescent="0.25">
      <c r="A457" s="15" t="s">
        <v>52</v>
      </c>
      <c r="B457" s="15" t="s">
        <v>57</v>
      </c>
      <c r="C457" s="22">
        <f>SUMIFS('Flow2 '!$C:$C,'Flow2 '!$D:$D,Flow3!A457,'Flow2 '!E:E,Flow3!B457)</f>
        <v>62232</v>
      </c>
      <c r="D457" s="19">
        <f t="shared" si="7"/>
        <v>2489.2800000000002</v>
      </c>
    </row>
    <row r="458" spans="1:4" x14ac:dyDescent="0.25">
      <c r="A458" s="16" t="s">
        <v>53</v>
      </c>
      <c r="B458" s="16" t="s">
        <v>34</v>
      </c>
      <c r="C458" s="22">
        <f>SUMIFS('Flow2 '!$C:$C,'Flow2 '!$D:$D,Flow3!A458,'Flow2 '!E:E,Flow3!B458)</f>
        <v>97885</v>
      </c>
      <c r="D458" s="19">
        <f t="shared" si="7"/>
        <v>3915.4</v>
      </c>
    </row>
    <row r="459" spans="1:4" x14ac:dyDescent="0.25">
      <c r="A459" s="16" t="s">
        <v>53</v>
      </c>
      <c r="B459" s="16" t="s">
        <v>35</v>
      </c>
      <c r="C459" s="22">
        <f>SUMIFS('Flow2 '!$C:$C,'Flow2 '!$D:$D,Flow3!A459,'Flow2 '!E:E,Flow3!B459)</f>
        <v>89121.671375822218</v>
      </c>
      <c r="D459" s="19">
        <f t="shared" si="7"/>
        <v>3564.8668550328889</v>
      </c>
    </row>
    <row r="460" spans="1:4" x14ac:dyDescent="0.25">
      <c r="A460" s="16" t="s">
        <v>53</v>
      </c>
      <c r="B460" s="16" t="s">
        <v>36</v>
      </c>
      <c r="C460" s="22">
        <f>SUMIFS('Flow2 '!$C:$C,'Flow2 '!$D:$D,Flow3!A460,'Flow2 '!E:E,Flow3!B460)</f>
        <v>206000</v>
      </c>
      <c r="D460" s="19">
        <f t="shared" si="7"/>
        <v>8240</v>
      </c>
    </row>
    <row r="461" spans="1:4" x14ac:dyDescent="0.25">
      <c r="A461" s="16" t="s">
        <v>53</v>
      </c>
      <c r="B461" s="16" t="s">
        <v>37</v>
      </c>
      <c r="C461" s="22">
        <f>SUMIFS('Flow2 '!$C:$C,'Flow2 '!$D:$D,Flow3!A461,'Flow2 '!E:E,Flow3!B461)</f>
        <v>190639</v>
      </c>
      <c r="D461" s="19">
        <f t="shared" si="7"/>
        <v>7625.56</v>
      </c>
    </row>
    <row r="462" spans="1:4" x14ac:dyDescent="0.25">
      <c r="A462" s="16" t="s">
        <v>53</v>
      </c>
      <c r="B462" s="16" t="s">
        <v>38</v>
      </c>
      <c r="C462" s="22">
        <f>SUMIFS('Flow2 '!$C:$C,'Flow2 '!$D:$D,Flow3!A462,'Flow2 '!E:E,Flow3!B462)</f>
        <v>44650</v>
      </c>
      <c r="D462" s="19">
        <f t="shared" si="7"/>
        <v>1786</v>
      </c>
    </row>
    <row r="463" spans="1:4" x14ac:dyDescent="0.25">
      <c r="A463" s="16" t="s">
        <v>53</v>
      </c>
      <c r="B463" s="16" t="s">
        <v>39</v>
      </c>
      <c r="C463" s="22">
        <f>SUMIFS('Flow2 '!$C:$C,'Flow2 '!$D:$D,Flow3!A463,'Flow2 '!E:E,Flow3!B463)</f>
        <v>346111</v>
      </c>
      <c r="D463" s="19">
        <f t="shared" si="7"/>
        <v>13844.44</v>
      </c>
    </row>
    <row r="464" spans="1:4" x14ac:dyDescent="0.25">
      <c r="A464" s="16" t="s">
        <v>53</v>
      </c>
      <c r="B464" s="16" t="s">
        <v>40</v>
      </c>
      <c r="C464" s="22">
        <f>SUMIFS('Flow2 '!$C:$C,'Flow2 '!$D:$D,Flow3!A464,'Flow2 '!E:E,Flow3!B464)</f>
        <v>247642</v>
      </c>
      <c r="D464" s="19">
        <f t="shared" si="7"/>
        <v>9905.68</v>
      </c>
    </row>
    <row r="465" spans="1:4" x14ac:dyDescent="0.25">
      <c r="A465" s="16" t="s">
        <v>53</v>
      </c>
      <c r="B465" s="16" t="s">
        <v>41</v>
      </c>
      <c r="C465" s="22">
        <f>SUMIFS('Flow2 '!$C:$C,'Flow2 '!$D:$D,Flow3!A465,'Flow2 '!E:E,Flow3!B465)</f>
        <v>485726</v>
      </c>
      <c r="D465" s="19">
        <f t="shared" si="7"/>
        <v>19429.04</v>
      </c>
    </row>
    <row r="466" spans="1:4" x14ac:dyDescent="0.25">
      <c r="A466" s="16" t="s">
        <v>53</v>
      </c>
      <c r="B466" s="16" t="s">
        <v>42</v>
      </c>
      <c r="C466" s="22">
        <f>SUMIFS('Flow2 '!$C:$C,'Flow2 '!$D:$D,Flow3!A466,'Flow2 '!E:E,Flow3!B466)</f>
        <v>109338.32862417778</v>
      </c>
      <c r="D466" s="19">
        <f t="shared" si="7"/>
        <v>4373.5331449671112</v>
      </c>
    </row>
    <row r="467" spans="1:4" x14ac:dyDescent="0.25">
      <c r="A467" s="16" t="s">
        <v>53</v>
      </c>
      <c r="B467" s="16" t="s">
        <v>43</v>
      </c>
      <c r="C467" s="22">
        <f>SUMIFS('Flow2 '!$C:$C,'Flow2 '!$D:$D,Flow3!A467,'Flow2 '!E:E,Flow3!B467)</f>
        <v>268462</v>
      </c>
      <c r="D467" s="19">
        <f t="shared" si="7"/>
        <v>10738.48</v>
      </c>
    </row>
    <row r="468" spans="1:4" x14ac:dyDescent="0.25">
      <c r="A468" s="16" t="s">
        <v>53</v>
      </c>
      <c r="B468" s="16" t="s">
        <v>44</v>
      </c>
      <c r="C468" s="22">
        <f>SUMIFS('Flow2 '!$C:$C,'Flow2 '!$D:$D,Flow3!A468,'Flow2 '!E:E,Flow3!B468)</f>
        <v>251197</v>
      </c>
      <c r="D468" s="19">
        <f t="shared" si="7"/>
        <v>10047.879999999999</v>
      </c>
    </row>
    <row r="469" spans="1:4" x14ac:dyDescent="0.25">
      <c r="A469" s="16" t="s">
        <v>53</v>
      </c>
      <c r="B469" s="16" t="s">
        <v>45</v>
      </c>
      <c r="C469" s="22">
        <f>SUMIFS('Flow2 '!$C:$C,'Flow2 '!$D:$D,Flow3!A469,'Flow2 '!E:E,Flow3!B469)</f>
        <v>1314622</v>
      </c>
      <c r="D469" s="19">
        <f t="shared" si="7"/>
        <v>52584.88</v>
      </c>
    </row>
    <row r="470" spans="1:4" x14ac:dyDescent="0.25">
      <c r="A470" s="16" t="s">
        <v>53</v>
      </c>
      <c r="B470" s="16" t="s">
        <v>46</v>
      </c>
      <c r="C470" s="22">
        <f>SUMIFS('Flow2 '!$C:$C,'Flow2 '!$D:$D,Flow3!A470,'Flow2 '!E:E,Flow3!B470)</f>
        <v>1359217</v>
      </c>
      <c r="D470" s="19">
        <f t="shared" si="7"/>
        <v>54368.68</v>
      </c>
    </row>
    <row r="471" spans="1:4" x14ac:dyDescent="0.25">
      <c r="A471" s="16" t="s">
        <v>53</v>
      </c>
      <c r="B471" s="16" t="s">
        <v>47</v>
      </c>
      <c r="C471" s="22">
        <f>SUMIFS('Flow2 '!$C:$C,'Flow2 '!$D:$D,Flow3!A471,'Flow2 '!E:E,Flow3!B471)</f>
        <v>137536</v>
      </c>
      <c r="D471" s="19">
        <f t="shared" si="7"/>
        <v>5501.44</v>
      </c>
    </row>
    <row r="472" spans="1:4" x14ac:dyDescent="0.25">
      <c r="A472" s="16" t="s">
        <v>53</v>
      </c>
      <c r="B472" s="16" t="s">
        <v>48</v>
      </c>
      <c r="C472" s="22">
        <f>SUMIFS('Flow2 '!$C:$C,'Flow2 '!$D:$D,Flow3!A472,'Flow2 '!E:E,Flow3!B472)</f>
        <v>1748898</v>
      </c>
      <c r="D472" s="19">
        <f t="shared" si="7"/>
        <v>69955.92</v>
      </c>
    </row>
    <row r="473" spans="1:4" x14ac:dyDescent="0.25">
      <c r="A473" s="16" t="s">
        <v>53</v>
      </c>
      <c r="B473" s="16" t="s">
        <v>49</v>
      </c>
      <c r="C473" s="22">
        <f>SUMIFS('Flow2 '!$C:$C,'Flow2 '!$D:$D,Flow3!A473,'Flow2 '!E:E,Flow3!B473)</f>
        <v>121404</v>
      </c>
      <c r="D473" s="19">
        <f t="shared" si="7"/>
        <v>4856.16</v>
      </c>
    </row>
    <row r="474" spans="1:4" x14ac:dyDescent="0.25">
      <c r="A474" s="16" t="s">
        <v>53</v>
      </c>
      <c r="B474" s="16" t="s">
        <v>50</v>
      </c>
      <c r="C474" s="22">
        <f>SUMIFS('Flow2 '!$C:$C,'Flow2 '!$D:$D,Flow3!A474,'Flow2 '!E:E,Flow3!B474)</f>
        <v>649128</v>
      </c>
      <c r="D474" s="19">
        <f t="shared" si="7"/>
        <v>25965.119999999999</v>
      </c>
    </row>
    <row r="475" spans="1:4" x14ac:dyDescent="0.25">
      <c r="A475" s="16" t="s">
        <v>53</v>
      </c>
      <c r="B475" s="16" t="s">
        <v>51</v>
      </c>
      <c r="C475" s="22">
        <f>SUMIFS('Flow2 '!$C:$C,'Flow2 '!$D:$D,Flow3!A475,'Flow2 '!E:E,Flow3!B475)</f>
        <v>39562</v>
      </c>
      <c r="D475" s="19">
        <f t="shared" si="7"/>
        <v>1582.48</v>
      </c>
    </row>
    <row r="476" spans="1:4" x14ac:dyDescent="0.25">
      <c r="A476" s="16" t="s">
        <v>53</v>
      </c>
      <c r="B476" s="16" t="s">
        <v>52</v>
      </c>
      <c r="C476" s="22">
        <f>SUMIFS('Flow2 '!$C:$C,'Flow2 '!$D:$D,Flow3!A476,'Flow2 '!E:E,Flow3!B476)</f>
        <v>171040</v>
      </c>
      <c r="D476" s="19">
        <f t="shared" si="7"/>
        <v>6841.6</v>
      </c>
    </row>
    <row r="477" spans="1:4" x14ac:dyDescent="0.25">
      <c r="A477" s="16" t="s">
        <v>53</v>
      </c>
      <c r="B477" s="16" t="s">
        <v>53</v>
      </c>
      <c r="C477" s="22">
        <f>SUMIFS('Flow2 '!$C:$C,'Flow2 '!$D:$D,Flow3!A477,'Flow2 '!E:E,Flow3!B477)</f>
        <v>3481326</v>
      </c>
      <c r="D477" s="19">
        <f t="shared" si="7"/>
        <v>139253.04</v>
      </c>
    </row>
    <row r="478" spans="1:4" x14ac:dyDescent="0.25">
      <c r="A478" s="16" t="s">
        <v>53</v>
      </c>
      <c r="B478" s="16" t="s">
        <v>54</v>
      </c>
      <c r="C478" s="22">
        <f>SUMIFS('Flow2 '!$C:$C,'Flow2 '!$D:$D,Flow3!A478,'Flow2 '!E:E,Flow3!B478)</f>
        <v>329365</v>
      </c>
      <c r="D478" s="19">
        <f t="shared" si="7"/>
        <v>13174.6</v>
      </c>
    </row>
    <row r="479" spans="1:4" x14ac:dyDescent="0.25">
      <c r="A479" s="16" t="s">
        <v>53</v>
      </c>
      <c r="B479" s="16" t="s">
        <v>55</v>
      </c>
      <c r="C479" s="22">
        <f>SUMIFS('Flow2 '!$C:$C,'Flow2 '!$D:$D,Flow3!A479,'Flow2 '!E:E,Flow3!B479)</f>
        <v>230283</v>
      </c>
      <c r="D479" s="19">
        <f t="shared" si="7"/>
        <v>9211.32</v>
      </c>
    </row>
    <row r="480" spans="1:4" x14ac:dyDescent="0.25">
      <c r="A480" s="16" t="s">
        <v>53</v>
      </c>
      <c r="B480" s="16" t="s">
        <v>56</v>
      </c>
      <c r="C480" s="22">
        <f>SUMIFS('Flow2 '!$C:$C,'Flow2 '!$D:$D,Flow3!A480,'Flow2 '!E:E,Flow3!B480)</f>
        <v>29193</v>
      </c>
      <c r="D480" s="19">
        <f t="shared" si="7"/>
        <v>1167.72</v>
      </c>
    </row>
    <row r="481" spans="1:4" x14ac:dyDescent="0.25">
      <c r="A481" s="16" t="s">
        <v>53</v>
      </c>
      <c r="B481" s="16" t="s">
        <v>57</v>
      </c>
      <c r="C481" s="22">
        <f>SUMIFS('Flow2 '!$C:$C,'Flow2 '!$D:$D,Flow3!A481,'Flow2 '!E:E,Flow3!B481)</f>
        <v>342221</v>
      </c>
      <c r="D481" s="19">
        <f t="shared" si="7"/>
        <v>13688.84</v>
      </c>
    </row>
    <row r="482" spans="1:4" x14ac:dyDescent="0.25">
      <c r="A482" s="17" t="s">
        <v>54</v>
      </c>
      <c r="B482" s="17" t="s">
        <v>34</v>
      </c>
      <c r="C482" s="22">
        <f>SUMIFS('Flow2 '!$C:$C,'Flow2 '!$D:$D,Flow3!A482,'Flow2 '!E:E,Flow3!B482)</f>
        <v>82473</v>
      </c>
      <c r="D482" s="19">
        <f t="shared" si="7"/>
        <v>3298.92</v>
      </c>
    </row>
    <row r="483" spans="1:4" x14ac:dyDescent="0.25">
      <c r="A483" s="17" t="s">
        <v>54</v>
      </c>
      <c r="B483" s="17" t="s">
        <v>35</v>
      </c>
      <c r="C483" s="22">
        <f>SUMIFS('Flow2 '!$C:$C,'Flow2 '!$D:$D,Flow3!A483,'Flow2 '!E:E,Flow3!B483)</f>
        <v>41990.856785227101</v>
      </c>
      <c r="D483" s="19">
        <f t="shared" si="7"/>
        <v>1679.634271409084</v>
      </c>
    </row>
    <row r="484" spans="1:4" x14ac:dyDescent="0.25">
      <c r="A484" s="17" t="s">
        <v>54</v>
      </c>
      <c r="B484" s="17" t="s">
        <v>36</v>
      </c>
      <c r="C484" s="22">
        <f>SUMIFS('Flow2 '!$C:$C,'Flow2 '!$D:$D,Flow3!A484,'Flow2 '!E:E,Flow3!B484)</f>
        <v>71449</v>
      </c>
      <c r="D484" s="19">
        <f t="shared" si="7"/>
        <v>2857.96</v>
      </c>
    </row>
    <row r="485" spans="1:4" x14ac:dyDescent="0.25">
      <c r="A485" s="17" t="s">
        <v>54</v>
      </c>
      <c r="B485" s="17" t="s">
        <v>37</v>
      </c>
      <c r="C485" s="22">
        <f>SUMIFS('Flow2 '!$C:$C,'Flow2 '!$D:$D,Flow3!A485,'Flow2 '!E:E,Flow3!B485)</f>
        <v>141921</v>
      </c>
      <c r="D485" s="19">
        <f t="shared" si="7"/>
        <v>5676.84</v>
      </c>
    </row>
    <row r="486" spans="1:4" x14ac:dyDescent="0.25">
      <c r="A486" s="17" t="s">
        <v>54</v>
      </c>
      <c r="B486" s="17" t="s">
        <v>38</v>
      </c>
      <c r="C486" s="22">
        <f>SUMIFS('Flow2 '!$C:$C,'Flow2 '!$D:$D,Flow3!A486,'Flow2 '!E:E,Flow3!B486)</f>
        <v>32560</v>
      </c>
      <c r="D486" s="19">
        <f t="shared" si="7"/>
        <v>1302.4000000000001</v>
      </c>
    </row>
    <row r="487" spans="1:4" x14ac:dyDescent="0.25">
      <c r="A487" s="17" t="s">
        <v>54</v>
      </c>
      <c r="B487" s="17" t="s">
        <v>39</v>
      </c>
      <c r="C487" s="22">
        <f>SUMIFS('Flow2 '!$C:$C,'Flow2 '!$D:$D,Flow3!A487,'Flow2 '!E:E,Flow3!B487)</f>
        <v>237756</v>
      </c>
      <c r="D487" s="19">
        <f t="shared" si="7"/>
        <v>9510.24</v>
      </c>
    </row>
    <row r="488" spans="1:4" x14ac:dyDescent="0.25">
      <c r="A488" s="17" t="s">
        <v>54</v>
      </c>
      <c r="B488" s="17" t="s">
        <v>40</v>
      </c>
      <c r="C488" s="22">
        <f>SUMIFS('Flow2 '!$C:$C,'Flow2 '!$D:$D,Flow3!A488,'Flow2 '!E:E,Flow3!B488)</f>
        <v>85388</v>
      </c>
      <c r="D488" s="19">
        <f t="shared" si="7"/>
        <v>3415.52</v>
      </c>
    </row>
    <row r="489" spans="1:4" x14ac:dyDescent="0.25">
      <c r="A489" s="17" t="s">
        <v>54</v>
      </c>
      <c r="B489" s="17" t="s">
        <v>41</v>
      </c>
      <c r="C489" s="22">
        <f>SUMIFS('Flow2 '!$C:$C,'Flow2 '!$D:$D,Flow3!A489,'Flow2 '!E:E,Flow3!B489)</f>
        <v>393456</v>
      </c>
      <c r="D489" s="19">
        <f t="shared" si="7"/>
        <v>15738.24</v>
      </c>
    </row>
    <row r="490" spans="1:4" x14ac:dyDescent="0.25">
      <c r="A490" s="17" t="s">
        <v>54</v>
      </c>
      <c r="B490" s="17" t="s">
        <v>42</v>
      </c>
      <c r="C490" s="22">
        <f>SUMIFS('Flow2 '!$C:$C,'Flow2 '!$D:$D,Flow3!A490,'Flow2 '!E:E,Flow3!B490)</f>
        <v>90929.143214772907</v>
      </c>
      <c r="D490" s="19">
        <f t="shared" si="7"/>
        <v>3637.1657285909164</v>
      </c>
    </row>
    <row r="491" spans="1:4" x14ac:dyDescent="0.25">
      <c r="A491" s="17" t="s">
        <v>54</v>
      </c>
      <c r="B491" s="17" t="s">
        <v>43</v>
      </c>
      <c r="C491" s="22">
        <f>SUMIFS('Flow2 '!$C:$C,'Flow2 '!$D:$D,Flow3!A491,'Flow2 '!E:E,Flow3!B491)</f>
        <v>243474</v>
      </c>
      <c r="D491" s="19">
        <f t="shared" si="7"/>
        <v>9738.9599999999991</v>
      </c>
    </row>
    <row r="492" spans="1:4" x14ac:dyDescent="0.25">
      <c r="A492" s="17" t="s">
        <v>54</v>
      </c>
      <c r="B492" s="17" t="s">
        <v>44</v>
      </c>
      <c r="C492" s="22">
        <f>SUMIFS('Flow2 '!$C:$C,'Flow2 '!$D:$D,Flow3!A492,'Flow2 '!E:E,Flow3!B492)</f>
        <v>178447</v>
      </c>
      <c r="D492" s="19">
        <f t="shared" si="7"/>
        <v>7137.88</v>
      </c>
    </row>
    <row r="493" spans="1:4" x14ac:dyDescent="0.25">
      <c r="A493" s="17" t="s">
        <v>54</v>
      </c>
      <c r="B493" s="17" t="s">
        <v>45</v>
      </c>
      <c r="C493" s="22">
        <f>SUMIFS('Flow2 '!$C:$C,'Flow2 '!$D:$D,Flow3!A493,'Flow2 '!E:E,Flow3!B493)</f>
        <v>673987</v>
      </c>
      <c r="D493" s="19">
        <f t="shared" si="7"/>
        <v>26959.48</v>
      </c>
    </row>
    <row r="494" spans="1:4" x14ac:dyDescent="0.25">
      <c r="A494" s="17" t="s">
        <v>54</v>
      </c>
      <c r="B494" s="17" t="s">
        <v>46</v>
      </c>
      <c r="C494" s="22">
        <f>SUMIFS('Flow2 '!$C:$C,'Flow2 '!$D:$D,Flow3!A494,'Flow2 '!E:E,Flow3!B494)</f>
        <v>877038</v>
      </c>
      <c r="D494" s="19">
        <f t="shared" si="7"/>
        <v>35081.519999999997</v>
      </c>
    </row>
    <row r="495" spans="1:4" x14ac:dyDescent="0.25">
      <c r="A495" s="17" t="s">
        <v>54</v>
      </c>
      <c r="B495" s="17" t="s">
        <v>47</v>
      </c>
      <c r="C495" s="22">
        <f>SUMIFS('Flow2 '!$C:$C,'Flow2 '!$D:$D,Flow3!A495,'Flow2 '!E:E,Flow3!B495)</f>
        <v>68875</v>
      </c>
      <c r="D495" s="19">
        <f t="shared" si="7"/>
        <v>2755</v>
      </c>
    </row>
    <row r="496" spans="1:4" x14ac:dyDescent="0.25">
      <c r="A496" s="17" t="s">
        <v>54</v>
      </c>
      <c r="B496" s="17" t="s">
        <v>48</v>
      </c>
      <c r="C496" s="22">
        <f>SUMIFS('Flow2 '!$C:$C,'Flow2 '!$D:$D,Flow3!A496,'Flow2 '!E:E,Flow3!B496)</f>
        <v>702424</v>
      </c>
      <c r="D496" s="19">
        <f t="shared" si="7"/>
        <v>28096.959999999999</v>
      </c>
    </row>
    <row r="497" spans="1:4" x14ac:dyDescent="0.25">
      <c r="A497" s="17" t="s">
        <v>54</v>
      </c>
      <c r="B497" s="17" t="s">
        <v>49</v>
      </c>
      <c r="C497" s="22">
        <f>SUMIFS('Flow2 '!$C:$C,'Flow2 '!$D:$D,Flow3!A497,'Flow2 '!E:E,Flow3!B497)</f>
        <v>44100</v>
      </c>
      <c r="D497" s="19">
        <f t="shared" si="7"/>
        <v>1764</v>
      </c>
    </row>
    <row r="498" spans="1:4" x14ac:dyDescent="0.25">
      <c r="A498" s="17" t="s">
        <v>54</v>
      </c>
      <c r="B498" s="17" t="s">
        <v>50</v>
      </c>
      <c r="C498" s="22">
        <f>SUMIFS('Flow2 '!$C:$C,'Flow2 '!$D:$D,Flow3!A498,'Flow2 '!E:E,Flow3!B498)</f>
        <v>208485</v>
      </c>
      <c r="D498" s="19">
        <f t="shared" si="7"/>
        <v>8339.4</v>
      </c>
    </row>
    <row r="499" spans="1:4" x14ac:dyDescent="0.25">
      <c r="A499" s="17" t="s">
        <v>54</v>
      </c>
      <c r="B499" s="17" t="s">
        <v>51</v>
      </c>
      <c r="C499" s="22">
        <f>SUMIFS('Flow2 '!$C:$C,'Flow2 '!$D:$D,Flow3!A499,'Flow2 '!E:E,Flow3!B499)</f>
        <v>16609</v>
      </c>
      <c r="D499" s="19">
        <f t="shared" si="7"/>
        <v>664.36</v>
      </c>
    </row>
    <row r="500" spans="1:4" x14ac:dyDescent="0.25">
      <c r="A500" s="17" t="s">
        <v>54</v>
      </c>
      <c r="B500" s="17" t="s">
        <v>52</v>
      </c>
      <c r="C500" s="22">
        <f>SUMIFS('Flow2 '!$C:$C,'Flow2 '!$D:$D,Flow3!A500,'Flow2 '!E:E,Flow3!B500)</f>
        <v>100152</v>
      </c>
      <c r="D500" s="19">
        <f t="shared" si="7"/>
        <v>4006.08</v>
      </c>
    </row>
    <row r="501" spans="1:4" x14ac:dyDescent="0.25">
      <c r="A501" s="17" t="s">
        <v>54</v>
      </c>
      <c r="B501" s="17" t="s">
        <v>53</v>
      </c>
      <c r="C501" s="22">
        <f>SUMIFS('Flow2 '!$C:$C,'Flow2 '!$D:$D,Flow3!A501,'Flow2 '!E:E,Flow3!B501)</f>
        <v>265198</v>
      </c>
      <c r="D501" s="19">
        <f t="shared" si="7"/>
        <v>10607.92</v>
      </c>
    </row>
    <row r="502" spans="1:4" x14ac:dyDescent="0.25">
      <c r="A502" s="17" t="s">
        <v>54</v>
      </c>
      <c r="B502" s="17" t="s">
        <v>54</v>
      </c>
      <c r="C502" s="22">
        <f>SUMIFS('Flow2 '!$C:$C,'Flow2 '!$D:$D,Flow3!A502,'Flow2 '!E:E,Flow3!B502)</f>
        <v>1067898</v>
      </c>
      <c r="D502" s="19">
        <f t="shared" si="7"/>
        <v>42715.92</v>
      </c>
    </row>
    <row r="503" spans="1:4" x14ac:dyDescent="0.25">
      <c r="A503" s="17" t="s">
        <v>54</v>
      </c>
      <c r="B503" s="17" t="s">
        <v>55</v>
      </c>
      <c r="C503" s="22">
        <f>SUMIFS('Flow2 '!$C:$C,'Flow2 '!$D:$D,Flow3!A503,'Flow2 '!E:E,Flow3!B503)</f>
        <v>90782</v>
      </c>
      <c r="D503" s="19">
        <f t="shared" si="7"/>
        <v>3631.28</v>
      </c>
    </row>
    <row r="504" spans="1:4" x14ac:dyDescent="0.25">
      <c r="A504" s="17" t="s">
        <v>54</v>
      </c>
      <c r="B504" s="17" t="s">
        <v>56</v>
      </c>
      <c r="C504" s="22">
        <f>SUMIFS('Flow2 '!$C:$C,'Flow2 '!$D:$D,Flow3!A504,'Flow2 '!E:E,Flow3!B504)</f>
        <v>15124</v>
      </c>
      <c r="D504" s="19">
        <f t="shared" si="7"/>
        <v>604.96</v>
      </c>
    </row>
    <row r="505" spans="1:4" x14ac:dyDescent="0.25">
      <c r="A505" s="17" t="s">
        <v>54</v>
      </c>
      <c r="B505" s="17" t="s">
        <v>57</v>
      </c>
      <c r="C505" s="22">
        <f>SUMIFS('Flow2 '!$C:$C,'Flow2 '!$D:$D,Flow3!A505,'Flow2 '!E:E,Flow3!B505)</f>
        <v>100811</v>
      </c>
      <c r="D505" s="19">
        <f t="shared" si="7"/>
        <v>4032.44</v>
      </c>
    </row>
    <row r="506" spans="1:4" x14ac:dyDescent="0.25">
      <c r="A506" s="18" t="s">
        <v>55</v>
      </c>
      <c r="B506" s="18" t="s">
        <v>34</v>
      </c>
      <c r="C506" s="22">
        <f>SUMIFS('Flow2 '!$C:$C,'Flow2 '!$D:$D,Flow3!A506,'Flow2 '!E:E,Flow3!B506)</f>
        <v>57109</v>
      </c>
      <c r="D506" s="19">
        <f t="shared" si="7"/>
        <v>2284.36</v>
      </c>
    </row>
    <row r="507" spans="1:4" x14ac:dyDescent="0.25">
      <c r="A507" s="18" t="s">
        <v>55</v>
      </c>
      <c r="B507" s="18" t="s">
        <v>35</v>
      </c>
      <c r="C507" s="22">
        <f>SUMIFS('Flow2 '!$C:$C,'Flow2 '!$D:$D,Flow3!A507,'Flow2 '!E:E,Flow3!B507)</f>
        <v>82185.514283289667</v>
      </c>
      <c r="D507" s="19">
        <f t="shared" si="7"/>
        <v>3287.4205713315869</v>
      </c>
    </row>
    <row r="508" spans="1:4" x14ac:dyDescent="0.25">
      <c r="A508" s="18" t="s">
        <v>55</v>
      </c>
      <c r="B508" s="18" t="s">
        <v>36</v>
      </c>
      <c r="C508" s="22">
        <f>SUMIFS('Flow2 '!$C:$C,'Flow2 '!$D:$D,Flow3!A508,'Flow2 '!E:E,Flow3!B508)</f>
        <v>155757</v>
      </c>
      <c r="D508" s="19">
        <f t="shared" si="7"/>
        <v>6230.28</v>
      </c>
    </row>
    <row r="509" spans="1:4" x14ac:dyDescent="0.25">
      <c r="A509" s="18" t="s">
        <v>55</v>
      </c>
      <c r="B509" s="18" t="s">
        <v>37</v>
      </c>
      <c r="C509" s="22">
        <f>SUMIFS('Flow2 '!$C:$C,'Flow2 '!$D:$D,Flow3!A509,'Flow2 '!E:E,Flow3!B509)</f>
        <v>161098</v>
      </c>
      <c r="D509" s="19">
        <f t="shared" si="7"/>
        <v>6443.92</v>
      </c>
    </row>
    <row r="510" spans="1:4" x14ac:dyDescent="0.25">
      <c r="A510" s="18" t="s">
        <v>55</v>
      </c>
      <c r="B510" s="18" t="s">
        <v>38</v>
      </c>
      <c r="C510" s="22">
        <f>SUMIFS('Flow2 '!$C:$C,'Flow2 '!$D:$D,Flow3!A510,'Flow2 '!E:E,Flow3!B510)</f>
        <v>27689</v>
      </c>
      <c r="D510" s="19">
        <f t="shared" si="7"/>
        <v>1107.56</v>
      </c>
    </row>
    <row r="511" spans="1:4" x14ac:dyDescent="0.25">
      <c r="A511" s="18" t="s">
        <v>55</v>
      </c>
      <c r="B511" s="18" t="s">
        <v>39</v>
      </c>
      <c r="C511" s="22">
        <f>SUMIFS('Flow2 '!$C:$C,'Flow2 '!$D:$D,Flow3!A511,'Flow2 '!E:E,Flow3!B511)</f>
        <v>237144</v>
      </c>
      <c r="D511" s="19">
        <f t="shared" si="7"/>
        <v>9485.76</v>
      </c>
    </row>
    <row r="512" spans="1:4" x14ac:dyDescent="0.25">
      <c r="A512" s="18" t="s">
        <v>55</v>
      </c>
      <c r="B512" s="18" t="s">
        <v>40</v>
      </c>
      <c r="C512" s="22">
        <f>SUMIFS('Flow2 '!$C:$C,'Flow2 '!$D:$D,Flow3!A512,'Flow2 '!E:E,Flow3!B512)</f>
        <v>261251</v>
      </c>
      <c r="D512" s="19">
        <f t="shared" si="7"/>
        <v>10450.040000000001</v>
      </c>
    </row>
    <row r="513" spans="1:4" x14ac:dyDescent="0.25">
      <c r="A513" s="18" t="s">
        <v>55</v>
      </c>
      <c r="B513" s="18" t="s">
        <v>41</v>
      </c>
      <c r="C513" s="22">
        <f>SUMIFS('Flow2 '!$C:$C,'Flow2 '!$D:$D,Flow3!A513,'Flow2 '!E:E,Flow3!B513)</f>
        <v>311683</v>
      </c>
      <c r="D513" s="19">
        <f t="shared" si="7"/>
        <v>12467.32</v>
      </c>
    </row>
    <row r="514" spans="1:4" x14ac:dyDescent="0.25">
      <c r="A514" s="18" t="s">
        <v>55</v>
      </c>
      <c r="B514" s="18" t="s">
        <v>42</v>
      </c>
      <c r="C514" s="22">
        <f>SUMIFS('Flow2 '!$C:$C,'Flow2 '!$D:$D,Flow3!A514,'Flow2 '!E:E,Flow3!B514)</f>
        <v>68649.485716710333</v>
      </c>
      <c r="D514" s="19">
        <f t="shared" si="7"/>
        <v>2745.9794286684132</v>
      </c>
    </row>
    <row r="515" spans="1:4" x14ac:dyDescent="0.25">
      <c r="A515" s="18" t="s">
        <v>55</v>
      </c>
      <c r="B515" s="18" t="s">
        <v>43</v>
      </c>
      <c r="C515" s="22">
        <f>SUMIFS('Flow2 '!$C:$C,'Flow2 '!$D:$D,Flow3!A515,'Flow2 '!E:E,Flow3!B515)</f>
        <v>182975</v>
      </c>
      <c r="D515" s="19">
        <f t="shared" ref="D515:D577" si="8">C515/25</f>
        <v>7319</v>
      </c>
    </row>
    <row r="516" spans="1:4" x14ac:dyDescent="0.25">
      <c r="A516" s="18" t="s">
        <v>55</v>
      </c>
      <c r="B516" s="18" t="s">
        <v>44</v>
      </c>
      <c r="C516" s="22">
        <f>SUMIFS('Flow2 '!$C:$C,'Flow2 '!$D:$D,Flow3!A516,'Flow2 '!E:E,Flow3!B516)</f>
        <v>171701</v>
      </c>
      <c r="D516" s="19">
        <f t="shared" si="8"/>
        <v>6868.04</v>
      </c>
    </row>
    <row r="517" spans="1:4" x14ac:dyDescent="0.25">
      <c r="A517" s="18" t="s">
        <v>55</v>
      </c>
      <c r="B517" s="18" t="s">
        <v>45</v>
      </c>
      <c r="C517" s="22">
        <f>SUMIFS('Flow2 '!$C:$C,'Flow2 '!$D:$D,Flow3!A517,'Flow2 '!E:E,Flow3!B517)</f>
        <v>717590</v>
      </c>
      <c r="D517" s="19">
        <f t="shared" si="8"/>
        <v>28703.599999999999</v>
      </c>
    </row>
    <row r="518" spans="1:4" x14ac:dyDescent="0.25">
      <c r="A518" s="18" t="s">
        <v>55</v>
      </c>
      <c r="B518" s="18" t="s">
        <v>46</v>
      </c>
      <c r="C518" s="22">
        <f>SUMIFS('Flow2 '!$C:$C,'Flow2 '!$D:$D,Flow3!A518,'Flow2 '!E:E,Flow3!B518)</f>
        <v>825438</v>
      </c>
      <c r="D518" s="19">
        <f t="shared" si="8"/>
        <v>33017.519999999997</v>
      </c>
    </row>
    <row r="519" spans="1:4" x14ac:dyDescent="0.25">
      <c r="A519" s="18" t="s">
        <v>55</v>
      </c>
      <c r="B519" s="18" t="s">
        <v>47</v>
      </c>
      <c r="C519" s="22">
        <f>SUMIFS('Flow2 '!$C:$C,'Flow2 '!$D:$D,Flow3!A519,'Flow2 '!E:E,Flow3!B519)</f>
        <v>80472</v>
      </c>
      <c r="D519" s="19">
        <f t="shared" si="8"/>
        <v>3218.88</v>
      </c>
    </row>
    <row r="520" spans="1:4" x14ac:dyDescent="0.25">
      <c r="A520" s="18" t="s">
        <v>55</v>
      </c>
      <c r="B520" s="18" t="s">
        <v>48</v>
      </c>
      <c r="C520" s="22">
        <f>SUMIFS('Flow2 '!$C:$C,'Flow2 '!$D:$D,Flow3!A520,'Flow2 '!E:E,Flow3!B520)</f>
        <v>1016932</v>
      </c>
      <c r="D520" s="19">
        <f t="shared" si="8"/>
        <v>40677.279999999999</v>
      </c>
    </row>
    <row r="521" spans="1:4" x14ac:dyDescent="0.25">
      <c r="A521" s="18" t="s">
        <v>55</v>
      </c>
      <c r="B521" s="18" t="s">
        <v>49</v>
      </c>
      <c r="C521" s="22">
        <f>SUMIFS('Flow2 '!$C:$C,'Flow2 '!$D:$D,Flow3!A521,'Flow2 '!E:E,Flow3!B521)</f>
        <v>152848</v>
      </c>
      <c r="D521" s="19">
        <f t="shared" si="8"/>
        <v>6113.92</v>
      </c>
    </row>
    <row r="522" spans="1:4" x14ac:dyDescent="0.25">
      <c r="A522" s="18" t="s">
        <v>55</v>
      </c>
      <c r="B522" s="18" t="s">
        <v>50</v>
      </c>
      <c r="C522" s="22">
        <f>SUMIFS('Flow2 '!$C:$C,'Flow2 '!$D:$D,Flow3!A522,'Flow2 '!E:E,Flow3!B522)</f>
        <v>512040</v>
      </c>
      <c r="D522" s="19">
        <f t="shared" si="8"/>
        <v>20481.599999999999</v>
      </c>
    </row>
    <row r="523" spans="1:4" x14ac:dyDescent="0.25">
      <c r="A523" s="18" t="s">
        <v>55</v>
      </c>
      <c r="B523" s="18" t="s">
        <v>51</v>
      </c>
      <c r="C523" s="22">
        <f>SUMIFS('Flow2 '!$C:$C,'Flow2 '!$D:$D,Flow3!A523,'Flow2 '!E:E,Flow3!B523)</f>
        <v>31053</v>
      </c>
      <c r="D523" s="19">
        <f t="shared" si="8"/>
        <v>1242.1199999999999</v>
      </c>
    </row>
    <row r="524" spans="1:4" x14ac:dyDescent="0.25">
      <c r="A524" s="18" t="s">
        <v>55</v>
      </c>
      <c r="B524" s="18" t="s">
        <v>52</v>
      </c>
      <c r="C524" s="22">
        <f>SUMIFS('Flow2 '!$C:$C,'Flow2 '!$D:$D,Flow3!A524,'Flow2 '!E:E,Flow3!B524)</f>
        <v>99415</v>
      </c>
      <c r="D524" s="19">
        <f t="shared" si="8"/>
        <v>3976.6</v>
      </c>
    </row>
    <row r="525" spans="1:4" x14ac:dyDescent="0.25">
      <c r="A525" s="18" t="s">
        <v>55</v>
      </c>
      <c r="B525" s="18" t="s">
        <v>53</v>
      </c>
      <c r="C525" s="22">
        <f>SUMIFS('Flow2 '!$C:$C,'Flow2 '!$D:$D,Flow3!A525,'Flow2 '!E:E,Flow3!B525)</f>
        <v>182331</v>
      </c>
      <c r="D525" s="19">
        <f t="shared" si="8"/>
        <v>7293.24</v>
      </c>
    </row>
    <row r="526" spans="1:4" x14ac:dyDescent="0.25">
      <c r="A526" s="18" t="s">
        <v>55</v>
      </c>
      <c r="B526" s="18" t="s">
        <v>54</v>
      </c>
      <c r="C526" s="22">
        <f>SUMIFS('Flow2 '!$C:$C,'Flow2 '!$D:$D,Flow3!A526,'Flow2 '!E:E,Flow3!B526)</f>
        <v>97607</v>
      </c>
      <c r="D526" s="19">
        <f t="shared" si="8"/>
        <v>3904.28</v>
      </c>
    </row>
    <row r="527" spans="1:4" x14ac:dyDescent="0.25">
      <c r="A527" s="18" t="s">
        <v>55</v>
      </c>
      <c r="B527" s="18" t="s">
        <v>55</v>
      </c>
      <c r="C527" s="22">
        <f>SUMIFS('Flow2 '!$C:$C,'Flow2 '!$D:$D,Flow3!A527,'Flow2 '!E:E,Flow3!B527)</f>
        <v>2257563</v>
      </c>
      <c r="D527" s="19">
        <f t="shared" si="8"/>
        <v>90302.52</v>
      </c>
    </row>
    <row r="528" spans="1:4" x14ac:dyDescent="0.25">
      <c r="A528" s="18" t="s">
        <v>55</v>
      </c>
      <c r="B528" s="18" t="s">
        <v>56</v>
      </c>
      <c r="C528" s="22">
        <f>SUMIFS('Flow2 '!$C:$C,'Flow2 '!$D:$D,Flow3!A528,'Flow2 '!E:E,Flow3!B528)</f>
        <v>10247</v>
      </c>
      <c r="D528" s="19">
        <f t="shared" si="8"/>
        <v>409.88</v>
      </c>
    </row>
    <row r="529" spans="1:4" x14ac:dyDescent="0.25">
      <c r="A529" s="18" t="s">
        <v>55</v>
      </c>
      <c r="B529" s="18" t="s">
        <v>57</v>
      </c>
      <c r="C529" s="22">
        <f>SUMIFS('Flow2 '!$C:$C,'Flow2 '!$D:$D,Flow3!A529,'Flow2 '!E:E,Flow3!B529)</f>
        <v>83926</v>
      </c>
      <c r="D529" s="19">
        <f t="shared" si="8"/>
        <v>3357.04</v>
      </c>
    </row>
    <row r="530" spans="1:4" x14ac:dyDescent="0.25">
      <c r="A530" s="12" t="s">
        <v>56</v>
      </c>
      <c r="B530" s="12" t="s">
        <v>34</v>
      </c>
      <c r="C530" s="22">
        <f>SUMIFS('Flow2 '!$C:$C,'Flow2 '!$D:$D,Flow3!A530,'Flow2 '!E:E,Flow3!B530)</f>
        <v>13872</v>
      </c>
      <c r="D530" s="19">
        <f t="shared" si="8"/>
        <v>554.88</v>
      </c>
    </row>
    <row r="531" spans="1:4" x14ac:dyDescent="0.25">
      <c r="A531" s="12" t="s">
        <v>56</v>
      </c>
      <c r="B531" s="12" t="s">
        <v>35</v>
      </c>
      <c r="C531" s="22">
        <f>SUMIFS('Flow2 '!$C:$C,'Flow2 '!$D:$D,Flow3!A531,'Flow2 '!E:E,Flow3!B531)</f>
        <v>16563.065605151769</v>
      </c>
      <c r="D531" s="19">
        <f t="shared" si="8"/>
        <v>662.52262420607076</v>
      </c>
    </row>
    <row r="532" spans="1:4" x14ac:dyDescent="0.25">
      <c r="A532" s="12" t="s">
        <v>56</v>
      </c>
      <c r="B532" s="12" t="s">
        <v>36</v>
      </c>
      <c r="C532" s="22">
        <f>SUMIFS('Flow2 '!$C:$C,'Flow2 '!$D:$D,Flow3!A532,'Flow2 '!E:E,Flow3!B532)</f>
        <v>15598</v>
      </c>
      <c r="D532" s="19">
        <f t="shared" si="8"/>
        <v>623.91999999999996</v>
      </c>
    </row>
    <row r="533" spans="1:4" x14ac:dyDescent="0.25">
      <c r="A533" s="12" t="s">
        <v>56</v>
      </c>
      <c r="B533" s="12" t="s">
        <v>37</v>
      </c>
      <c r="C533" s="22">
        <f>SUMIFS('Flow2 '!$C:$C,'Flow2 '!$D:$D,Flow3!A533,'Flow2 '!E:E,Flow3!B533)</f>
        <v>26122</v>
      </c>
      <c r="D533" s="19">
        <f t="shared" si="8"/>
        <v>1044.8800000000001</v>
      </c>
    </row>
    <row r="534" spans="1:4" x14ac:dyDescent="0.25">
      <c r="A534" s="12" t="s">
        <v>56</v>
      </c>
      <c r="B534" s="12" t="s">
        <v>38</v>
      </c>
      <c r="C534" s="22">
        <f>SUMIFS('Flow2 '!$C:$C,'Flow2 '!$D:$D,Flow3!A534,'Flow2 '!E:E,Flow3!B534)</f>
        <v>5376</v>
      </c>
      <c r="D534" s="19">
        <f t="shared" si="8"/>
        <v>215.04</v>
      </c>
    </row>
    <row r="535" spans="1:4" x14ac:dyDescent="0.25">
      <c r="A535" s="12" t="s">
        <v>56</v>
      </c>
      <c r="B535" s="12" t="s">
        <v>39</v>
      </c>
      <c r="C535" s="22">
        <f>SUMIFS('Flow2 '!$C:$C,'Flow2 '!$D:$D,Flow3!A535,'Flow2 '!E:E,Flow3!B535)</f>
        <v>41223</v>
      </c>
      <c r="D535" s="19">
        <f t="shared" si="8"/>
        <v>1648.92</v>
      </c>
    </row>
    <row r="536" spans="1:4" x14ac:dyDescent="0.25">
      <c r="A536" s="12" t="s">
        <v>56</v>
      </c>
      <c r="B536" s="12" t="s">
        <v>40</v>
      </c>
      <c r="C536" s="22">
        <f>SUMIFS('Flow2 '!$C:$C,'Flow2 '!$D:$D,Flow3!A536,'Flow2 '!E:E,Flow3!B536)</f>
        <v>19088</v>
      </c>
      <c r="D536" s="19">
        <f t="shared" si="8"/>
        <v>763.52</v>
      </c>
    </row>
    <row r="537" spans="1:4" x14ac:dyDescent="0.25">
      <c r="A537" s="12" t="s">
        <v>56</v>
      </c>
      <c r="B537" s="12" t="s">
        <v>41</v>
      </c>
      <c r="C537" s="22">
        <f>SUMIFS('Flow2 '!$C:$C,'Flow2 '!$D:$D,Flow3!A537,'Flow2 '!E:E,Flow3!B537)</f>
        <v>62750</v>
      </c>
      <c r="D537" s="19">
        <f t="shared" si="8"/>
        <v>2510</v>
      </c>
    </row>
    <row r="538" spans="1:4" x14ac:dyDescent="0.25">
      <c r="A538" s="12" t="s">
        <v>56</v>
      </c>
      <c r="B538" s="12" t="s">
        <v>42</v>
      </c>
      <c r="C538" s="22">
        <f>SUMIFS('Flow2 '!$C:$C,'Flow2 '!$D:$D,Flow3!A538,'Flow2 '!E:E,Flow3!B538)</f>
        <v>11402.934394848235</v>
      </c>
      <c r="D538" s="19">
        <f t="shared" si="8"/>
        <v>456.1173757939294</v>
      </c>
    </row>
    <row r="539" spans="1:4" x14ac:dyDescent="0.25">
      <c r="A539" s="12" t="s">
        <v>56</v>
      </c>
      <c r="B539" s="12" t="s">
        <v>43</v>
      </c>
      <c r="C539" s="22">
        <f>SUMIFS('Flow2 '!$C:$C,'Flow2 '!$D:$D,Flow3!A539,'Flow2 '!E:E,Flow3!B539)</f>
        <v>43363</v>
      </c>
      <c r="D539" s="19">
        <f t="shared" si="8"/>
        <v>1734.52</v>
      </c>
    </row>
    <row r="540" spans="1:4" x14ac:dyDescent="0.25">
      <c r="A540" s="12" t="s">
        <v>56</v>
      </c>
      <c r="B540" s="12" t="s">
        <v>44</v>
      </c>
      <c r="C540" s="22">
        <f>SUMIFS('Flow2 '!$C:$C,'Flow2 '!$D:$D,Flow3!A540,'Flow2 '!E:E,Flow3!B540)</f>
        <v>30375</v>
      </c>
      <c r="D540" s="19">
        <f t="shared" si="8"/>
        <v>1215</v>
      </c>
    </row>
    <row r="541" spans="1:4" x14ac:dyDescent="0.25">
      <c r="A541" s="12" t="s">
        <v>56</v>
      </c>
      <c r="B541" s="12" t="s">
        <v>45</v>
      </c>
      <c r="C541" s="22">
        <f>SUMIFS('Flow2 '!$C:$C,'Flow2 '!$D:$D,Flow3!A541,'Flow2 '!E:E,Flow3!B541)</f>
        <v>115546</v>
      </c>
      <c r="D541" s="19">
        <f t="shared" si="8"/>
        <v>4621.84</v>
      </c>
    </row>
    <row r="542" spans="1:4" x14ac:dyDescent="0.25">
      <c r="A542" s="12" t="s">
        <v>56</v>
      </c>
      <c r="B542" s="12" t="s">
        <v>46</v>
      </c>
      <c r="C542" s="22">
        <f>SUMIFS('Flow2 '!$C:$C,'Flow2 '!$D:$D,Flow3!A542,'Flow2 '!E:E,Flow3!B542)</f>
        <v>143354</v>
      </c>
      <c r="D542" s="19">
        <f t="shared" si="8"/>
        <v>5734.16</v>
      </c>
    </row>
    <row r="543" spans="1:4" x14ac:dyDescent="0.25">
      <c r="A543" s="12" t="s">
        <v>56</v>
      </c>
      <c r="B543" s="12" t="s">
        <v>47</v>
      </c>
      <c r="C543" s="22">
        <f>SUMIFS('Flow2 '!$C:$C,'Flow2 '!$D:$D,Flow3!A543,'Flow2 '!E:E,Flow3!B543)</f>
        <v>12247</v>
      </c>
      <c r="D543" s="19">
        <f t="shared" si="8"/>
        <v>489.88</v>
      </c>
    </row>
    <row r="544" spans="1:4" x14ac:dyDescent="0.25">
      <c r="A544" s="12" t="s">
        <v>56</v>
      </c>
      <c r="B544" s="12" t="s">
        <v>48</v>
      </c>
      <c r="C544" s="22">
        <f>SUMIFS('Flow2 '!$C:$C,'Flow2 '!$D:$D,Flow3!A544,'Flow2 '!E:E,Flow3!B544)</f>
        <v>140672</v>
      </c>
      <c r="D544" s="19">
        <f t="shared" si="8"/>
        <v>5626.88</v>
      </c>
    </row>
    <row r="545" spans="1:4" x14ac:dyDescent="0.25">
      <c r="A545" s="12" t="s">
        <v>56</v>
      </c>
      <c r="B545" s="12" t="s">
        <v>49</v>
      </c>
      <c r="C545" s="22">
        <f>SUMIFS('Flow2 '!$C:$C,'Flow2 '!$D:$D,Flow3!A545,'Flow2 '!E:E,Flow3!B545)</f>
        <v>13561</v>
      </c>
      <c r="D545" s="19">
        <f t="shared" si="8"/>
        <v>542.44000000000005</v>
      </c>
    </row>
    <row r="546" spans="1:4" x14ac:dyDescent="0.25">
      <c r="A546" s="12" t="s">
        <v>56</v>
      </c>
      <c r="B546" s="12" t="s">
        <v>50</v>
      </c>
      <c r="C546" s="22">
        <f>SUMIFS('Flow2 '!$C:$C,'Flow2 '!$D:$D,Flow3!A546,'Flow2 '!E:E,Flow3!B546)</f>
        <v>72036</v>
      </c>
      <c r="D546" s="19">
        <f t="shared" si="8"/>
        <v>2881.44</v>
      </c>
    </row>
    <row r="547" spans="1:4" x14ac:dyDescent="0.25">
      <c r="A547" s="12" t="s">
        <v>56</v>
      </c>
      <c r="B547" s="12" t="s">
        <v>51</v>
      </c>
      <c r="C547" s="22">
        <f>SUMIFS('Flow2 '!$C:$C,'Flow2 '!$D:$D,Flow3!A547,'Flow2 '!E:E,Flow3!B547)</f>
        <v>7664</v>
      </c>
      <c r="D547" s="19">
        <f t="shared" si="8"/>
        <v>306.56</v>
      </c>
    </row>
    <row r="548" spans="1:4" x14ac:dyDescent="0.25">
      <c r="A548" s="12" t="s">
        <v>56</v>
      </c>
      <c r="B548" s="12" t="s">
        <v>52</v>
      </c>
      <c r="C548" s="22">
        <f>SUMIFS('Flow2 '!$C:$C,'Flow2 '!$D:$D,Flow3!A548,'Flow2 '!E:E,Flow3!B548)</f>
        <v>19506</v>
      </c>
      <c r="D548" s="19">
        <f t="shared" si="8"/>
        <v>780.24</v>
      </c>
    </row>
    <row r="549" spans="1:4" x14ac:dyDescent="0.25">
      <c r="A549" s="12" t="s">
        <v>56</v>
      </c>
      <c r="B549" s="12" t="s">
        <v>53</v>
      </c>
      <c r="C549" s="22">
        <f>SUMIFS('Flow2 '!$C:$C,'Flow2 '!$D:$D,Flow3!A549,'Flow2 '!E:E,Flow3!B549)</f>
        <v>48512</v>
      </c>
      <c r="D549" s="19">
        <f t="shared" si="8"/>
        <v>1940.48</v>
      </c>
    </row>
    <row r="550" spans="1:4" x14ac:dyDescent="0.25">
      <c r="A550" s="12" t="s">
        <v>56</v>
      </c>
      <c r="B550" s="12" t="s">
        <v>54</v>
      </c>
      <c r="C550" s="22">
        <f>SUMIFS('Flow2 '!$C:$C,'Flow2 '!$D:$D,Flow3!A550,'Flow2 '!E:E,Flow3!B550)</f>
        <v>33167</v>
      </c>
      <c r="D550" s="19">
        <f t="shared" si="8"/>
        <v>1326.68</v>
      </c>
    </row>
    <row r="551" spans="1:4" x14ac:dyDescent="0.25">
      <c r="A551" s="12" t="s">
        <v>56</v>
      </c>
      <c r="B551" s="12" t="s">
        <v>55</v>
      </c>
      <c r="C551" s="22">
        <f>SUMIFS('Flow2 '!$C:$C,'Flow2 '!$D:$D,Flow3!A551,'Flow2 '!E:E,Flow3!B551)</f>
        <v>20764</v>
      </c>
      <c r="D551" s="19">
        <f t="shared" si="8"/>
        <v>830.56</v>
      </c>
    </row>
    <row r="552" spans="1:4" x14ac:dyDescent="0.25">
      <c r="A552" s="12" t="s">
        <v>56</v>
      </c>
      <c r="B552" s="12" t="s">
        <v>56</v>
      </c>
      <c r="C552" s="22">
        <f>SUMIFS('Flow2 '!$C:$C,'Flow2 '!$D:$D,Flow3!A552,'Flow2 '!E:E,Flow3!B552)</f>
        <v>23311</v>
      </c>
      <c r="D552" s="19">
        <f t="shared" si="8"/>
        <v>932.44</v>
      </c>
    </row>
    <row r="553" spans="1:4" x14ac:dyDescent="0.25">
      <c r="A553" s="12" t="s">
        <v>56</v>
      </c>
      <c r="B553" s="12" t="s">
        <v>57</v>
      </c>
      <c r="C553" s="22">
        <f>SUMIFS('Flow2 '!$C:$C,'Flow2 '!$D:$D,Flow3!A553,'Flow2 '!E:E,Flow3!B553)</f>
        <v>48784</v>
      </c>
      <c r="D553" s="19">
        <f t="shared" si="8"/>
        <v>1951.36</v>
      </c>
    </row>
    <row r="554" spans="1:4" x14ac:dyDescent="0.25">
      <c r="A554" s="12" t="s">
        <v>57</v>
      </c>
      <c r="B554" s="12" t="s">
        <v>34</v>
      </c>
      <c r="C554" s="22">
        <f>SUMIFS('Flow2 '!$C:$C,'Flow2 '!$D:$D,Flow3!A554,'Flow2 '!E:E,Flow3!B554)</f>
        <v>56342</v>
      </c>
      <c r="D554" s="19">
        <f t="shared" si="8"/>
        <v>2253.6799999999998</v>
      </c>
    </row>
    <row r="555" spans="1:4" x14ac:dyDescent="0.25">
      <c r="A555" s="12" t="s">
        <v>57</v>
      </c>
      <c r="B555" s="12" t="s">
        <v>35</v>
      </c>
      <c r="C555" s="22">
        <f>SUMIFS('Flow2 '!$C:$C,'Flow2 '!$D:$D,Flow3!A555,'Flow2 '!E:E,Flow3!B555)</f>
        <v>59964.0534977758</v>
      </c>
      <c r="D555" s="19">
        <f t="shared" si="8"/>
        <v>2398.5621399110319</v>
      </c>
    </row>
    <row r="556" spans="1:4" x14ac:dyDescent="0.25">
      <c r="A556" s="12" t="s">
        <v>57</v>
      </c>
      <c r="B556" s="12" t="s">
        <v>36</v>
      </c>
      <c r="C556" s="22">
        <f>SUMIFS('Flow2 '!$C:$C,'Flow2 '!$D:$D,Flow3!A556,'Flow2 '!E:E,Flow3!B556)</f>
        <v>48324</v>
      </c>
      <c r="D556" s="19">
        <f t="shared" si="8"/>
        <v>1932.96</v>
      </c>
    </row>
    <row r="557" spans="1:4" x14ac:dyDescent="0.25">
      <c r="A557" s="12" t="s">
        <v>57</v>
      </c>
      <c r="B557" s="12" t="s">
        <v>37</v>
      </c>
      <c r="C557" s="22">
        <f>SUMIFS('Flow2 '!$C:$C,'Flow2 '!$D:$D,Flow3!A557,'Flow2 '!E:E,Flow3!B557)</f>
        <v>120884</v>
      </c>
      <c r="D557" s="19">
        <f t="shared" si="8"/>
        <v>4835.3599999999997</v>
      </c>
    </row>
    <row r="558" spans="1:4" x14ac:dyDescent="0.25">
      <c r="A558" s="12" t="s">
        <v>57</v>
      </c>
      <c r="B558" s="12" t="s">
        <v>38</v>
      </c>
      <c r="C558" s="22">
        <f>SUMIFS('Flow2 '!$C:$C,'Flow2 '!$D:$D,Flow3!A558,'Flow2 '!E:E,Flow3!B558)</f>
        <v>22673</v>
      </c>
      <c r="D558" s="19">
        <f t="shared" si="8"/>
        <v>906.92</v>
      </c>
    </row>
    <row r="559" spans="1:4" x14ac:dyDescent="0.25">
      <c r="A559" s="12" t="s">
        <v>57</v>
      </c>
      <c r="B559" s="12" t="s">
        <v>39</v>
      </c>
      <c r="C559" s="22">
        <f>SUMIFS('Flow2 '!$C:$C,'Flow2 '!$D:$D,Flow3!A559,'Flow2 '!E:E,Flow3!B559)</f>
        <v>111820</v>
      </c>
      <c r="D559" s="19">
        <f t="shared" si="8"/>
        <v>4472.8</v>
      </c>
    </row>
    <row r="560" spans="1:4" x14ac:dyDescent="0.25">
      <c r="A560" s="12" t="s">
        <v>57</v>
      </c>
      <c r="B560" s="12" t="s">
        <v>40</v>
      </c>
      <c r="C560" s="22">
        <f>SUMIFS('Flow2 '!$C:$C,'Flow2 '!$D:$D,Flow3!A560,'Flow2 '!E:E,Flow3!B560)</f>
        <v>100252</v>
      </c>
      <c r="D560" s="19">
        <f t="shared" si="8"/>
        <v>4010.08</v>
      </c>
    </row>
    <row r="561" spans="1:4" x14ac:dyDescent="0.25">
      <c r="A561" s="12" t="s">
        <v>57</v>
      </c>
      <c r="B561" s="12" t="s">
        <v>41</v>
      </c>
      <c r="C561" s="22">
        <f>SUMIFS('Flow2 '!$C:$C,'Flow2 '!$D:$D,Flow3!A561,'Flow2 '!E:E,Flow3!B561)</f>
        <v>309060</v>
      </c>
      <c r="D561" s="19">
        <f t="shared" si="8"/>
        <v>12362.4</v>
      </c>
    </row>
    <row r="562" spans="1:4" x14ac:dyDescent="0.25">
      <c r="A562" s="12" t="s">
        <v>57</v>
      </c>
      <c r="B562" s="12" t="s">
        <v>42</v>
      </c>
      <c r="C562" s="22">
        <f>SUMIFS('Flow2 '!$C:$C,'Flow2 '!$D:$D,Flow3!A562,'Flow2 '!E:E,Flow3!B562)</f>
        <v>26709.9465022242</v>
      </c>
      <c r="D562" s="19">
        <f t="shared" si="8"/>
        <v>1068.3978600889679</v>
      </c>
    </row>
    <row r="563" spans="1:4" x14ac:dyDescent="0.25">
      <c r="A563" s="12" t="s">
        <v>57</v>
      </c>
      <c r="B563" s="12" t="s">
        <v>43</v>
      </c>
      <c r="C563" s="22">
        <f>SUMIFS('Flow2 '!$C:$C,'Flow2 '!$D:$D,Flow3!A563,'Flow2 '!E:E,Flow3!B563)</f>
        <v>115492</v>
      </c>
      <c r="D563" s="19">
        <f t="shared" si="8"/>
        <v>4619.68</v>
      </c>
    </row>
    <row r="564" spans="1:4" x14ac:dyDescent="0.25">
      <c r="A564" s="12" t="s">
        <v>57</v>
      </c>
      <c r="B564" s="12" t="s">
        <v>44</v>
      </c>
      <c r="C564" s="22">
        <f>SUMIFS('Flow2 '!$C:$C,'Flow2 '!$D:$D,Flow3!A564,'Flow2 '!E:E,Flow3!B564)</f>
        <v>36506</v>
      </c>
      <c r="D564" s="19">
        <f t="shared" si="8"/>
        <v>1460.24</v>
      </c>
    </row>
    <row r="565" spans="1:4" x14ac:dyDescent="0.25">
      <c r="A565" s="12" t="s">
        <v>57</v>
      </c>
      <c r="B565" s="12" t="s">
        <v>45</v>
      </c>
      <c r="C565" s="22">
        <f>SUMIFS('Flow2 '!$C:$C,'Flow2 '!$D:$D,Flow3!A565,'Flow2 '!E:E,Flow3!B565)</f>
        <v>405597</v>
      </c>
      <c r="D565" s="19">
        <f t="shared" si="8"/>
        <v>16223.88</v>
      </c>
    </row>
    <row r="566" spans="1:4" x14ac:dyDescent="0.25">
      <c r="A566" s="12" t="s">
        <v>57</v>
      </c>
      <c r="B566" s="12" t="s">
        <v>46</v>
      </c>
      <c r="C566" s="22">
        <f>SUMIFS('Flow2 '!$C:$C,'Flow2 '!$D:$D,Flow3!A566,'Flow2 '!E:E,Flow3!B566)</f>
        <v>369296</v>
      </c>
      <c r="D566" s="19">
        <f t="shared" si="8"/>
        <v>14771.84</v>
      </c>
    </row>
    <row r="567" spans="1:4" x14ac:dyDescent="0.25">
      <c r="A567" s="12" t="s">
        <v>57</v>
      </c>
      <c r="B567" s="12" t="s">
        <v>47</v>
      </c>
      <c r="C567" s="22">
        <f>SUMIFS('Flow2 '!$C:$C,'Flow2 '!$D:$D,Flow3!A567,'Flow2 '!E:E,Flow3!B567)</f>
        <v>24987</v>
      </c>
      <c r="D567" s="19">
        <f t="shared" si="8"/>
        <v>999.48</v>
      </c>
    </row>
    <row r="568" spans="1:4" x14ac:dyDescent="0.25">
      <c r="A568" s="12" t="s">
        <v>57</v>
      </c>
      <c r="B568" s="12" t="s">
        <v>48</v>
      </c>
      <c r="C568" s="22">
        <f>SUMIFS('Flow2 '!$C:$C,'Flow2 '!$D:$D,Flow3!A568,'Flow2 '!E:E,Flow3!B568)</f>
        <v>548103</v>
      </c>
      <c r="D568" s="19">
        <f t="shared" si="8"/>
        <v>21924.12</v>
      </c>
    </row>
    <row r="569" spans="1:4" x14ac:dyDescent="0.25">
      <c r="A569" s="12" t="s">
        <v>57</v>
      </c>
      <c r="B569" s="12" t="s">
        <v>49</v>
      </c>
      <c r="C569" s="22">
        <f>SUMIFS('Flow2 '!$C:$C,'Flow2 '!$D:$D,Flow3!A569,'Flow2 '!E:E,Flow3!B569)</f>
        <v>68337</v>
      </c>
      <c r="D569" s="19">
        <f t="shared" si="8"/>
        <v>2733.48</v>
      </c>
    </row>
    <row r="570" spans="1:4" x14ac:dyDescent="0.25">
      <c r="A570" s="12" t="s">
        <v>57</v>
      </c>
      <c r="B570" s="12" t="s">
        <v>50</v>
      </c>
      <c r="C570" s="22">
        <f>SUMIFS('Flow2 '!$C:$C,'Flow2 '!$D:$D,Flow3!A570,'Flow2 '!E:E,Flow3!B570)</f>
        <v>564828</v>
      </c>
      <c r="D570" s="19">
        <f t="shared" si="8"/>
        <v>22593.119999999999</v>
      </c>
    </row>
    <row r="571" spans="1:4" x14ac:dyDescent="0.25">
      <c r="A571" s="12" t="s">
        <v>57</v>
      </c>
      <c r="B571" s="12" t="s">
        <v>51</v>
      </c>
      <c r="C571" s="22">
        <f>SUMIFS('Flow2 '!$C:$C,'Flow2 '!$D:$D,Flow3!A571,'Flow2 '!E:E,Flow3!B571)</f>
        <v>34249</v>
      </c>
      <c r="D571" s="19">
        <f t="shared" si="8"/>
        <v>1369.96</v>
      </c>
    </row>
    <row r="572" spans="1:4" x14ac:dyDescent="0.25">
      <c r="A572" s="12" t="s">
        <v>57</v>
      </c>
      <c r="B572" s="12" t="s">
        <v>52</v>
      </c>
      <c r="C572" s="22">
        <f>SUMIFS('Flow2 '!$C:$C,'Flow2 '!$D:$D,Flow3!A572,'Flow2 '!E:E,Flow3!B572)</f>
        <v>103144</v>
      </c>
      <c r="D572" s="19">
        <f t="shared" si="8"/>
        <v>4125.76</v>
      </c>
    </row>
    <row r="573" spans="1:4" x14ac:dyDescent="0.25">
      <c r="A573" s="12" t="s">
        <v>57</v>
      </c>
      <c r="B573" s="12" t="s">
        <v>53</v>
      </c>
      <c r="C573" s="22">
        <f>SUMIFS('Flow2 '!$C:$C,'Flow2 '!$D:$D,Flow3!A573,'Flow2 '!E:E,Flow3!B573)</f>
        <v>431852</v>
      </c>
      <c r="D573" s="19">
        <f t="shared" si="8"/>
        <v>17274.080000000002</v>
      </c>
    </row>
    <row r="574" spans="1:4" x14ac:dyDescent="0.25">
      <c r="A574" s="12" t="s">
        <v>57</v>
      </c>
      <c r="B574" s="12" t="s">
        <v>54</v>
      </c>
      <c r="C574" s="22">
        <f>SUMIFS('Flow2 '!$C:$C,'Flow2 '!$D:$D,Flow3!A574,'Flow2 '!E:E,Flow3!B574)</f>
        <v>128309</v>
      </c>
      <c r="D574" s="19">
        <f t="shared" si="8"/>
        <v>5132.3599999999997</v>
      </c>
    </row>
    <row r="575" spans="1:4" x14ac:dyDescent="0.25">
      <c r="A575" s="12" t="s">
        <v>57</v>
      </c>
      <c r="B575" s="12" t="s">
        <v>55</v>
      </c>
      <c r="C575" s="22">
        <f>SUMIFS('Flow2 '!$C:$C,'Flow2 '!$D:$D,Flow3!A575,'Flow2 '!E:E,Flow3!B575)</f>
        <v>81934</v>
      </c>
      <c r="D575" s="19">
        <f t="shared" si="8"/>
        <v>3277.36</v>
      </c>
    </row>
    <row r="576" spans="1:4" x14ac:dyDescent="0.25">
      <c r="A576" s="12" t="s">
        <v>57</v>
      </c>
      <c r="B576" s="12" t="s">
        <v>56</v>
      </c>
      <c r="C576" s="22">
        <f>SUMIFS('Flow2 '!$C:$C,'Flow2 '!$D:$D,Flow3!A576,'Flow2 '!E:E,Flow3!B576)</f>
        <v>17065</v>
      </c>
      <c r="D576" s="19">
        <f t="shared" si="8"/>
        <v>682.6</v>
      </c>
    </row>
    <row r="577" spans="1:4" x14ac:dyDescent="0.25">
      <c r="A577" s="12" t="s">
        <v>57</v>
      </c>
      <c r="B577" s="12" t="s">
        <v>57</v>
      </c>
      <c r="C577" s="22">
        <f>SUMIFS('Flow2 '!$C:$C,'Flow2 '!$D:$D,Flow3!A577,'Flow2 '!E:E,Flow3!B577)</f>
        <v>1041097</v>
      </c>
      <c r="D577" s="19">
        <f t="shared" si="8"/>
        <v>41643.879999999997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76BB-E617-4682-9F57-31637E3D7F1A}">
  <dimension ref="A1:Y25"/>
  <sheetViews>
    <sheetView workbookViewId="0">
      <selection activeCell="B2" sqref="B2"/>
    </sheetView>
  </sheetViews>
  <sheetFormatPr defaultRowHeight="15" x14ac:dyDescent="0.25"/>
  <cols>
    <col min="1" max="1" width="13.140625" customWidth="1"/>
    <col min="2" max="2" width="15.140625" style="21" customWidth="1"/>
    <col min="3" max="8" width="9.140625" style="21"/>
    <col min="9" max="9" width="12.140625" style="21" customWidth="1"/>
    <col min="10" max="16384" width="9.140625" style="21"/>
  </cols>
  <sheetData>
    <row r="1" spans="1:25" customFormat="1" ht="30.75" thickBot="1" x14ac:dyDescent="0.3">
      <c r="A1" s="6" t="s">
        <v>58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43</v>
      </c>
      <c r="L1" s="3" t="s">
        <v>44</v>
      </c>
      <c r="M1" s="3" t="s">
        <v>45</v>
      </c>
      <c r="N1" s="3" t="s">
        <v>46</v>
      </c>
      <c r="O1" s="3" t="s">
        <v>47</v>
      </c>
      <c r="P1" s="3" t="s">
        <v>48</v>
      </c>
      <c r="Q1" s="3" t="s">
        <v>49</v>
      </c>
      <c r="R1" s="3" t="s">
        <v>50</v>
      </c>
      <c r="S1" s="3" t="s">
        <v>51</v>
      </c>
      <c r="T1" s="3" t="s">
        <v>52</v>
      </c>
      <c r="U1" s="3" t="s">
        <v>53</v>
      </c>
      <c r="V1" s="3" t="s">
        <v>54</v>
      </c>
      <c r="W1" s="3" t="s">
        <v>55</v>
      </c>
      <c r="X1" s="3" t="s">
        <v>56</v>
      </c>
      <c r="Y1" s="3" t="s">
        <v>57</v>
      </c>
    </row>
    <row r="2" spans="1:25" ht="15.75" thickBot="1" x14ac:dyDescent="0.3">
      <c r="A2" s="3" t="s">
        <v>34</v>
      </c>
      <c r="B2" s="21" cm="1">
        <f t="array" ref="B2">IF($A2=B$1,0,_xlfn.XLOOKUP($A2&amp;B$1,Flow3!$A:$A&amp;Flow3!$B:$B,Flow3!$D:$D))</f>
        <v>0</v>
      </c>
      <c r="C2" s="21" cm="1">
        <f t="array" ref="C2">IF($A2=C$1,0,_xlfn.XLOOKUP($A2&amp;C$1,Flow3!$A:$A&amp;Flow3!$B:$B,Flow3!$D:$D))</f>
        <v>1460.7998769217563</v>
      </c>
      <c r="D2" s="21" cm="1">
        <f t="array" ref="D2">IF($A2=D$1,0,_xlfn.XLOOKUP($A2&amp;D$1,Flow3!$A:$A&amp;Flow3!$B:$B,Flow3!$D:$D))</f>
        <v>1864.4</v>
      </c>
      <c r="E2" s="21" cm="1">
        <f t="array" ref="E2">IF($A2=E$1,0,_xlfn.XLOOKUP($A2&amp;E$1,Flow3!$A:$A&amp;Flow3!$B:$B,Flow3!$D:$D))</f>
        <v>11535.68</v>
      </c>
      <c r="F2" s="21" cm="1">
        <f t="array" ref="F2">IF($A2=F$1,0,_xlfn.XLOOKUP($A2&amp;F$1,Flow3!$A:$A&amp;Flow3!$B:$B,Flow3!$D:$D))</f>
        <v>2464.44</v>
      </c>
      <c r="G2" s="21" cm="1">
        <f t="array" ref="G2">IF($A2=G$1,0,_xlfn.XLOOKUP($A2&amp;G$1,Flow3!$A:$A&amp;Flow3!$B:$B,Flow3!$D:$D))</f>
        <v>7952</v>
      </c>
      <c r="H2" s="21" cm="1">
        <f t="array" ref="H2">IF($A2=H$1,0,_xlfn.XLOOKUP($A2&amp;H$1,Flow3!$A:$A&amp;Flow3!$B:$B,Flow3!$D:$D))</f>
        <v>2382.6799999999998</v>
      </c>
      <c r="I2" s="21" cm="1">
        <f t="array" ref="I2">IF($A2=I$1,0,_xlfn.XLOOKUP($A2&amp;I$1,Flow3!$A:$A&amp;Flow3!$B:$B,Flow3!$D:$D))</f>
        <v>24726.240000000002</v>
      </c>
      <c r="J2" s="21" cm="1">
        <f t="array" ref="J2">IF($A2=J$1,0,_xlfn.XLOOKUP($A2&amp;J$1,Flow3!$A:$A&amp;Flow3!$B:$B,Flow3!$D:$D))</f>
        <v>2266.600123078244</v>
      </c>
      <c r="K2" s="21" cm="1">
        <f t="array" ref="K2">IF($A2=K$1,0,_xlfn.XLOOKUP($A2&amp;K$1,Flow3!$A:$A&amp;Flow3!$B:$B,Flow3!$D:$D))</f>
        <v>70439.320000000007</v>
      </c>
      <c r="L2" s="21" cm="1">
        <f t="array" ref="L2">IF($A2=L$1,0,_xlfn.XLOOKUP($A2&amp;L$1,Flow3!$A:$A&amp;Flow3!$B:$B,Flow3!$D:$D))</f>
        <v>5062.28</v>
      </c>
      <c r="M2" s="21" cm="1">
        <f t="array" ref="M2">IF($A2=M$1,0,_xlfn.XLOOKUP($A2&amp;M$1,Flow3!$A:$A&amp;Flow3!$B:$B,Flow3!$D:$D))</f>
        <v>17666.919999999998</v>
      </c>
      <c r="N2" s="21" cm="1">
        <f t="array" ref="N2">IF($A2=N$1,0,_xlfn.XLOOKUP($A2&amp;N$1,Flow3!$A:$A&amp;Flow3!$B:$B,Flow3!$D:$D))</f>
        <v>26383</v>
      </c>
      <c r="O2" s="21" cm="1">
        <f t="array" ref="O2">IF($A2=O$1,0,_xlfn.XLOOKUP($A2&amp;O$1,Flow3!$A:$A&amp;Flow3!$B:$B,Flow3!$D:$D))</f>
        <v>1764.88</v>
      </c>
      <c r="P2" s="21" cm="1">
        <f t="array" ref="P2">IF($A2=P$1,0,_xlfn.XLOOKUP($A2&amp;P$1,Flow3!$A:$A&amp;Flow3!$B:$B,Flow3!$D:$D))</f>
        <v>17456.68</v>
      </c>
      <c r="Q2" s="21" cm="1">
        <f t="array" ref="Q2">IF($A2=Q$1,0,_xlfn.XLOOKUP($A2&amp;Q$1,Flow3!$A:$A&amp;Flow3!$B:$B,Flow3!$D:$D))</f>
        <v>1290.08</v>
      </c>
      <c r="R2" s="21" cm="1">
        <f t="array" ref="R2">IF($A2=R$1,0,_xlfn.XLOOKUP($A2&amp;R$1,Flow3!$A:$A&amp;Flow3!$B:$B,Flow3!$D:$D))</f>
        <v>5868.64</v>
      </c>
      <c r="S2" s="21" cm="1">
        <f t="array" ref="S2">IF($A2=S$1,0,_xlfn.XLOOKUP($A2&amp;S$1,Flow3!$A:$A&amp;Flow3!$B:$B,Flow3!$D:$D))</f>
        <v>510.68</v>
      </c>
      <c r="T2" s="21" cm="1">
        <f t="array" ref="T2">IF($A2=T$1,0,_xlfn.XLOOKUP($A2&amp;T$1,Flow3!$A:$A&amp;Flow3!$B:$B,Flow3!$D:$D))</f>
        <v>5034.04</v>
      </c>
      <c r="U2" s="21" cm="1">
        <f t="array" ref="U2">IF($A2=U$1,0,_xlfn.XLOOKUP($A2&amp;U$1,Flow3!$A:$A&amp;Flow3!$B:$B,Flow3!$D:$D))</f>
        <v>4459.28</v>
      </c>
      <c r="V2" s="21" cm="1">
        <f t="array" ref="V2">IF($A2=V$1,0,_xlfn.XLOOKUP($A2&amp;V$1,Flow3!$A:$A&amp;Flow3!$B:$B,Flow3!$D:$D))</f>
        <v>4310.68</v>
      </c>
      <c r="W2" s="21" cm="1">
        <f t="array" ref="W2">IF($A2=W$1,0,_xlfn.XLOOKUP($A2&amp;W$1,Flow3!$A:$A&amp;Flow3!$B:$B,Flow3!$D:$D))</f>
        <v>2744.08</v>
      </c>
      <c r="X2" s="21" cm="1">
        <f t="array" ref="X2">IF($A2=X$1,0,_xlfn.XLOOKUP($A2&amp;X$1,Flow3!$A:$A&amp;Flow3!$B:$B,Flow3!$D:$D))</f>
        <v>320.8</v>
      </c>
      <c r="Y2" s="21" cm="1">
        <f t="array" ref="Y2">IF($A2=Y$1,0,_xlfn.XLOOKUP($A2&amp;Y$1,Flow3!$A:$A&amp;Flow3!$B:$B,Flow3!$D:$D))</f>
        <v>1858.96</v>
      </c>
    </row>
    <row r="3" spans="1:25" ht="15.75" thickBot="1" x14ac:dyDescent="0.3">
      <c r="A3" s="3" t="s">
        <v>35</v>
      </c>
      <c r="B3" s="21" cm="1">
        <f t="array" ref="B3">IF($A3=B$1,0,_xlfn.XLOOKUP($A3&amp;B$1,Flow3!$A:$A&amp;Flow3!$B:$B,Flow3!$D:$D))</f>
        <v>1517.86639842203</v>
      </c>
      <c r="C3" s="21" cm="1">
        <f t="array" ref="C3">IF($A3=C$1,0,_xlfn.XLOOKUP($A3&amp;C$1,Flow3!$A:$A&amp;Flow3!$B:$B,Flow3!$D:$D))</f>
        <v>0</v>
      </c>
      <c r="D3" s="21" cm="1">
        <f t="array" ref="D3">IF($A3=D$1,0,_xlfn.XLOOKUP($A3&amp;D$1,Flow3!$A:$A&amp;Flow3!$B:$B,Flow3!$D:$D))</f>
        <v>1940.4608738824772</v>
      </c>
      <c r="E3" s="21" cm="1">
        <f t="array" ref="E3">IF($A3=E$1,0,_xlfn.XLOOKUP($A3&amp;E$1,Flow3!$A:$A&amp;Flow3!$B:$B,Flow3!$D:$D))</f>
        <v>4244.09125384461</v>
      </c>
      <c r="F3" s="21" cm="1">
        <f t="array" ref="F3">IF($A3=F$1,0,_xlfn.XLOOKUP($A3&amp;F$1,Flow3!$A:$A&amp;Flow3!$B:$B,Flow3!$D:$D))</f>
        <v>547.43772360279559</v>
      </c>
      <c r="G3" s="21" cm="1">
        <f t="array" ref="G3">IF($A3=G$1,0,_xlfn.XLOOKUP($A3&amp;G$1,Flow3!$A:$A&amp;Flow3!$B:$B,Flow3!$D:$D))</f>
        <v>6251.737214890778</v>
      </c>
      <c r="H3" s="21" cm="1">
        <f t="array" ref="H3">IF($A3=H$1,0,_xlfn.XLOOKUP($A3&amp;H$1,Flow3!$A:$A&amp;Flow3!$B:$B,Flow3!$D:$D))</f>
        <v>2635.7303004550531</v>
      </c>
      <c r="I3" s="21" cm="1">
        <f t="array" ref="I3">IF($A3=I$1,0,_xlfn.XLOOKUP($A3&amp;I$1,Flow3!$A:$A&amp;Flow3!$B:$B,Flow3!$D:$D))</f>
        <v>6039.8197913084123</v>
      </c>
      <c r="J3" s="21" cm="1">
        <f t="array" ref="J3">IF($A3=J$1,0,_xlfn.XLOOKUP($A3&amp;J$1,Flow3!$A:$A&amp;Flow3!$B:$B,Flow3!$D:$D))</f>
        <v>3678.8305564200937</v>
      </c>
      <c r="K3" s="21" cm="1">
        <f t="array" ref="K3">IF($A3=K$1,0,_xlfn.XLOOKUP($A3&amp;K$1,Flow3!$A:$A&amp;Flow3!$B:$B,Flow3!$D:$D))</f>
        <v>4136.7572538619952</v>
      </c>
      <c r="L3" s="21" cm="1">
        <f t="array" ref="L3">IF($A3=L$1,0,_xlfn.XLOOKUP($A3&amp;L$1,Flow3!$A:$A&amp;Flow3!$B:$B,Flow3!$D:$D))</f>
        <v>3089.0363808487655</v>
      </c>
      <c r="M3" s="21" cm="1">
        <f t="array" ref="M3">IF($A3=M$1,0,_xlfn.XLOOKUP($A3&amp;M$1,Flow3!$A:$A&amp;Flow3!$B:$B,Flow3!$D:$D))</f>
        <v>11953.537502118803</v>
      </c>
      <c r="N3" s="21" cm="1">
        <f t="array" ref="N3">IF($A3=N$1,0,_xlfn.XLOOKUP($A3&amp;N$1,Flow3!$A:$A&amp;Flow3!$B:$B,Flow3!$D:$D))</f>
        <v>14690.166140574562</v>
      </c>
      <c r="O3" s="21" cm="1">
        <f t="array" ref="O3">IF($A3=O$1,0,_xlfn.XLOOKUP($A3&amp;O$1,Flow3!$A:$A&amp;Flow3!$B:$B,Flow3!$D:$D))</f>
        <v>1300.4727741422364</v>
      </c>
      <c r="P3" s="21" cm="1">
        <f t="array" ref="P3">IF($A3=P$1,0,_xlfn.XLOOKUP($A3&amp;P$1,Flow3!$A:$A&amp;Flow3!$B:$B,Flow3!$D:$D))</f>
        <v>15587.756100647173</v>
      </c>
      <c r="Q3" s="21" cm="1">
        <f t="array" ref="Q3">IF($A3=Q$1,0,_xlfn.XLOOKUP($A3&amp;Q$1,Flow3!$A:$A&amp;Flow3!$B:$B,Flow3!$D:$D))</f>
        <v>3045.2489729273202</v>
      </c>
      <c r="R3" s="21" cm="1">
        <f t="array" ref="R3">IF($A3=R$1,0,_xlfn.XLOOKUP($A3&amp;R$1,Flow3!$A:$A&amp;Flow3!$B:$B,Flow3!$D:$D))</f>
        <v>12342.586009405255</v>
      </c>
      <c r="S3" s="21" cm="1">
        <f t="array" ref="S3">IF($A3=S$1,0,_xlfn.XLOOKUP($A3&amp;S$1,Flow3!$A:$A&amp;Flow3!$B:$B,Flow3!$D:$D))</f>
        <v>4355.5148326338322</v>
      </c>
      <c r="T3" s="21" cm="1">
        <f t="array" ref="T3">IF($A3=T$1,0,_xlfn.XLOOKUP($A3&amp;T$1,Flow3!$A:$A&amp;Flow3!$B:$B,Flow3!$D:$D))</f>
        <v>2628.7184978841119</v>
      </c>
      <c r="U3" s="21" cm="1">
        <f t="array" ref="U3">IF($A3=U$1,0,_xlfn.XLOOKUP($A3&amp;U$1,Flow3!$A:$A&amp;Flow3!$B:$B,Flow3!$D:$D))</f>
        <v>4160.9180641590883</v>
      </c>
      <c r="V3" s="21" cm="1">
        <f t="array" ref="V3">IF($A3=V$1,0,_xlfn.XLOOKUP($A3&amp;V$1,Flow3!$A:$A&amp;Flow3!$B:$B,Flow3!$D:$D))</f>
        <v>2389.2352701835439</v>
      </c>
      <c r="W3" s="21" cm="1">
        <f t="array" ref="W3">IF($A3=W$1,0,_xlfn.XLOOKUP($A3&amp;W$1,Flow3!$A:$A&amp;Flow3!$B:$B,Flow3!$D:$D))</f>
        <v>4073.0698274111137</v>
      </c>
      <c r="X3" s="21" cm="1">
        <f t="array" ref="X3">IF($A3=X$1,0,_xlfn.XLOOKUP($A3&amp;X$1,Flow3!$A:$A&amp;Flow3!$B:$B,Flow3!$D:$D))</f>
        <v>411.3587725949763</v>
      </c>
      <c r="Y3" s="21" cm="1">
        <f t="array" ref="Y3">IF($A3=Y$1,0,_xlfn.XLOOKUP($A3&amp;Y$1,Flow3!$A:$A&amp;Flow3!$B:$B,Flow3!$D:$D))</f>
        <v>2702.2422001932641</v>
      </c>
    </row>
    <row r="4" spans="1:25" ht="15.75" thickBot="1" x14ac:dyDescent="0.3">
      <c r="A4" s="3" t="s">
        <v>36</v>
      </c>
      <c r="B4" s="21" cm="1">
        <f t="array" ref="B4">IF($A4=B$1,0,_xlfn.XLOOKUP($A4&amp;B$1,Flow3!$A:$A&amp;Flow3!$B:$B,Flow3!$D:$D))</f>
        <v>881.92</v>
      </c>
      <c r="C4" s="21" cm="1">
        <f t="array" ref="C4">IF($A4=C$1,0,_xlfn.XLOOKUP($A4&amp;C$1,Flow3!$A:$A&amp;Flow3!$B:$B,Flow3!$D:$D))</f>
        <v>768.89431096228395</v>
      </c>
      <c r="D4" s="21" cm="1">
        <f t="array" ref="D4">IF($A4=D$1,0,_xlfn.XLOOKUP($A4&amp;D$1,Flow3!$A:$A&amp;Flow3!$B:$B,Flow3!$D:$D))</f>
        <v>0</v>
      </c>
      <c r="E4" s="21" cm="1">
        <f t="array" ref="E4">IF($A4=E$1,0,_xlfn.XLOOKUP($A4&amp;E$1,Flow3!$A:$A&amp;Flow3!$B:$B,Flow3!$D:$D))</f>
        <v>2095.4</v>
      </c>
      <c r="F4" s="21" cm="1">
        <f t="array" ref="F4">IF($A4=F$1,0,_xlfn.XLOOKUP($A4&amp;F$1,Flow3!$A:$A&amp;Flow3!$B:$B,Flow3!$D:$D))</f>
        <v>575.79999999999995</v>
      </c>
      <c r="G4" s="21" cm="1">
        <f t="array" ref="G4">IF($A4=G$1,0,_xlfn.XLOOKUP($A4&amp;G$1,Flow3!$A:$A&amp;Flow3!$B:$B,Flow3!$D:$D))</f>
        <v>4265.72</v>
      </c>
      <c r="H4" s="21" cm="1">
        <f t="array" ref="H4">IF($A4=H$1,0,_xlfn.XLOOKUP($A4&amp;H$1,Flow3!$A:$A&amp;Flow3!$B:$B,Flow3!$D:$D))</f>
        <v>10479.280000000001</v>
      </c>
      <c r="I4" s="21" cm="1">
        <f t="array" ref="I4">IF($A4=I$1,0,_xlfn.XLOOKUP($A4&amp;I$1,Flow3!$A:$A&amp;Flow3!$B:$B,Flow3!$D:$D))</f>
        <v>5041.3599999999997</v>
      </c>
      <c r="J4" s="21" cm="1">
        <f t="array" ref="J4">IF($A4=J$1,0,_xlfn.XLOOKUP($A4&amp;J$1,Flow3!$A:$A&amp;Flow3!$B:$B,Flow3!$D:$D))</f>
        <v>841.94568903771608</v>
      </c>
      <c r="K4" s="21" cm="1">
        <f t="array" ref="K4">IF($A4=K$1,0,_xlfn.XLOOKUP($A4&amp;K$1,Flow3!$A:$A&amp;Flow3!$B:$B,Flow3!$D:$D))</f>
        <v>2415.04</v>
      </c>
      <c r="L4" s="21" cm="1">
        <f t="array" ref="L4">IF($A4=L$1,0,_xlfn.XLOOKUP($A4&amp;L$1,Flow3!$A:$A&amp;Flow3!$B:$B,Flow3!$D:$D))</f>
        <v>3394.92</v>
      </c>
      <c r="M4" s="21" cm="1">
        <f t="array" ref="M4">IF($A4=M$1,0,_xlfn.XLOOKUP($A4&amp;M$1,Flow3!$A:$A&amp;Flow3!$B:$B,Flow3!$D:$D))</f>
        <v>16119</v>
      </c>
      <c r="N4" s="21" cm="1">
        <f t="array" ref="N4">IF($A4=N$1,0,_xlfn.XLOOKUP($A4&amp;N$1,Flow3!$A:$A&amp;Flow3!$B:$B,Flow3!$D:$D))</f>
        <v>15440.16</v>
      </c>
      <c r="O4" s="21" cm="1">
        <f t="array" ref="O4">IF($A4=O$1,0,_xlfn.XLOOKUP($A4&amp;O$1,Flow3!$A:$A&amp;Flow3!$B:$B,Flow3!$D:$D))</f>
        <v>1876.88</v>
      </c>
      <c r="P4" s="21" cm="1">
        <f t="array" ref="P4">IF($A4=P$1,0,_xlfn.XLOOKUP($A4&amp;P$1,Flow3!$A:$A&amp;Flow3!$B:$B,Flow3!$D:$D))</f>
        <v>45357.84</v>
      </c>
      <c r="Q4" s="21" cm="1">
        <f t="array" ref="Q4">IF($A4=Q$1,0,_xlfn.XLOOKUP($A4&amp;Q$1,Flow3!$A:$A&amp;Flow3!$B:$B,Flow3!$D:$D))</f>
        <v>1106.2</v>
      </c>
      <c r="R4" s="21" cm="1">
        <f t="array" ref="R4">IF($A4=R$1,0,_xlfn.XLOOKUP($A4&amp;R$1,Flow3!$A:$A&amp;Flow3!$B:$B,Flow3!$D:$D))</f>
        <v>5173.2</v>
      </c>
      <c r="S4" s="21" cm="1">
        <f t="array" ref="S4">IF($A4=S$1,0,_xlfn.XLOOKUP($A4&amp;S$1,Flow3!$A:$A&amp;Flow3!$B:$B,Flow3!$D:$D))</f>
        <v>296.8</v>
      </c>
      <c r="T4" s="21" cm="1">
        <f t="array" ref="T4">IF($A4=T$1,0,_xlfn.XLOOKUP($A4&amp;T$1,Flow3!$A:$A&amp;Flow3!$B:$B,Flow3!$D:$D))</f>
        <v>1650.76</v>
      </c>
      <c r="U4" s="21" cm="1">
        <f t="array" ref="U4">IF($A4=U$1,0,_xlfn.XLOOKUP($A4&amp;U$1,Flow3!$A:$A&amp;Flow3!$B:$B,Flow3!$D:$D))</f>
        <v>3549.16</v>
      </c>
      <c r="V4" s="21" cm="1">
        <f t="array" ref="V4">IF($A4=V$1,0,_xlfn.XLOOKUP($A4&amp;V$1,Flow3!$A:$A&amp;Flow3!$B:$B,Flow3!$D:$D))</f>
        <v>1649.88</v>
      </c>
      <c r="W4" s="21" cm="1">
        <f t="array" ref="W4">IF($A4=W$1,0,_xlfn.XLOOKUP($A4&amp;W$1,Flow3!$A:$A&amp;Flow3!$B:$B,Flow3!$D:$D))</f>
        <v>3174.8</v>
      </c>
      <c r="X4" s="21" cm="1">
        <f t="array" ref="X4">IF($A4=X$1,0,_xlfn.XLOOKUP($A4&amp;X$1,Flow3!$A:$A&amp;Flow3!$B:$B,Flow3!$D:$D))</f>
        <v>148.63999999999999</v>
      </c>
      <c r="Y4" s="21" cm="1">
        <f t="array" ref="Y4">IF($A4=Y$1,0,_xlfn.XLOOKUP($A4&amp;Y$1,Flow3!$A:$A&amp;Flow3!$B:$B,Flow3!$D:$D))</f>
        <v>1238.5999999999999</v>
      </c>
    </row>
    <row r="5" spans="1:25" ht="15.75" thickBot="1" x14ac:dyDescent="0.3">
      <c r="A5" s="3" t="s">
        <v>37</v>
      </c>
      <c r="B5" s="21" cm="1">
        <f t="array" ref="B5">IF($A5=B$1,0,_xlfn.XLOOKUP($A5&amp;B$1,Flow3!$A:$A&amp;Flow3!$B:$B,Flow3!$D:$D))</f>
        <v>2877.88</v>
      </c>
      <c r="C5" s="21" cm="1">
        <f t="array" ref="C5">IF($A5=C$1,0,_xlfn.XLOOKUP($A5&amp;C$1,Flow3!$A:$A&amp;Flow3!$B:$B,Flow3!$D:$D))</f>
        <v>2837.3497076623476</v>
      </c>
      <c r="D5" s="21" cm="1">
        <f t="array" ref="D5">IF($A5=D$1,0,_xlfn.XLOOKUP($A5&amp;D$1,Flow3!$A:$A&amp;Flow3!$B:$B,Flow3!$D:$D))</f>
        <v>2340.64</v>
      </c>
      <c r="E5" s="21" cm="1">
        <f t="array" ref="E5">IF($A5=E$1,0,_xlfn.XLOOKUP($A5&amp;E$1,Flow3!$A:$A&amp;Flow3!$B:$B,Flow3!$D:$D))</f>
        <v>0</v>
      </c>
      <c r="F5" s="21" cm="1">
        <f t="array" ref="F5">IF($A5=F$1,0,_xlfn.XLOOKUP($A5&amp;F$1,Flow3!$A:$A&amp;Flow3!$B:$B,Flow3!$D:$D))</f>
        <v>1346.84</v>
      </c>
      <c r="G5" s="21" cm="1">
        <f t="array" ref="G5">IF($A5=G$1,0,_xlfn.XLOOKUP($A5&amp;G$1,Flow3!$A:$A&amp;Flow3!$B:$B,Flow3!$D:$D))</f>
        <v>7897.68</v>
      </c>
      <c r="H5" s="21" cm="1">
        <f t="array" ref="H5">IF($A5=H$1,0,_xlfn.XLOOKUP($A5&amp;H$1,Flow3!$A:$A&amp;Flow3!$B:$B,Flow3!$D:$D))</f>
        <v>3023.8</v>
      </c>
      <c r="I5" s="21" cm="1">
        <f t="array" ref="I5">IF($A5=I$1,0,_xlfn.XLOOKUP($A5&amp;I$1,Flow3!$A:$A&amp;Flow3!$B:$B,Flow3!$D:$D))</f>
        <v>15699.2</v>
      </c>
      <c r="J5" s="21" cm="1">
        <f t="array" ref="J5">IF($A5=J$1,0,_xlfn.XLOOKUP($A5&amp;J$1,Flow3!$A:$A&amp;Flow3!$B:$B,Flow3!$D:$D))</f>
        <v>2504.1702923376533</v>
      </c>
      <c r="K5" s="21" cm="1">
        <f t="array" ref="K5">IF($A5=K$1,0,_xlfn.XLOOKUP($A5&amp;K$1,Flow3!$A:$A&amp;Flow3!$B:$B,Flow3!$D:$D))</f>
        <v>12387.4</v>
      </c>
      <c r="L5" s="21" cm="1">
        <f t="array" ref="L5">IF($A5=L$1,0,_xlfn.XLOOKUP($A5&amp;L$1,Flow3!$A:$A&amp;Flow3!$B:$B,Flow3!$D:$D))</f>
        <v>5085.68</v>
      </c>
      <c r="M5" s="21" cm="1">
        <f t="array" ref="M5">IF($A5=M$1,0,_xlfn.XLOOKUP($A5&amp;M$1,Flow3!$A:$A&amp;Flow3!$B:$B,Flow3!$D:$D))</f>
        <v>16577.48</v>
      </c>
      <c r="N5" s="21" cm="1">
        <f t="array" ref="N5">IF($A5=N$1,0,_xlfn.XLOOKUP($A5&amp;N$1,Flow3!$A:$A&amp;Flow3!$B:$B,Flow3!$D:$D))</f>
        <v>22812.240000000002</v>
      </c>
      <c r="O5" s="21" cm="1">
        <f t="array" ref="O5">IF($A5=O$1,0,_xlfn.XLOOKUP($A5&amp;O$1,Flow3!$A:$A&amp;Flow3!$B:$B,Flow3!$D:$D))</f>
        <v>1779.36</v>
      </c>
      <c r="P5" s="21" cm="1">
        <f t="array" ref="P5">IF($A5=P$1,0,_xlfn.XLOOKUP($A5&amp;P$1,Flow3!$A:$A&amp;Flow3!$B:$B,Flow3!$D:$D))</f>
        <v>20270.8</v>
      </c>
      <c r="Q5" s="21" cm="1">
        <f t="array" ref="Q5">IF($A5=Q$1,0,_xlfn.XLOOKUP($A5&amp;Q$1,Flow3!$A:$A&amp;Flow3!$B:$B,Flow3!$D:$D))</f>
        <v>2671.56</v>
      </c>
      <c r="R5" s="21" cm="1">
        <f t="array" ref="R5">IF($A5=R$1,0,_xlfn.XLOOKUP($A5&amp;R$1,Flow3!$A:$A&amp;Flow3!$B:$B,Flow3!$D:$D))</f>
        <v>8898.52</v>
      </c>
      <c r="S5" s="21" cm="1">
        <f t="array" ref="S5">IF($A5=S$1,0,_xlfn.XLOOKUP($A5&amp;S$1,Flow3!$A:$A&amp;Flow3!$B:$B,Flow3!$D:$D))</f>
        <v>901.08</v>
      </c>
      <c r="T5" s="21" cm="1">
        <f t="array" ref="T5">IF($A5=T$1,0,_xlfn.XLOOKUP($A5&amp;T$1,Flow3!$A:$A&amp;Flow3!$B:$B,Flow3!$D:$D))</f>
        <v>5160.2</v>
      </c>
      <c r="U5" s="21" cm="1">
        <f t="array" ref="U5">IF($A5=U$1,0,_xlfn.XLOOKUP($A5&amp;U$1,Flow3!$A:$A&amp;Flow3!$B:$B,Flow3!$D:$D))</f>
        <v>3930.96</v>
      </c>
      <c r="V5" s="21" cm="1">
        <f t="array" ref="V5">IF($A5=V$1,0,_xlfn.XLOOKUP($A5&amp;V$1,Flow3!$A:$A&amp;Flow3!$B:$B,Flow3!$D:$D))</f>
        <v>2846</v>
      </c>
      <c r="W5" s="21" cm="1">
        <f t="array" ref="W5">IF($A5=W$1,0,_xlfn.XLOOKUP($A5&amp;W$1,Flow3!$A:$A&amp;Flow3!$B:$B,Flow3!$D:$D))</f>
        <v>5035.4399999999996</v>
      </c>
      <c r="X5" s="21" cm="1">
        <f t="array" ref="X5">IF($A5=X$1,0,_xlfn.XLOOKUP($A5&amp;X$1,Flow3!$A:$A&amp;Flow3!$B:$B,Flow3!$D:$D))</f>
        <v>268.8</v>
      </c>
      <c r="Y5" s="21" cm="1">
        <f t="array" ref="Y5">IF($A5=Y$1,0,_xlfn.XLOOKUP($A5&amp;Y$1,Flow3!$A:$A&amp;Flow3!$B:$B,Flow3!$D:$D))</f>
        <v>1956.36</v>
      </c>
    </row>
    <row r="6" spans="1:25" ht="15.75" thickBot="1" x14ac:dyDescent="0.3">
      <c r="A6" s="3" t="s">
        <v>38</v>
      </c>
      <c r="B6" s="21" cm="1">
        <f t="array" ref="B6">IF($A6=B$1,0,_xlfn.XLOOKUP($A6&amp;B$1,Flow3!$A:$A&amp;Flow3!$B:$B,Flow3!$D:$D))</f>
        <v>1916.56</v>
      </c>
      <c r="C6" s="21" cm="1">
        <f t="array" ref="C6">IF($A6=C$1,0,_xlfn.XLOOKUP($A6&amp;C$1,Flow3!$A:$A&amp;Flow3!$B:$B,Flow3!$D:$D))</f>
        <v>453.68132744636051</v>
      </c>
      <c r="D6" s="21" cm="1">
        <f t="array" ref="D6">IF($A6=D$1,0,_xlfn.XLOOKUP($A6&amp;D$1,Flow3!$A:$A&amp;Flow3!$B:$B,Flow3!$D:$D))</f>
        <v>821.08</v>
      </c>
      <c r="E6" s="21" cm="1">
        <f t="array" ref="E6">IF($A6=E$1,0,_xlfn.XLOOKUP($A6&amp;E$1,Flow3!$A:$A&amp;Flow3!$B:$B,Flow3!$D:$D))</f>
        <v>3869.6</v>
      </c>
      <c r="F6" s="21" cm="1">
        <f t="array" ref="F6">IF($A6=F$1,0,_xlfn.XLOOKUP($A6&amp;F$1,Flow3!$A:$A&amp;Flow3!$B:$B,Flow3!$D:$D))</f>
        <v>0</v>
      </c>
      <c r="G6" s="21" cm="1">
        <f t="array" ref="G6">IF($A6=G$1,0,_xlfn.XLOOKUP($A6&amp;G$1,Flow3!$A:$A&amp;Flow3!$B:$B,Flow3!$D:$D))</f>
        <v>5400.56</v>
      </c>
      <c r="H6" s="21" cm="1">
        <f t="array" ref="H6">IF($A6=H$1,0,_xlfn.XLOOKUP($A6&amp;H$1,Flow3!$A:$A&amp;Flow3!$B:$B,Flow3!$D:$D))</f>
        <v>977.52</v>
      </c>
      <c r="I6" s="21" cm="1">
        <f t="array" ref="I6">IF($A6=I$1,0,_xlfn.XLOOKUP($A6&amp;I$1,Flow3!$A:$A&amp;Flow3!$B:$B,Flow3!$D:$D))</f>
        <v>20364.36</v>
      </c>
      <c r="J6" s="21" cm="1">
        <f t="array" ref="J6">IF($A6=J$1,0,_xlfn.XLOOKUP($A6&amp;J$1,Flow3!$A:$A&amp;Flow3!$B:$B,Flow3!$D:$D))</f>
        <v>1191.1986725536397</v>
      </c>
      <c r="K6" s="21" cm="1">
        <f t="array" ref="K6">IF($A6=K$1,0,_xlfn.XLOOKUP($A6&amp;K$1,Flow3!$A:$A&amp;Flow3!$B:$B,Flow3!$D:$D))</f>
        <v>5911.52</v>
      </c>
      <c r="L6" s="21" cm="1">
        <f t="array" ref="L6">IF($A6=L$1,0,_xlfn.XLOOKUP($A6&amp;L$1,Flow3!$A:$A&amp;Flow3!$B:$B,Flow3!$D:$D))</f>
        <v>3793.64</v>
      </c>
      <c r="M6" s="21" cm="1">
        <f t="array" ref="M6">IF($A6=M$1,0,_xlfn.XLOOKUP($A6&amp;M$1,Flow3!$A:$A&amp;Flow3!$B:$B,Flow3!$D:$D))</f>
        <v>9324.8799999999992</v>
      </c>
      <c r="N6" s="21" cm="1">
        <f t="array" ref="N6">IF($A6=N$1,0,_xlfn.XLOOKUP($A6&amp;N$1,Flow3!$A:$A&amp;Flow3!$B:$B,Flow3!$D:$D))</f>
        <v>16995.16</v>
      </c>
      <c r="O6" s="21" cm="1">
        <f t="array" ref="O6">IF($A6=O$1,0,_xlfn.XLOOKUP($A6&amp;O$1,Flow3!$A:$A&amp;Flow3!$B:$B,Flow3!$D:$D))</f>
        <v>978.68</v>
      </c>
      <c r="P6" s="21" cm="1">
        <f t="array" ref="P6">IF($A6=P$1,0,_xlfn.XLOOKUP($A6&amp;P$1,Flow3!$A:$A&amp;Flow3!$B:$B,Flow3!$D:$D))</f>
        <v>8271</v>
      </c>
      <c r="Q6" s="21" cm="1">
        <f t="array" ref="Q6">IF($A6=Q$1,0,_xlfn.XLOOKUP($A6&amp;Q$1,Flow3!$A:$A&amp;Flow3!$B:$B,Flow3!$D:$D))</f>
        <v>460.76</v>
      </c>
      <c r="R6" s="21" cm="1">
        <f t="array" ref="R6">IF($A6=R$1,0,_xlfn.XLOOKUP($A6&amp;R$1,Flow3!$A:$A&amp;Flow3!$B:$B,Flow3!$D:$D))</f>
        <v>2005.28</v>
      </c>
      <c r="S6" s="21" cm="1">
        <f t="array" ref="S6">IF($A6=S$1,0,_xlfn.XLOOKUP($A6&amp;S$1,Flow3!$A:$A&amp;Flow3!$B:$B,Flow3!$D:$D))</f>
        <v>163.88</v>
      </c>
      <c r="T6" s="21" cm="1">
        <f t="array" ref="T6">IF($A6=T$1,0,_xlfn.XLOOKUP($A6&amp;T$1,Flow3!$A:$A&amp;Flow3!$B:$B,Flow3!$D:$D))</f>
        <v>4191.3599999999997</v>
      </c>
      <c r="U6" s="21" cm="1">
        <f t="array" ref="U6">IF($A6=U$1,0,_xlfn.XLOOKUP($A6&amp;U$1,Flow3!$A:$A&amp;Flow3!$B:$B,Flow3!$D:$D))</f>
        <v>1665.12</v>
      </c>
      <c r="V6" s="21" cm="1">
        <f t="array" ref="V6">IF($A6=V$1,0,_xlfn.XLOOKUP($A6&amp;V$1,Flow3!$A:$A&amp;Flow3!$B:$B,Flow3!$D:$D))</f>
        <v>1663.24</v>
      </c>
      <c r="W6" s="21" cm="1">
        <f t="array" ref="W6">IF($A6=W$1,0,_xlfn.XLOOKUP($A6&amp;W$1,Flow3!$A:$A&amp;Flow3!$B:$B,Flow3!$D:$D))</f>
        <v>1083.04</v>
      </c>
      <c r="X6" s="21" cm="1">
        <f t="array" ref="X6">IF($A6=X$1,0,_xlfn.XLOOKUP($A6&amp;X$1,Flow3!$A:$A&amp;Flow3!$B:$B,Flow3!$D:$D))</f>
        <v>107.04</v>
      </c>
      <c r="Y6" s="21" cm="1">
        <f t="array" ref="Y6">IF($A6=Y$1,0,_xlfn.XLOOKUP($A6&amp;Y$1,Flow3!$A:$A&amp;Flow3!$B:$B,Flow3!$D:$D))</f>
        <v>987.12</v>
      </c>
    </row>
    <row r="7" spans="1:25" ht="15.75" thickBot="1" x14ac:dyDescent="0.3">
      <c r="A7" s="3" t="s">
        <v>39</v>
      </c>
      <c r="B7" s="21" cm="1">
        <f t="array" ref="B7">IF($A7=B$1,0,_xlfn.XLOOKUP($A7&amp;B$1,Flow3!$A:$A&amp;Flow3!$B:$B,Flow3!$D:$D))</f>
        <v>2334.6</v>
      </c>
      <c r="C7" s="21" cm="1">
        <f t="array" ref="C7">IF($A7=C$1,0,_xlfn.XLOOKUP($A7&amp;C$1,Flow3!$A:$A&amp;Flow3!$B:$B,Flow3!$D:$D))</f>
        <v>2285.3655860238209</v>
      </c>
      <c r="D7" s="21" cm="1">
        <f t="array" ref="D7">IF($A7=D$1,0,_xlfn.XLOOKUP($A7&amp;D$1,Flow3!$A:$A&amp;Flow3!$B:$B,Flow3!$D:$D))</f>
        <v>2193.3200000000002</v>
      </c>
      <c r="E7" s="21" cm="1">
        <f t="array" ref="E7">IF($A7=E$1,0,_xlfn.XLOOKUP($A7&amp;E$1,Flow3!$A:$A&amp;Flow3!$B:$B,Flow3!$D:$D))</f>
        <v>10240.56</v>
      </c>
      <c r="F7" s="21" cm="1">
        <f t="array" ref="F7">IF($A7=F$1,0,_xlfn.XLOOKUP($A7&amp;F$1,Flow3!$A:$A&amp;Flow3!$B:$B,Flow3!$D:$D))</f>
        <v>2693.56</v>
      </c>
      <c r="G7" s="21" cm="1">
        <f t="array" ref="G7">IF($A7=G$1,0,_xlfn.XLOOKUP($A7&amp;G$1,Flow3!$A:$A&amp;Flow3!$B:$B,Flow3!$D:$D))</f>
        <v>0</v>
      </c>
      <c r="H7" s="21" cm="1">
        <f t="array" ref="H7">IF($A7=H$1,0,_xlfn.XLOOKUP($A7&amp;H$1,Flow3!$A:$A&amp;Flow3!$B:$B,Flow3!$D:$D))</f>
        <v>2535.3200000000002</v>
      </c>
      <c r="I7" s="21" cm="1">
        <f t="array" ref="I7">IF($A7=I$1,0,_xlfn.XLOOKUP($A7&amp;I$1,Flow3!$A:$A&amp;Flow3!$B:$B,Flow3!$D:$D))</f>
        <v>33272.839999999997</v>
      </c>
      <c r="J7" s="21" cm="1">
        <f t="array" ref="J7">IF($A7=J$1,0,_xlfn.XLOOKUP($A7&amp;J$1,Flow3!$A:$A&amp;Flow3!$B:$B,Flow3!$D:$D))</f>
        <v>2248.8744139761798</v>
      </c>
      <c r="K7" s="21" cm="1">
        <f t="array" ref="K7">IF($A7=K$1,0,_xlfn.XLOOKUP($A7&amp;K$1,Flow3!$A:$A&amp;Flow3!$B:$B,Flow3!$D:$D))</f>
        <v>6665.76</v>
      </c>
      <c r="L7" s="21" cm="1">
        <f t="array" ref="L7">IF($A7=L$1,0,_xlfn.XLOOKUP($A7&amp;L$1,Flow3!$A:$A&amp;Flow3!$B:$B,Flow3!$D:$D))</f>
        <v>64034.16</v>
      </c>
      <c r="M7" s="21" cm="1">
        <f t="array" ref="M7">IF($A7=M$1,0,_xlfn.XLOOKUP($A7&amp;M$1,Flow3!$A:$A&amp;Flow3!$B:$B,Flow3!$D:$D))</f>
        <v>31156.2</v>
      </c>
      <c r="N7" s="21" cm="1">
        <f t="array" ref="N7">IF($A7=N$1,0,_xlfn.XLOOKUP($A7&amp;N$1,Flow3!$A:$A&amp;Flow3!$B:$B,Flow3!$D:$D))</f>
        <v>140589.76000000001</v>
      </c>
      <c r="O7" s="21" cm="1">
        <f t="array" ref="O7">IF($A7=O$1,0,_xlfn.XLOOKUP($A7&amp;O$1,Flow3!$A:$A&amp;Flow3!$B:$B,Flow3!$D:$D))</f>
        <v>3082.24</v>
      </c>
      <c r="P7" s="21" cm="1">
        <f t="array" ref="P7">IF($A7=P$1,0,_xlfn.XLOOKUP($A7&amp;P$1,Flow3!$A:$A&amp;Flow3!$B:$B,Flow3!$D:$D))</f>
        <v>26141.360000000001</v>
      </c>
      <c r="Q7" s="21" cm="1">
        <f t="array" ref="Q7">IF($A7=Q$1,0,_xlfn.XLOOKUP($A7&amp;Q$1,Flow3!$A:$A&amp;Flow3!$B:$B,Flow3!$D:$D))</f>
        <v>1578.2</v>
      </c>
      <c r="R7" s="21" cm="1">
        <f t="array" ref="R7">IF($A7=R$1,0,_xlfn.XLOOKUP($A7&amp;R$1,Flow3!$A:$A&amp;Flow3!$B:$B,Flow3!$D:$D))</f>
        <v>6251.68</v>
      </c>
      <c r="S7" s="21" cm="1">
        <f t="array" ref="S7">IF($A7=S$1,0,_xlfn.XLOOKUP($A7&amp;S$1,Flow3!$A:$A&amp;Flow3!$B:$B,Flow3!$D:$D))</f>
        <v>681.04</v>
      </c>
      <c r="T7" s="21" cm="1">
        <f t="array" ref="T7">IF($A7=T$1,0,_xlfn.XLOOKUP($A7&amp;T$1,Flow3!$A:$A&amp;Flow3!$B:$B,Flow3!$D:$D))</f>
        <v>6378.4</v>
      </c>
      <c r="U7" s="21" cm="1">
        <f t="array" ref="U7">IF($A7=U$1,0,_xlfn.XLOOKUP($A7&amp;U$1,Flow3!$A:$A&amp;Flow3!$B:$B,Flow3!$D:$D))</f>
        <v>4030.36</v>
      </c>
      <c r="V7" s="21" cm="1">
        <f t="array" ref="V7">IF($A7=V$1,0,_xlfn.XLOOKUP($A7&amp;V$1,Flow3!$A:$A&amp;Flow3!$B:$B,Flow3!$D:$D))</f>
        <v>3144.12</v>
      </c>
      <c r="W7" s="21" cm="1">
        <f t="array" ref="W7">IF($A7=W$1,0,_xlfn.XLOOKUP($A7&amp;W$1,Flow3!$A:$A&amp;Flow3!$B:$B,Flow3!$D:$D))</f>
        <v>2947.48</v>
      </c>
      <c r="X7" s="21" cm="1">
        <f t="array" ref="X7">IF($A7=X$1,0,_xlfn.XLOOKUP($A7&amp;X$1,Flow3!$A:$A&amp;Flow3!$B:$B,Flow3!$D:$D))</f>
        <v>254.36</v>
      </c>
      <c r="Y7" s="21" cm="1">
        <f t="array" ref="Y7">IF($A7=Y$1,0,_xlfn.XLOOKUP($A7&amp;Y$1,Flow3!$A:$A&amp;Flow3!$B:$B,Flow3!$D:$D))</f>
        <v>1724.52</v>
      </c>
    </row>
    <row r="8" spans="1:25" ht="15.75" thickBot="1" x14ac:dyDescent="0.3">
      <c r="A8" s="3" t="s">
        <v>40</v>
      </c>
      <c r="B8" s="21" cm="1">
        <f t="array" ref="B8">IF($A8=B$1,0,_xlfn.XLOOKUP($A8&amp;B$1,Flow3!$A:$A&amp;Flow3!$B:$B,Flow3!$D:$D))</f>
        <v>2873.96</v>
      </c>
      <c r="C8" s="21" cm="1">
        <f t="array" ref="C8">IF($A8=C$1,0,_xlfn.XLOOKUP($A8&amp;C$1,Flow3!$A:$A&amp;Flow3!$B:$B,Flow3!$D:$D))</f>
        <v>3207.0857604285598</v>
      </c>
      <c r="D8" s="21" cm="1">
        <f t="array" ref="D8">IF($A8=D$1,0,_xlfn.XLOOKUP($A8&amp;D$1,Flow3!$A:$A&amp;Flow3!$B:$B,Flow3!$D:$D))</f>
        <v>22608.32</v>
      </c>
      <c r="E8" s="21" cm="1">
        <f t="array" ref="E8">IF($A8=E$1,0,_xlfn.XLOOKUP($A8&amp;E$1,Flow3!$A:$A&amp;Flow3!$B:$B,Flow3!$D:$D))</f>
        <v>6602.08</v>
      </c>
      <c r="F8" s="21" cm="1">
        <f t="array" ref="F8">IF($A8=F$1,0,_xlfn.XLOOKUP($A8&amp;F$1,Flow3!$A:$A&amp;Flow3!$B:$B,Flow3!$D:$D))</f>
        <v>1576.64</v>
      </c>
      <c r="G8" s="21" cm="1">
        <f t="array" ref="G8">IF($A8=G$1,0,_xlfn.XLOOKUP($A8&amp;G$1,Flow3!$A:$A&amp;Flow3!$B:$B,Flow3!$D:$D))</f>
        <v>11335.92</v>
      </c>
      <c r="H8" s="21" cm="1">
        <f t="array" ref="H8">IF($A8=H$1,0,_xlfn.XLOOKUP($A8&amp;H$1,Flow3!$A:$A&amp;Flow3!$B:$B,Flow3!$D:$D))</f>
        <v>0</v>
      </c>
      <c r="I8" s="21" cm="1">
        <f t="array" ref="I8">IF($A8=I$1,0,_xlfn.XLOOKUP($A8&amp;I$1,Flow3!$A:$A&amp;Flow3!$B:$B,Flow3!$D:$D))</f>
        <v>14964.48</v>
      </c>
      <c r="J8" s="21" cm="1">
        <f t="array" ref="J8">IF($A8=J$1,0,_xlfn.XLOOKUP($A8&amp;J$1,Flow3!$A:$A&amp;Flow3!$B:$B,Flow3!$D:$D))</f>
        <v>3552.9542395714407</v>
      </c>
      <c r="K8" s="21" cm="1">
        <f t="array" ref="K8">IF($A8=K$1,0,_xlfn.XLOOKUP($A8&amp;K$1,Flow3!$A:$A&amp;Flow3!$B:$B,Flow3!$D:$D))</f>
        <v>8546.4</v>
      </c>
      <c r="L8" s="21" cm="1">
        <f t="array" ref="L8">IF($A8=L$1,0,_xlfn.XLOOKUP($A8&amp;L$1,Flow3!$A:$A&amp;Flow3!$B:$B,Flow3!$D:$D))</f>
        <v>8301.6</v>
      </c>
      <c r="M8" s="21" cm="1">
        <f t="array" ref="M8">IF($A8=M$1,0,_xlfn.XLOOKUP($A8&amp;M$1,Flow3!$A:$A&amp;Flow3!$B:$B,Flow3!$D:$D))</f>
        <v>39357.72</v>
      </c>
      <c r="N8" s="21" cm="1">
        <f t="array" ref="N8">IF($A8=N$1,0,_xlfn.XLOOKUP($A8&amp;N$1,Flow3!$A:$A&amp;Flow3!$B:$B,Flow3!$D:$D))</f>
        <v>40385.96</v>
      </c>
      <c r="O8" s="21" cm="1">
        <f t="array" ref="O8">IF($A8=O$1,0,_xlfn.XLOOKUP($A8&amp;O$1,Flow3!$A:$A&amp;Flow3!$B:$B,Flow3!$D:$D))</f>
        <v>4618.3999999999996</v>
      </c>
      <c r="P8" s="21" cm="1">
        <f t="array" ref="P8">IF($A8=P$1,0,_xlfn.XLOOKUP($A8&amp;P$1,Flow3!$A:$A&amp;Flow3!$B:$B,Flow3!$D:$D))</f>
        <v>74196.56</v>
      </c>
      <c r="Q8" s="21" cm="1">
        <f t="array" ref="Q8">IF($A8=Q$1,0,_xlfn.XLOOKUP($A8&amp;Q$1,Flow3!$A:$A&amp;Flow3!$B:$B,Flow3!$D:$D))</f>
        <v>4964.5200000000004</v>
      </c>
      <c r="R8" s="21" cm="1">
        <f t="array" ref="R8">IF($A8=R$1,0,_xlfn.XLOOKUP($A8&amp;R$1,Flow3!$A:$A&amp;Flow3!$B:$B,Flow3!$D:$D))</f>
        <v>22279.48</v>
      </c>
      <c r="S8" s="21" cm="1">
        <f t="array" ref="S8">IF($A8=S$1,0,_xlfn.XLOOKUP($A8&amp;S$1,Flow3!$A:$A&amp;Flow3!$B:$B,Flow3!$D:$D))</f>
        <v>1243.52</v>
      </c>
      <c r="T8" s="21" cm="1">
        <f t="array" ref="T8">IF($A8=T$1,0,_xlfn.XLOOKUP($A8&amp;T$1,Flow3!$A:$A&amp;Flow3!$B:$B,Flow3!$D:$D))</f>
        <v>4950.32</v>
      </c>
      <c r="U8" s="21" cm="1">
        <f t="array" ref="U8">IF($A8=U$1,0,_xlfn.XLOOKUP($A8&amp;U$1,Flow3!$A:$A&amp;Flow3!$B:$B,Flow3!$D:$D))</f>
        <v>11520.76</v>
      </c>
      <c r="V8" s="21" cm="1">
        <f t="array" ref="V8">IF($A8=V$1,0,_xlfn.XLOOKUP($A8&amp;V$1,Flow3!$A:$A&amp;Flow3!$B:$B,Flow3!$D:$D))</f>
        <v>5473.56</v>
      </c>
      <c r="W8" s="21" cm="1">
        <f t="array" ref="W8">IF($A8=W$1,0,_xlfn.XLOOKUP($A8&amp;W$1,Flow3!$A:$A&amp;Flow3!$B:$B,Flow3!$D:$D))</f>
        <v>17182.88</v>
      </c>
      <c r="X8" s="21" cm="1">
        <f t="array" ref="X8">IF($A8=X$1,0,_xlfn.XLOOKUP($A8&amp;X$1,Flow3!$A:$A&amp;Flow3!$B:$B,Flow3!$D:$D))</f>
        <v>532.48</v>
      </c>
      <c r="Y8" s="21" cm="1">
        <f t="array" ref="Y8">IF($A8=Y$1,0,_xlfn.XLOOKUP($A8&amp;Y$1,Flow3!$A:$A&amp;Flow3!$B:$B,Flow3!$D:$D))</f>
        <v>4373.72</v>
      </c>
    </row>
    <row r="9" spans="1:25" ht="15.75" thickBot="1" x14ac:dyDescent="0.3">
      <c r="A9" s="3" t="s">
        <v>41</v>
      </c>
      <c r="B9" s="21" cm="1">
        <f t="array" ref="B9">IF($A9=B$1,0,_xlfn.XLOOKUP($A9&amp;B$1,Flow3!$A:$A&amp;Flow3!$B:$B,Flow3!$D:$D))</f>
        <v>30724.48</v>
      </c>
      <c r="C9" s="21" cm="1">
        <f t="array" ref="C9">IF($A9=C$1,0,_xlfn.XLOOKUP($A9&amp;C$1,Flow3!$A:$A&amp;Flow3!$B:$B,Flow3!$D:$D))</f>
        <v>6826.2576555145497</v>
      </c>
      <c r="D9" s="21" cm="1">
        <f t="array" ref="D9">IF($A9=D$1,0,_xlfn.XLOOKUP($A9&amp;D$1,Flow3!$A:$A&amp;Flow3!$B:$B,Flow3!$D:$D))</f>
        <v>12802.76</v>
      </c>
      <c r="E9" s="21" cm="1">
        <f t="array" ref="E9">IF($A9=E$1,0,_xlfn.XLOOKUP($A9&amp;E$1,Flow3!$A:$A&amp;Flow3!$B:$B,Flow3!$D:$D))</f>
        <v>72304</v>
      </c>
      <c r="F9" s="21" cm="1">
        <f t="array" ref="F9">IF($A9=F$1,0,_xlfn.XLOOKUP($A9&amp;F$1,Flow3!$A:$A&amp;Flow3!$B:$B,Flow3!$D:$D))</f>
        <v>34996.76</v>
      </c>
      <c r="G9" s="21" cm="1">
        <f t="array" ref="G9">IF($A9=G$1,0,_xlfn.XLOOKUP($A9&amp;G$1,Flow3!$A:$A&amp;Flow3!$B:$B,Flow3!$D:$D))</f>
        <v>121568.92</v>
      </c>
      <c r="H9" s="21" cm="1">
        <f t="array" ref="H9">IF($A9=H$1,0,_xlfn.XLOOKUP($A9&amp;H$1,Flow3!$A:$A&amp;Flow3!$B:$B,Flow3!$D:$D))</f>
        <v>16938.64</v>
      </c>
      <c r="I9" s="21" cm="1">
        <f t="array" ref="I9">IF($A9=I$1,0,_xlfn.XLOOKUP($A9&amp;I$1,Flow3!$A:$A&amp;Flow3!$B:$B,Flow3!$D:$D))</f>
        <v>0</v>
      </c>
      <c r="J9" s="21" cm="1">
        <f t="array" ref="J9">IF($A9=J$1,0,_xlfn.XLOOKUP($A9&amp;J$1,Flow3!$A:$A&amp;Flow3!$B:$B,Flow3!$D:$D))</f>
        <v>23542.822344485452</v>
      </c>
      <c r="K9" s="21" cm="1">
        <f t="array" ref="K9">IF($A9=K$1,0,_xlfn.XLOOKUP($A9&amp;K$1,Flow3!$A:$A&amp;Flow3!$B:$B,Flow3!$D:$D))</f>
        <v>101245.44</v>
      </c>
      <c r="L9" s="21" cm="1">
        <f t="array" ref="L9">IF($A9=L$1,0,_xlfn.XLOOKUP($A9&amp;L$1,Flow3!$A:$A&amp;Flow3!$B:$B,Flow3!$D:$D))</f>
        <v>74044.639999999999</v>
      </c>
      <c r="M9" s="21" cm="1">
        <f t="array" ref="M9">IF($A9=M$1,0,_xlfn.XLOOKUP($A9&amp;M$1,Flow3!$A:$A&amp;Flow3!$B:$B,Flow3!$D:$D))</f>
        <v>173094.76</v>
      </c>
      <c r="N9" s="21" cm="1">
        <f t="array" ref="N9">IF($A9=N$1,0,_xlfn.XLOOKUP($A9&amp;N$1,Flow3!$A:$A&amp;Flow3!$B:$B,Flow3!$D:$D))</f>
        <v>338223.68</v>
      </c>
      <c r="O9" s="21" cm="1">
        <f t="array" ref="O9">IF($A9=O$1,0,_xlfn.XLOOKUP($A9&amp;O$1,Flow3!$A:$A&amp;Flow3!$B:$B,Flow3!$D:$D))</f>
        <v>15206.96</v>
      </c>
      <c r="P9" s="21" cm="1">
        <f t="array" ref="P9">IF($A9=P$1,0,_xlfn.XLOOKUP($A9&amp;P$1,Flow3!$A:$A&amp;Flow3!$B:$B,Flow3!$D:$D))</f>
        <v>148366.79999999999</v>
      </c>
      <c r="Q9" s="21" cm="1">
        <f t="array" ref="Q9">IF($A9=Q$1,0,_xlfn.XLOOKUP($A9&amp;Q$1,Flow3!$A:$A&amp;Flow3!$B:$B,Flow3!$D:$D))</f>
        <v>7271.88</v>
      </c>
      <c r="R9" s="21" cm="1">
        <f t="array" ref="R9">IF($A9=R$1,0,_xlfn.XLOOKUP($A9&amp;R$1,Flow3!$A:$A&amp;Flow3!$B:$B,Flow3!$D:$D))</f>
        <v>37292.879999999997</v>
      </c>
      <c r="S9" s="21" cm="1">
        <f t="array" ref="S9">IF($A9=S$1,0,_xlfn.XLOOKUP($A9&amp;S$1,Flow3!$A:$A&amp;Flow3!$B:$B,Flow3!$D:$D))</f>
        <v>2656.08</v>
      </c>
      <c r="T9" s="21" cm="1">
        <f t="array" ref="T9">IF($A9=T$1,0,_xlfn.XLOOKUP($A9&amp;T$1,Flow3!$A:$A&amp;Flow3!$B:$B,Flow3!$D:$D))</f>
        <v>55832.28</v>
      </c>
      <c r="U9" s="21" cm="1">
        <f t="array" ref="U9">IF($A9=U$1,0,_xlfn.XLOOKUP($A9&amp;U$1,Flow3!$A:$A&amp;Flow3!$B:$B,Flow3!$D:$D))</f>
        <v>35138.120000000003</v>
      </c>
      <c r="V9" s="21" cm="1">
        <f t="array" ref="V9">IF($A9=V$1,0,_xlfn.XLOOKUP($A9&amp;V$1,Flow3!$A:$A&amp;Flow3!$B:$B,Flow3!$D:$D))</f>
        <v>31612.76</v>
      </c>
      <c r="W9" s="21" cm="1">
        <f t="array" ref="W9">IF($A9=W$1,0,_xlfn.XLOOKUP($A9&amp;W$1,Flow3!$A:$A&amp;Flow3!$B:$B,Flow3!$D:$D))</f>
        <v>15897.56</v>
      </c>
      <c r="X9" s="21" cm="1">
        <f t="array" ref="X9">IF($A9=X$1,0,_xlfn.XLOOKUP($A9&amp;X$1,Flow3!$A:$A&amp;Flow3!$B:$B,Flow3!$D:$D))</f>
        <v>1480.64</v>
      </c>
      <c r="Y9" s="21" cm="1">
        <f t="array" ref="Y9">IF($A9=Y$1,0,_xlfn.XLOOKUP($A9&amp;Y$1,Flow3!$A:$A&amp;Flow3!$B:$B,Flow3!$D:$D))</f>
        <v>9535.7999999999993</v>
      </c>
    </row>
    <row r="10" spans="1:25" ht="15.75" thickBot="1" x14ac:dyDescent="0.3">
      <c r="A10" s="3" t="s">
        <v>42</v>
      </c>
      <c r="B10" s="21" cm="1">
        <f t="array" ref="B10">IF($A10=B$1,0,_xlfn.XLOOKUP($A10&amp;B$1,Flow3!$A:$A&amp;Flow3!$B:$B,Flow3!$D:$D))</f>
        <v>535.69360157797007</v>
      </c>
      <c r="C10" s="21" cm="1">
        <f t="array" ref="C10">IF($A10=C$1,0,_xlfn.XLOOKUP($A10&amp;C$1,Flow3!$A:$A&amp;Flow3!$B:$B,Flow3!$D:$D))</f>
        <v>1238.1164885626793</v>
      </c>
      <c r="D10" s="21" cm="1">
        <f t="array" ref="D10">IF($A10=D$1,0,_xlfn.XLOOKUP($A10&amp;D$1,Flow3!$A:$A&amp;Flow3!$B:$B,Flow3!$D:$D))</f>
        <v>540.29912611752286</v>
      </c>
      <c r="E10" s="21" cm="1">
        <f t="array" ref="E10">IF($A10=E$1,0,_xlfn.XLOOKUP($A10&amp;E$1,Flow3!$A:$A&amp;Flow3!$B:$B,Flow3!$D:$D))</f>
        <v>1578.1087461553898</v>
      </c>
      <c r="F10" s="21" cm="1">
        <f t="array" ref="F10">IF($A10=F$1,0,_xlfn.XLOOKUP($A10&amp;F$1,Flow3!$A:$A&amp;Flow3!$B:$B,Flow3!$D:$D))</f>
        <v>310.92227639720437</v>
      </c>
      <c r="G10" s="21" cm="1">
        <f t="array" ref="G10">IF($A10=G$1,0,_xlfn.XLOOKUP($A10&amp;G$1,Flow3!$A:$A&amp;Flow3!$B:$B,Flow3!$D:$D))</f>
        <v>2948.5427851092218</v>
      </c>
      <c r="H10" s="21" cm="1">
        <f t="array" ref="H10">IF($A10=H$1,0,_xlfn.XLOOKUP($A10&amp;H$1,Flow3!$A:$A&amp;Flow3!$B:$B,Flow3!$D:$D))</f>
        <v>663.26969954494643</v>
      </c>
      <c r="I10" s="21" cm="1">
        <f t="array" ref="I10">IF($A10=I$1,0,_xlfn.XLOOKUP($A10&amp;I$1,Flow3!$A:$A&amp;Flow3!$B:$B,Flow3!$D:$D))</f>
        <v>4287.9402086915879</v>
      </c>
      <c r="J10" s="21" cm="1">
        <f t="array" ref="J10">IF($A10=J$1,0,_xlfn.XLOOKUP($A10&amp;J$1,Flow3!$A:$A&amp;Flow3!$B:$B,Flow3!$D:$D))</f>
        <v>0</v>
      </c>
      <c r="K10" s="21" cm="1">
        <f t="array" ref="K10">IF($A10=K$1,0,_xlfn.XLOOKUP($A10&amp;K$1,Flow3!$A:$A&amp;Flow3!$B:$B,Flow3!$D:$D))</f>
        <v>1785.4027461380051</v>
      </c>
      <c r="L10" s="21" cm="1">
        <f t="array" ref="L10">IF($A10=L$1,0,_xlfn.XLOOKUP($A10&amp;L$1,Flow3!$A:$A&amp;Flow3!$B:$B,Flow3!$D:$D))</f>
        <v>2370.0436191512349</v>
      </c>
      <c r="M10" s="21" cm="1">
        <f t="array" ref="M10">IF($A10=M$1,0,_xlfn.XLOOKUP($A10&amp;M$1,Flow3!$A:$A&amp;Flow3!$B:$B,Flow3!$D:$D))</f>
        <v>4931.5024978811971</v>
      </c>
      <c r="N10" s="21" cm="1">
        <f t="array" ref="N10">IF($A10=N$1,0,_xlfn.XLOOKUP($A10&amp;N$1,Flow3!$A:$A&amp;Flow3!$B:$B,Flow3!$D:$D))</f>
        <v>8495.7938594254392</v>
      </c>
      <c r="O10" s="21" cm="1">
        <f t="array" ref="O10">IF($A10=O$1,0,_xlfn.XLOOKUP($A10&amp;O$1,Flow3!$A:$A&amp;Flow3!$B:$B,Flow3!$D:$D))</f>
        <v>505.76722585776355</v>
      </c>
      <c r="P10" s="21" cm="1">
        <f t="array" ref="P10">IF($A10=P$1,0,_xlfn.XLOOKUP($A10&amp;P$1,Flow3!$A:$A&amp;Flow3!$B:$B,Flow3!$D:$D))</f>
        <v>5621.4838993528274</v>
      </c>
      <c r="Q10" s="21" cm="1">
        <f t="array" ref="Q10">IF($A10=Q$1,0,_xlfn.XLOOKUP($A10&amp;Q$1,Flow3!$A:$A&amp;Flow3!$B:$B,Flow3!$D:$D))</f>
        <v>438.31102707267979</v>
      </c>
      <c r="R10" s="21" cm="1">
        <f t="array" ref="R10">IF($A10=R$1,0,_xlfn.XLOOKUP($A10&amp;R$1,Flow3!$A:$A&amp;Flow3!$B:$B,Flow3!$D:$D))</f>
        <v>1682.6539905947448</v>
      </c>
      <c r="S10" s="21" cm="1">
        <f t="array" ref="S10">IF($A10=S$1,0,_xlfn.XLOOKUP($A10&amp;S$1,Flow3!$A:$A&amp;Flow3!$B:$B,Flow3!$D:$D))</f>
        <v>159.52516736616784</v>
      </c>
      <c r="T10" s="21" cm="1">
        <f t="array" ref="T10">IF($A10=T$1,0,_xlfn.XLOOKUP($A10&amp;T$1,Flow3!$A:$A&amp;Flow3!$B:$B,Flow3!$D:$D))</f>
        <v>1251.4815021158884</v>
      </c>
      <c r="U10" s="21" cm="1">
        <f t="array" ref="U10">IF($A10=U$1,0,_xlfn.XLOOKUP($A10&amp;U$1,Flow3!$A:$A&amp;Flow3!$B:$B,Flow3!$D:$D))</f>
        <v>1051.6419358409123</v>
      </c>
      <c r="V10" s="21" cm="1">
        <f t="array" ref="V10">IF($A10=V$1,0,_xlfn.XLOOKUP($A10&amp;V$1,Flow3!$A:$A&amp;Flow3!$B:$B,Flow3!$D:$D))</f>
        <v>906.84472981645604</v>
      </c>
      <c r="W10" s="21" cm="1">
        <f t="array" ref="W10">IF($A10=W$1,0,_xlfn.XLOOKUP($A10&amp;W$1,Flow3!$A:$A&amp;Flow3!$B:$B,Flow3!$D:$D))</f>
        <v>926.69017258888653</v>
      </c>
      <c r="X10" s="21" cm="1">
        <f t="array" ref="X10">IF($A10=X$1,0,_xlfn.XLOOKUP($A10&amp;X$1,Flow3!$A:$A&amp;Flow3!$B:$B,Flow3!$D:$D))</f>
        <v>61.20122740502368</v>
      </c>
      <c r="Y10" s="21" cm="1">
        <f t="array" ref="Y10">IF($A10=Y$1,0,_xlfn.XLOOKUP($A10&amp;Y$1,Flow3!$A:$A&amp;Flow3!$B:$B,Flow3!$D:$D))</f>
        <v>438.79779980673572</v>
      </c>
    </row>
    <row r="11" spans="1:25" ht="15.75" thickBot="1" x14ac:dyDescent="0.3">
      <c r="A11" s="3" t="s">
        <v>43</v>
      </c>
      <c r="B11" s="21" cm="1">
        <f t="array" ref="B11">IF($A11=B$1,0,_xlfn.XLOOKUP($A11&amp;B$1,Flow3!$A:$A&amp;Flow3!$B:$B,Flow3!$D:$D))</f>
        <v>29981.56</v>
      </c>
      <c r="C11" s="21" cm="1">
        <f t="array" ref="C11">IF($A11=C$1,0,_xlfn.XLOOKUP($A11&amp;C$1,Flow3!$A:$A&amp;Flow3!$B:$B,Flow3!$D:$D))</f>
        <v>2231.2205571685176</v>
      </c>
      <c r="D11" s="21" cm="1">
        <f t="array" ref="D11">IF($A11=D$1,0,_xlfn.XLOOKUP($A11&amp;D$1,Flow3!$A:$A&amp;Flow3!$B:$B,Flow3!$D:$D))</f>
        <v>3648.96</v>
      </c>
      <c r="E11" s="21" cm="1">
        <f t="array" ref="E11">IF($A11=E$1,0,_xlfn.XLOOKUP($A11&amp;E$1,Flow3!$A:$A&amp;Flow3!$B:$B,Flow3!$D:$D))</f>
        <v>35048.120000000003</v>
      </c>
      <c r="F11" s="21" cm="1">
        <f t="array" ref="F11">IF($A11=F$1,0,_xlfn.XLOOKUP($A11&amp;F$1,Flow3!$A:$A&amp;Flow3!$B:$B,Flow3!$D:$D))</f>
        <v>4802.16</v>
      </c>
      <c r="G11" s="21" cm="1">
        <f t="array" ref="G11">IF($A11=G$1,0,_xlfn.XLOOKUP($A11&amp;G$1,Flow3!$A:$A&amp;Flow3!$B:$B,Flow3!$D:$D))</f>
        <v>19692.68</v>
      </c>
      <c r="H11" s="21" cm="1">
        <f t="array" ref="H11">IF($A11=H$1,0,_xlfn.XLOOKUP($A11&amp;H$1,Flow3!$A:$A&amp;Flow3!$B:$B,Flow3!$D:$D))</f>
        <v>4405.5200000000004</v>
      </c>
      <c r="I11" s="21" cm="1">
        <f t="array" ref="I11">IF($A11=I$1,0,_xlfn.XLOOKUP($A11&amp;I$1,Flow3!$A:$A&amp;Flow3!$B:$B,Flow3!$D:$D))</f>
        <v>51923.64</v>
      </c>
      <c r="J11" s="21" cm="1">
        <f t="array" ref="J11">IF($A11=J$1,0,_xlfn.XLOOKUP($A11&amp;J$1,Flow3!$A:$A&amp;Flow3!$B:$B,Flow3!$D:$D))</f>
        <v>4601.3794428314832</v>
      </c>
      <c r="K11" s="21" cm="1">
        <f t="array" ref="K11">IF($A11=K$1,0,_xlfn.XLOOKUP($A11&amp;K$1,Flow3!$A:$A&amp;Flow3!$B:$B,Flow3!$D:$D))</f>
        <v>0</v>
      </c>
      <c r="L11" s="21" cm="1">
        <f t="array" ref="L11">IF($A11=L$1,0,_xlfn.XLOOKUP($A11&amp;L$1,Flow3!$A:$A&amp;Flow3!$B:$B,Flow3!$D:$D))</f>
        <v>14925.2</v>
      </c>
      <c r="M11" s="21" cm="1">
        <f t="array" ref="M11">IF($A11=M$1,0,_xlfn.XLOOKUP($A11&amp;M$1,Flow3!$A:$A&amp;Flow3!$B:$B,Flow3!$D:$D))</f>
        <v>35673.360000000001</v>
      </c>
      <c r="N11" s="21" cm="1">
        <f t="array" ref="N11">IF($A11=N$1,0,_xlfn.XLOOKUP($A11&amp;N$1,Flow3!$A:$A&amp;Flow3!$B:$B,Flow3!$D:$D))</f>
        <v>60489.08</v>
      </c>
      <c r="O11" s="21" cm="1">
        <f t="array" ref="O11">IF($A11=O$1,0,_xlfn.XLOOKUP($A11&amp;O$1,Flow3!$A:$A&amp;Flow3!$B:$B,Flow3!$D:$D))</f>
        <v>3696.44</v>
      </c>
      <c r="P11" s="21" cm="1">
        <f t="array" ref="P11">IF($A11=P$1,0,_xlfn.XLOOKUP($A11&amp;P$1,Flow3!$A:$A&amp;Flow3!$B:$B,Flow3!$D:$D))</f>
        <v>38133.800000000003</v>
      </c>
      <c r="Q11" s="21" cm="1">
        <f t="array" ref="Q11">IF($A11=Q$1,0,_xlfn.XLOOKUP($A11&amp;Q$1,Flow3!$A:$A&amp;Flow3!$B:$B,Flow3!$D:$D))</f>
        <v>2095.36</v>
      </c>
      <c r="R11" s="21" cm="1">
        <f t="array" ref="R11">IF($A11=R$1,0,_xlfn.XLOOKUP($A11&amp;R$1,Flow3!$A:$A&amp;Flow3!$B:$B,Flow3!$D:$D))</f>
        <v>10183</v>
      </c>
      <c r="S11" s="21" cm="1">
        <f t="array" ref="S11">IF($A11=S$1,0,_xlfn.XLOOKUP($A11&amp;S$1,Flow3!$A:$A&amp;Flow3!$B:$B,Flow3!$D:$D))</f>
        <v>764.88</v>
      </c>
      <c r="T11" s="21" cm="1">
        <f t="array" ref="T11">IF($A11=T$1,0,_xlfn.XLOOKUP($A11&amp;T$1,Flow3!$A:$A&amp;Flow3!$B:$B,Flow3!$D:$D))</f>
        <v>15236.24</v>
      </c>
      <c r="U11" s="21" cm="1">
        <f t="array" ref="U11">IF($A11=U$1,0,_xlfn.XLOOKUP($A11&amp;U$1,Flow3!$A:$A&amp;Flow3!$B:$B,Flow3!$D:$D))</f>
        <v>7225.24</v>
      </c>
      <c r="V11" s="21" cm="1">
        <f t="array" ref="V11">IF($A11=V$1,0,_xlfn.XLOOKUP($A11&amp;V$1,Flow3!$A:$A&amp;Flow3!$B:$B,Flow3!$D:$D))</f>
        <v>7952.68</v>
      </c>
      <c r="W11" s="21" cm="1">
        <f t="array" ref="W11">IF($A11=W$1,0,_xlfn.XLOOKUP($A11&amp;W$1,Flow3!$A:$A&amp;Flow3!$B:$B,Flow3!$D:$D))</f>
        <v>4707.3999999999996</v>
      </c>
      <c r="X11" s="21" cm="1">
        <f t="array" ref="X11">IF($A11=X$1,0,_xlfn.XLOOKUP($A11&amp;X$1,Flow3!$A:$A&amp;Flow3!$B:$B,Flow3!$D:$D))</f>
        <v>554.6</v>
      </c>
      <c r="Y11" s="21" cm="1">
        <f t="array" ref="Y11">IF($A11=Y$1,0,_xlfn.XLOOKUP($A11&amp;Y$1,Flow3!$A:$A&amp;Flow3!$B:$B,Flow3!$D:$D))</f>
        <v>3892.52</v>
      </c>
    </row>
    <row r="12" spans="1:25" ht="15.75" thickBot="1" x14ac:dyDescent="0.3">
      <c r="A12" s="3" t="s">
        <v>44</v>
      </c>
      <c r="B12" s="21" cm="1">
        <f t="array" ref="B12">IF($A12=B$1,0,_xlfn.XLOOKUP($A12&amp;B$1,Flow3!$A:$A&amp;Flow3!$B:$B,Flow3!$D:$D))</f>
        <v>88.84</v>
      </c>
      <c r="C12" s="21" cm="1">
        <f t="array" ref="C12">IF($A12=C$1,0,_xlfn.XLOOKUP($A12&amp;C$1,Flow3!$A:$A&amp;Flow3!$B:$B,Flow3!$D:$D))</f>
        <v>28.283800852807957</v>
      </c>
      <c r="D12" s="21" cm="1">
        <f t="array" ref="D12">IF($A12=D$1,0,_xlfn.XLOOKUP($A12&amp;D$1,Flow3!$A:$A&amp;Flow3!$B:$B,Flow3!$D:$D))</f>
        <v>115.96</v>
      </c>
      <c r="E12" s="21" cm="1">
        <f t="array" ref="E12">IF($A12=E$1,0,_xlfn.XLOOKUP($A12&amp;E$1,Flow3!$A:$A&amp;Flow3!$B:$B,Flow3!$D:$D))</f>
        <v>306.95999999999998</v>
      </c>
      <c r="F12" s="21" cm="1">
        <f t="array" ref="F12">IF($A12=F$1,0,_xlfn.XLOOKUP($A12&amp;F$1,Flow3!$A:$A&amp;Flow3!$B:$B,Flow3!$D:$D))</f>
        <v>107.6</v>
      </c>
      <c r="G12" s="21" cm="1">
        <f t="array" ref="G12">IF($A12=G$1,0,_xlfn.XLOOKUP($A12&amp;G$1,Flow3!$A:$A&amp;Flow3!$B:$B,Flow3!$D:$D))</f>
        <v>13524.96</v>
      </c>
      <c r="H12" s="21" cm="1">
        <f t="array" ref="H12">IF($A12=H$1,0,_xlfn.XLOOKUP($A12&amp;H$1,Flow3!$A:$A&amp;Flow3!$B:$B,Flow3!$D:$D))</f>
        <v>71.56</v>
      </c>
      <c r="I12" s="21" cm="1">
        <f t="array" ref="I12">IF($A12=I$1,0,_xlfn.XLOOKUP($A12&amp;I$1,Flow3!$A:$A&amp;Flow3!$B:$B,Flow3!$D:$D))</f>
        <v>1615.04</v>
      </c>
      <c r="J12" s="21" cm="1">
        <f t="array" ref="J12">IF($A12=J$1,0,_xlfn.XLOOKUP($A12&amp;J$1,Flow3!$A:$A&amp;Flow3!$B:$B,Flow3!$D:$D))</f>
        <v>94.076199147192042</v>
      </c>
      <c r="K12" s="21" cm="1">
        <f t="array" ref="K12">IF($A12=K$1,0,_xlfn.XLOOKUP($A12&amp;K$1,Flow3!$A:$A&amp;Flow3!$B:$B,Flow3!$D:$D))</f>
        <v>386.16</v>
      </c>
      <c r="L12" s="21" cm="1">
        <f t="array" ref="L12">IF($A12=L$1,0,_xlfn.XLOOKUP($A12&amp;L$1,Flow3!$A:$A&amp;Flow3!$B:$B,Flow3!$D:$D))</f>
        <v>0</v>
      </c>
      <c r="M12" s="21" cm="1">
        <f t="array" ref="M12">IF($A12=M$1,0,_xlfn.XLOOKUP($A12&amp;M$1,Flow3!$A:$A&amp;Flow3!$B:$B,Flow3!$D:$D))</f>
        <v>2996.76</v>
      </c>
      <c r="N12" s="21" cm="1">
        <f t="array" ref="N12">IF($A12=N$1,0,_xlfn.XLOOKUP($A12&amp;N$1,Flow3!$A:$A&amp;Flow3!$B:$B,Flow3!$D:$D))</f>
        <v>28482.32</v>
      </c>
      <c r="O12" s="21" cm="1">
        <f t="array" ref="O12">IF($A12=O$1,0,_xlfn.XLOOKUP($A12&amp;O$1,Flow3!$A:$A&amp;Flow3!$B:$B,Flow3!$D:$D))</f>
        <v>268.32</v>
      </c>
      <c r="P12" s="21" cm="1">
        <f t="array" ref="P12">IF($A12=P$1,0,_xlfn.XLOOKUP($A12&amp;P$1,Flow3!$A:$A&amp;Flow3!$B:$B,Flow3!$D:$D))</f>
        <v>2981.92</v>
      </c>
      <c r="Q12" s="21" cm="1">
        <f t="array" ref="Q12">IF($A12=Q$1,0,_xlfn.XLOOKUP($A12&amp;Q$1,Flow3!$A:$A&amp;Flow3!$B:$B,Flow3!$D:$D))</f>
        <v>32.840000000000003</v>
      </c>
      <c r="R12" s="21" cm="1">
        <f t="array" ref="R12">IF($A12=R$1,0,_xlfn.XLOOKUP($A12&amp;R$1,Flow3!$A:$A&amp;Flow3!$B:$B,Flow3!$D:$D))</f>
        <v>187.32</v>
      </c>
      <c r="S12" s="21" cm="1">
        <f t="array" ref="S12">IF($A12=S$1,0,_xlfn.XLOOKUP($A12&amp;S$1,Flow3!$A:$A&amp;Flow3!$B:$B,Flow3!$D:$D))</f>
        <v>8.24</v>
      </c>
      <c r="T12" s="21" cm="1">
        <f t="array" ref="T12">IF($A12=T$1,0,_xlfn.XLOOKUP($A12&amp;T$1,Flow3!$A:$A&amp;Flow3!$B:$B,Flow3!$D:$D))</f>
        <v>429.64</v>
      </c>
      <c r="U12" s="21" cm="1">
        <f t="array" ref="U12">IF($A12=U$1,0,_xlfn.XLOOKUP($A12&amp;U$1,Flow3!$A:$A&amp;Flow3!$B:$B,Flow3!$D:$D))</f>
        <v>166.64</v>
      </c>
      <c r="V12" s="21" cm="1">
        <f t="array" ref="V12">IF($A12=V$1,0,_xlfn.XLOOKUP($A12&amp;V$1,Flow3!$A:$A&amp;Flow3!$B:$B,Flow3!$D:$D))</f>
        <v>130.72</v>
      </c>
      <c r="W12" s="21" cm="1">
        <f t="array" ref="W12">IF($A12=W$1,0,_xlfn.XLOOKUP($A12&amp;W$1,Flow3!$A:$A&amp;Flow3!$B:$B,Flow3!$D:$D))</f>
        <v>62.52</v>
      </c>
      <c r="X12" s="21" cm="1">
        <f t="array" ref="X12">IF($A12=X$1,0,_xlfn.XLOOKUP($A12&amp;X$1,Flow3!$A:$A&amp;Flow3!$B:$B,Flow3!$D:$D))</f>
        <v>11.32</v>
      </c>
      <c r="Y12" s="21" cm="1">
        <f t="array" ref="Y12">IF($A12=Y$1,0,_xlfn.XLOOKUP($A12&amp;Y$1,Flow3!$A:$A&amp;Flow3!$B:$B,Flow3!$D:$D))</f>
        <v>56.96</v>
      </c>
    </row>
    <row r="13" spans="1:25" ht="15.75" thickBot="1" x14ac:dyDescent="0.3">
      <c r="A13" s="3" t="s">
        <v>45</v>
      </c>
      <c r="B13" s="21" cm="1">
        <f t="array" ref="B13">IF($A13=B$1,0,_xlfn.XLOOKUP($A13&amp;B$1,Flow3!$A:$A&amp;Flow3!$B:$B,Flow3!$D:$D))</f>
        <v>5994.64</v>
      </c>
      <c r="C13" s="21" cm="1">
        <f t="array" ref="C13">IF($A13=C$1,0,_xlfn.XLOOKUP($A13&amp;C$1,Flow3!$A:$A&amp;Flow3!$B:$B,Flow3!$D:$D))</f>
        <v>3387.3213229984544</v>
      </c>
      <c r="D13" s="21" cm="1">
        <f t="array" ref="D13">IF($A13=D$1,0,_xlfn.XLOOKUP($A13&amp;D$1,Flow3!$A:$A&amp;Flow3!$B:$B,Flow3!$D:$D))</f>
        <v>11123.24</v>
      </c>
      <c r="E13" s="21" cm="1">
        <f t="array" ref="E13">IF($A13=E$1,0,_xlfn.XLOOKUP($A13&amp;E$1,Flow3!$A:$A&amp;Flow3!$B:$B,Flow3!$D:$D))</f>
        <v>14405.24</v>
      </c>
      <c r="F13" s="21" cm="1">
        <f t="array" ref="F13">IF($A13=F$1,0,_xlfn.XLOOKUP($A13&amp;F$1,Flow3!$A:$A&amp;Flow3!$B:$B,Flow3!$D:$D))</f>
        <v>3505.04</v>
      </c>
      <c r="G13" s="21" cm="1">
        <f t="array" ref="G13">IF($A13=G$1,0,_xlfn.XLOOKUP($A13&amp;G$1,Flow3!$A:$A&amp;Flow3!$B:$B,Flow3!$D:$D))</f>
        <v>76200.84</v>
      </c>
      <c r="H13" s="21" cm="1">
        <f t="array" ref="H13">IF($A13=H$1,0,_xlfn.XLOOKUP($A13&amp;H$1,Flow3!$A:$A&amp;Flow3!$B:$B,Flow3!$D:$D))</f>
        <v>10956.2</v>
      </c>
      <c r="I13" s="21" cm="1">
        <f t="array" ref="I13">IF($A13=I$1,0,_xlfn.XLOOKUP($A13&amp;I$1,Flow3!$A:$A&amp;Flow3!$B:$B,Flow3!$D:$D))</f>
        <v>38856.720000000001</v>
      </c>
      <c r="J13" s="21" cm="1">
        <f t="array" ref="J13">IF($A13=J$1,0,_xlfn.XLOOKUP($A13&amp;J$1,Flow3!$A:$A&amp;Flow3!$B:$B,Flow3!$D:$D))</f>
        <v>5920.9986770015466</v>
      </c>
      <c r="K13" s="21" cm="1">
        <f t="array" ref="K13">IF($A13=K$1,0,_xlfn.XLOOKUP($A13&amp;K$1,Flow3!$A:$A&amp;Flow3!$B:$B,Flow3!$D:$D))</f>
        <v>16808.52</v>
      </c>
      <c r="L13" s="21" cm="1">
        <f t="array" ref="L13">IF($A13=L$1,0,_xlfn.XLOOKUP($A13&amp;L$1,Flow3!$A:$A&amp;Flow3!$B:$B,Flow3!$D:$D))</f>
        <v>69017.36</v>
      </c>
      <c r="M13" s="21" cm="1">
        <f t="array" ref="M13">IF($A13=M$1,0,_xlfn.XLOOKUP($A13&amp;M$1,Flow3!$A:$A&amp;Flow3!$B:$B,Flow3!$D:$D))</f>
        <v>0</v>
      </c>
      <c r="N13" s="21" cm="1">
        <f t="array" ref="N13">IF($A13=N$1,0,_xlfn.XLOOKUP($A13&amp;N$1,Flow3!$A:$A&amp;Flow3!$B:$B,Flow3!$D:$D))</f>
        <v>293043.84000000003</v>
      </c>
      <c r="O13" s="21" cm="1">
        <f t="array" ref="O13">IF($A13=O$1,0,_xlfn.XLOOKUP($A13&amp;O$1,Flow3!$A:$A&amp;Flow3!$B:$B,Flow3!$D:$D))</f>
        <v>53810.879999999997</v>
      </c>
      <c r="P13" s="21" cm="1">
        <f t="array" ref="P13">IF($A13=P$1,0,_xlfn.XLOOKUP($A13&amp;P$1,Flow3!$A:$A&amp;Flow3!$B:$B,Flow3!$D:$D))</f>
        <v>310609</v>
      </c>
      <c r="Q13" s="21" cm="1">
        <f t="array" ref="Q13">IF($A13=Q$1,0,_xlfn.XLOOKUP($A13&amp;Q$1,Flow3!$A:$A&amp;Flow3!$B:$B,Flow3!$D:$D))</f>
        <v>3702.4</v>
      </c>
      <c r="R13" s="21" cm="1">
        <f t="array" ref="R13">IF($A13=R$1,0,_xlfn.XLOOKUP($A13&amp;R$1,Flow3!$A:$A&amp;Flow3!$B:$B,Flow3!$D:$D))</f>
        <v>16346.12</v>
      </c>
      <c r="S13" s="21" cm="1">
        <f t="array" ref="S13">IF($A13=S$1,0,_xlfn.XLOOKUP($A13&amp;S$1,Flow3!$A:$A&amp;Flow3!$B:$B,Flow3!$D:$D))</f>
        <v>1206.8</v>
      </c>
      <c r="T13" s="21" cm="1">
        <f t="array" ref="T13">IF($A13=T$1,0,_xlfn.XLOOKUP($A13&amp;T$1,Flow3!$A:$A&amp;Flow3!$B:$B,Flow3!$D:$D))</f>
        <v>14522.96</v>
      </c>
      <c r="U13" s="21" cm="1">
        <f t="array" ref="U13">IF($A13=U$1,0,_xlfn.XLOOKUP($A13&amp;U$1,Flow3!$A:$A&amp;Flow3!$B:$B,Flow3!$D:$D))</f>
        <v>17204.88</v>
      </c>
      <c r="V13" s="21" cm="1">
        <f t="array" ref="V13">IF($A13=V$1,0,_xlfn.XLOOKUP($A13&amp;V$1,Flow3!$A:$A&amp;Flow3!$B:$B,Flow3!$D:$D))</f>
        <v>11467.4</v>
      </c>
      <c r="W13" s="21" cm="1">
        <f t="array" ref="W13">IF($A13=W$1,0,_xlfn.XLOOKUP($A13&amp;W$1,Flow3!$A:$A&amp;Flow3!$B:$B,Flow3!$D:$D))</f>
        <v>9925.2800000000007</v>
      </c>
      <c r="X13" s="21" cm="1">
        <f t="array" ref="X13">IF($A13=X$1,0,_xlfn.XLOOKUP($A13&amp;X$1,Flow3!$A:$A&amp;Flow3!$B:$B,Flow3!$D:$D))</f>
        <v>804.68</v>
      </c>
      <c r="Y13" s="21" cm="1">
        <f t="array" ref="Y13">IF($A13=Y$1,0,_xlfn.XLOOKUP($A13&amp;Y$1,Flow3!$A:$A&amp;Flow3!$B:$B,Flow3!$D:$D))</f>
        <v>7045.12</v>
      </c>
    </row>
    <row r="14" spans="1:25" ht="15.75" thickBot="1" x14ac:dyDescent="0.3">
      <c r="A14" s="3" t="s">
        <v>46</v>
      </c>
      <c r="B14" s="21" cm="1">
        <f t="array" ref="B14">IF($A14=B$1,0,_xlfn.XLOOKUP($A14&amp;B$1,Flow3!$A:$A&amp;Flow3!$B:$B,Flow3!$D:$D))</f>
        <v>16171.76</v>
      </c>
      <c r="C14" s="21" cm="1">
        <f t="array" ref="C14">IF($A14=C$1,0,_xlfn.XLOOKUP($A14&amp;C$1,Flow3!$A:$A&amp;Flow3!$B:$B,Flow3!$D:$D))</f>
        <v>7347.3107538176646</v>
      </c>
      <c r="D14" s="21" cm="1">
        <f t="array" ref="D14">IF($A14=D$1,0,_xlfn.XLOOKUP($A14&amp;D$1,Flow3!$A:$A&amp;Flow3!$B:$B,Flow3!$D:$D))</f>
        <v>9179.44</v>
      </c>
      <c r="E14" s="21" cm="1">
        <f t="array" ref="E14">IF($A14=E$1,0,_xlfn.XLOOKUP($A14&amp;E$1,Flow3!$A:$A&amp;Flow3!$B:$B,Flow3!$D:$D))</f>
        <v>19515.52</v>
      </c>
      <c r="F14" s="21" cm="1">
        <f t="array" ref="F14">IF($A14=F$1,0,_xlfn.XLOOKUP($A14&amp;F$1,Flow3!$A:$A&amp;Flow3!$B:$B,Flow3!$D:$D))</f>
        <v>5684.68</v>
      </c>
      <c r="G14" s="21" cm="1">
        <f t="array" ref="G14">IF($A14=G$1,0,_xlfn.XLOOKUP($A14&amp;G$1,Flow3!$A:$A&amp;Flow3!$B:$B,Flow3!$D:$D))</f>
        <v>164135</v>
      </c>
      <c r="H14" s="21" cm="1">
        <f t="array" ref="H14">IF($A14=H$1,0,_xlfn.XLOOKUP($A14&amp;H$1,Flow3!$A:$A&amp;Flow3!$B:$B,Flow3!$D:$D))</f>
        <v>10064.280000000001</v>
      </c>
      <c r="I14" s="21" cm="1">
        <f t="array" ref="I14">IF($A14=I$1,0,_xlfn.XLOOKUP($A14&amp;I$1,Flow3!$A:$A&amp;Flow3!$B:$B,Flow3!$D:$D))</f>
        <v>78887.08</v>
      </c>
      <c r="J14" s="21" cm="1">
        <f t="array" ref="J14">IF($A14=J$1,0,_xlfn.XLOOKUP($A14&amp;J$1,Flow3!$A:$A&amp;Flow3!$B:$B,Flow3!$D:$D))</f>
        <v>10887.769246182337</v>
      </c>
      <c r="K14" s="21" cm="1">
        <f t="array" ref="K14">IF($A14=K$1,0,_xlfn.XLOOKUP($A14&amp;K$1,Flow3!$A:$A&amp;Flow3!$B:$B,Flow3!$D:$D))</f>
        <v>24899.200000000001</v>
      </c>
      <c r="L14" s="21" cm="1">
        <f t="array" ref="L14">IF($A14=L$1,0,_xlfn.XLOOKUP($A14&amp;L$1,Flow3!$A:$A&amp;Flow3!$B:$B,Flow3!$D:$D))</f>
        <v>186052.72</v>
      </c>
      <c r="M14" s="21" cm="1">
        <f t="array" ref="M14">IF($A14=M$1,0,_xlfn.XLOOKUP($A14&amp;M$1,Flow3!$A:$A&amp;Flow3!$B:$B,Flow3!$D:$D))</f>
        <v>240386.64</v>
      </c>
      <c r="N14" s="21" cm="1">
        <f t="array" ref="N14">IF($A14=N$1,0,_xlfn.XLOOKUP($A14&amp;N$1,Flow3!$A:$A&amp;Flow3!$B:$B,Flow3!$D:$D))</f>
        <v>0</v>
      </c>
      <c r="O14" s="21" cm="1">
        <f t="array" ref="O14">IF($A14=O$1,0,_xlfn.XLOOKUP($A14&amp;O$1,Flow3!$A:$A&amp;Flow3!$B:$B,Flow3!$D:$D))</f>
        <v>19966.8</v>
      </c>
      <c r="P14" s="21" cm="1">
        <f t="array" ref="P14">IF($A14=P$1,0,_xlfn.XLOOKUP($A14&amp;P$1,Flow3!$A:$A&amp;Flow3!$B:$B,Flow3!$D:$D))</f>
        <v>135121.51999999999</v>
      </c>
      <c r="Q14" s="21" cm="1">
        <f t="array" ref="Q14">IF($A14=Q$1,0,_xlfn.XLOOKUP($A14&amp;Q$1,Flow3!$A:$A&amp;Flow3!$B:$B,Flow3!$D:$D))</f>
        <v>6717.28</v>
      </c>
      <c r="R14" s="21" cm="1">
        <f t="array" ref="R14">IF($A14=R$1,0,_xlfn.XLOOKUP($A14&amp;R$1,Flow3!$A:$A&amp;Flow3!$B:$B,Flow3!$D:$D))</f>
        <v>25816.32</v>
      </c>
      <c r="S14" s="21" cm="1">
        <f t="array" ref="S14">IF($A14=S$1,0,_xlfn.XLOOKUP($A14&amp;S$1,Flow3!$A:$A&amp;Flow3!$B:$B,Flow3!$D:$D))</f>
        <v>1532.28</v>
      </c>
      <c r="T14" s="21" cm="1">
        <f t="array" ref="T14">IF($A14=T$1,0,_xlfn.XLOOKUP($A14&amp;T$1,Flow3!$A:$A&amp;Flow3!$B:$B,Flow3!$D:$D))</f>
        <v>17676.28</v>
      </c>
      <c r="U14" s="21" cm="1">
        <f t="array" ref="U14">IF($A14=U$1,0,_xlfn.XLOOKUP($A14&amp;U$1,Flow3!$A:$A&amp;Flow3!$B:$B,Flow3!$D:$D))</f>
        <v>18287.400000000001</v>
      </c>
      <c r="V14" s="21" cm="1">
        <f t="array" ref="V14">IF($A14=V$1,0,_xlfn.XLOOKUP($A14&amp;V$1,Flow3!$A:$A&amp;Flow3!$B:$B,Flow3!$D:$D))</f>
        <v>14622.72</v>
      </c>
      <c r="W14" s="21" cm="1">
        <f t="array" ref="W14">IF($A14=W$1,0,_xlfn.XLOOKUP($A14&amp;W$1,Flow3!$A:$A&amp;Flow3!$B:$B,Flow3!$D:$D))</f>
        <v>10137.719999999999</v>
      </c>
      <c r="X14" s="21" cm="1">
        <f t="array" ref="X14">IF($A14=X$1,0,_xlfn.XLOOKUP($A14&amp;X$1,Flow3!$A:$A&amp;Flow3!$B:$B,Flow3!$D:$D))</f>
        <v>832.2</v>
      </c>
      <c r="Y14" s="21" cm="1">
        <f t="array" ref="Y14">IF($A14=Y$1,0,_xlfn.XLOOKUP($A14&amp;Y$1,Flow3!$A:$A&amp;Flow3!$B:$B,Flow3!$D:$D))</f>
        <v>5902.2</v>
      </c>
    </row>
    <row r="15" spans="1:25" ht="15.75" thickBot="1" x14ac:dyDescent="0.3">
      <c r="A15" s="3" t="s">
        <v>47</v>
      </c>
      <c r="B15" s="21" cm="1">
        <f t="array" ref="B15">IF($A15=B$1,0,_xlfn.XLOOKUP($A15&amp;B$1,Flow3!$A:$A&amp;Flow3!$B:$B,Flow3!$D:$D))</f>
        <v>205.36</v>
      </c>
      <c r="C15" s="21" cm="1">
        <f t="array" ref="C15">IF($A15=C$1,0,_xlfn.XLOOKUP($A15&amp;C$1,Flow3!$A:$A&amp;Flow3!$B:$B,Flow3!$D:$D))</f>
        <v>104.25489884671453</v>
      </c>
      <c r="D15" s="21" cm="1">
        <f t="array" ref="D15">IF($A15=D$1,0,_xlfn.XLOOKUP($A15&amp;D$1,Flow3!$A:$A&amp;Flow3!$B:$B,Flow3!$D:$D))</f>
        <v>417.96</v>
      </c>
      <c r="E15" s="21" cm="1">
        <f t="array" ref="E15">IF($A15=E$1,0,_xlfn.XLOOKUP($A15&amp;E$1,Flow3!$A:$A&amp;Flow3!$B:$B,Flow3!$D:$D))</f>
        <v>656.48</v>
      </c>
      <c r="F15" s="21" cm="1">
        <f t="array" ref="F15">IF($A15=F$1,0,_xlfn.XLOOKUP($A15&amp;F$1,Flow3!$A:$A&amp;Flow3!$B:$B,Flow3!$D:$D))</f>
        <v>107.52</v>
      </c>
      <c r="G15" s="21" cm="1">
        <f t="array" ref="G15">IF($A15=G$1,0,_xlfn.XLOOKUP($A15&amp;G$1,Flow3!$A:$A&amp;Flow3!$B:$B,Flow3!$D:$D))</f>
        <v>4010.4</v>
      </c>
      <c r="H15" s="21" cm="1">
        <f t="array" ref="H15">IF($A15=H$1,0,_xlfn.XLOOKUP($A15&amp;H$1,Flow3!$A:$A&amp;Flow3!$B:$B,Flow3!$D:$D))</f>
        <v>414.96</v>
      </c>
      <c r="I15" s="21" cm="1">
        <f t="array" ref="I15">IF($A15=I$1,0,_xlfn.XLOOKUP($A15&amp;I$1,Flow3!$A:$A&amp;Flow3!$B:$B,Flow3!$D:$D))</f>
        <v>1246.24</v>
      </c>
      <c r="J15" s="21" cm="1">
        <f t="array" ref="J15">IF($A15=J$1,0,_xlfn.XLOOKUP($A15&amp;J$1,Flow3!$A:$A&amp;Flow3!$B:$B,Flow3!$D:$D))</f>
        <v>205.7451011532855</v>
      </c>
      <c r="K15" s="21" cm="1">
        <f t="array" ref="K15">IF($A15=K$1,0,_xlfn.XLOOKUP($A15&amp;K$1,Flow3!$A:$A&amp;Flow3!$B:$B,Flow3!$D:$D))</f>
        <v>524.32000000000005</v>
      </c>
      <c r="L15" s="21" cm="1">
        <f t="array" ref="L15">IF($A15=L$1,0,_xlfn.XLOOKUP($A15&amp;L$1,Flow3!$A:$A&amp;Flow3!$B:$B,Flow3!$D:$D))</f>
        <v>3957.64</v>
      </c>
      <c r="M15" s="21" cm="1">
        <f t="array" ref="M15">IF($A15=M$1,0,_xlfn.XLOOKUP($A15&amp;M$1,Flow3!$A:$A&amp;Flow3!$B:$B,Flow3!$D:$D))</f>
        <v>19282.36</v>
      </c>
      <c r="N15" s="21" cm="1">
        <f t="array" ref="N15">IF($A15=N$1,0,_xlfn.XLOOKUP($A15&amp;N$1,Flow3!$A:$A&amp;Flow3!$B:$B,Flow3!$D:$D))</f>
        <v>11990.2</v>
      </c>
      <c r="O15" s="21" cm="1">
        <f t="array" ref="O15">IF($A15=O$1,0,_xlfn.XLOOKUP($A15&amp;O$1,Flow3!$A:$A&amp;Flow3!$B:$B,Flow3!$D:$D))</f>
        <v>0</v>
      </c>
      <c r="P15" s="21" cm="1">
        <f t="array" ref="P15">IF($A15=P$1,0,_xlfn.XLOOKUP($A15&amp;P$1,Flow3!$A:$A&amp;Flow3!$B:$B,Flow3!$D:$D))</f>
        <v>16447.84</v>
      </c>
      <c r="Q15" s="21" cm="1">
        <f t="array" ref="Q15">IF($A15=Q$1,0,_xlfn.XLOOKUP($A15&amp;Q$1,Flow3!$A:$A&amp;Flow3!$B:$B,Flow3!$D:$D))</f>
        <v>122.76</v>
      </c>
      <c r="R15" s="21" cm="1">
        <f t="array" ref="R15">IF($A15=R$1,0,_xlfn.XLOOKUP($A15&amp;R$1,Flow3!$A:$A&amp;Flow3!$B:$B,Flow3!$D:$D))</f>
        <v>580.12</v>
      </c>
      <c r="S15" s="21" cm="1">
        <f t="array" ref="S15">IF($A15=S$1,0,_xlfn.XLOOKUP($A15&amp;S$1,Flow3!$A:$A&amp;Flow3!$B:$B,Flow3!$D:$D))</f>
        <v>37.76</v>
      </c>
      <c r="T15" s="21" cm="1">
        <f t="array" ref="T15">IF($A15=T$1,0,_xlfn.XLOOKUP($A15&amp;T$1,Flow3!$A:$A&amp;Flow3!$B:$B,Flow3!$D:$D))</f>
        <v>844.28</v>
      </c>
      <c r="U15" s="21" cm="1">
        <f t="array" ref="U15">IF($A15=U$1,0,_xlfn.XLOOKUP($A15&amp;U$1,Flow3!$A:$A&amp;Flow3!$B:$B,Flow3!$D:$D))</f>
        <v>532.76</v>
      </c>
      <c r="V15" s="21" cm="1">
        <f t="array" ref="V15">IF($A15=V$1,0,_xlfn.XLOOKUP($A15&amp;V$1,Flow3!$A:$A&amp;Flow3!$B:$B,Flow3!$D:$D))</f>
        <v>342.88</v>
      </c>
      <c r="W15" s="21" cm="1">
        <f t="array" ref="W15">IF($A15=W$1,0,_xlfn.XLOOKUP($A15&amp;W$1,Flow3!$A:$A&amp;Flow3!$B:$B,Flow3!$D:$D))</f>
        <v>322.04000000000002</v>
      </c>
      <c r="X15" s="21" cm="1">
        <f t="array" ref="X15">IF($A15=X$1,0,_xlfn.XLOOKUP($A15&amp;X$1,Flow3!$A:$A&amp;Flow3!$B:$B,Flow3!$D:$D))</f>
        <v>23.48</v>
      </c>
      <c r="Y15" s="21" cm="1">
        <f t="array" ref="Y15">IF($A15=Y$1,0,_xlfn.XLOOKUP($A15&amp;Y$1,Flow3!$A:$A&amp;Flow3!$B:$B,Flow3!$D:$D))</f>
        <v>209.68</v>
      </c>
    </row>
    <row r="16" spans="1:25" ht="15.75" thickBot="1" x14ac:dyDescent="0.3">
      <c r="A16" s="3" t="s">
        <v>48</v>
      </c>
      <c r="B16" s="21" cm="1">
        <f t="array" ref="B16">IF($A16=B$1,0,_xlfn.XLOOKUP($A16&amp;B$1,Flow3!$A:$A&amp;Flow3!$B:$B,Flow3!$D:$D))</f>
        <v>9800.36</v>
      </c>
      <c r="C16" s="21" cm="1">
        <f t="array" ref="C16">IF($A16=C$1,0,_xlfn.XLOOKUP($A16&amp;C$1,Flow3!$A:$A&amp;Flow3!$B:$B,Flow3!$D:$D))</f>
        <v>6852.5129114617957</v>
      </c>
      <c r="D16" s="21" cm="1">
        <f t="array" ref="D16">IF($A16=D$1,0,_xlfn.XLOOKUP($A16&amp;D$1,Flow3!$A:$A&amp;Flow3!$B:$B,Flow3!$D:$D))</f>
        <v>48956.12</v>
      </c>
      <c r="E16" s="21" cm="1">
        <f t="array" ref="E16">IF($A16=E$1,0,_xlfn.XLOOKUP($A16&amp;E$1,Flow3!$A:$A&amp;Flow3!$B:$B,Flow3!$D:$D))</f>
        <v>21848.44</v>
      </c>
      <c r="F16" s="21" cm="1">
        <f t="array" ref="F16">IF($A16=F$1,0,_xlfn.XLOOKUP($A16&amp;F$1,Flow3!$A:$A&amp;Flow3!$B:$B,Flow3!$D:$D))</f>
        <v>5298.44</v>
      </c>
      <c r="G16" s="21" cm="1">
        <f t="array" ref="G16">IF($A16=G$1,0,_xlfn.XLOOKUP($A16&amp;G$1,Flow3!$A:$A&amp;Flow3!$B:$B,Flow3!$D:$D))</f>
        <v>65917.279999999999</v>
      </c>
      <c r="H16" s="21" cm="1">
        <f t="array" ref="H16">IF($A16=H$1,0,_xlfn.XLOOKUP($A16&amp;H$1,Flow3!$A:$A&amp;Flow3!$B:$B,Flow3!$D:$D))</f>
        <v>34038.879999999997</v>
      </c>
      <c r="I16" s="21" cm="1">
        <f t="array" ref="I16">IF($A16=I$1,0,_xlfn.XLOOKUP($A16&amp;I$1,Flow3!$A:$A&amp;Flow3!$B:$B,Flow3!$D:$D))</f>
        <v>60157.52</v>
      </c>
      <c r="J16" s="21" cm="1">
        <f t="array" ref="J16">IF($A16=J$1,0,_xlfn.XLOOKUP($A16&amp;J$1,Flow3!$A:$A&amp;Flow3!$B:$B,Flow3!$D:$D))</f>
        <v>8939.9670885382056</v>
      </c>
      <c r="K16" s="21" cm="1">
        <f t="array" ref="K16">IF($A16=K$1,0,_xlfn.XLOOKUP($A16&amp;K$1,Flow3!$A:$A&amp;Flow3!$B:$B,Flow3!$D:$D))</f>
        <v>27990.880000000001</v>
      </c>
      <c r="L16" s="21" cm="1">
        <f t="array" ref="L16">IF($A16=L$1,0,_xlfn.XLOOKUP($A16&amp;L$1,Flow3!$A:$A&amp;Flow3!$B:$B,Flow3!$D:$D))</f>
        <v>56240.24</v>
      </c>
      <c r="M16" s="21" cm="1">
        <f t="array" ref="M16">IF($A16=M$1,0,_xlfn.XLOOKUP($A16&amp;M$1,Flow3!$A:$A&amp;Flow3!$B:$B,Flow3!$D:$D))</f>
        <v>338656.28</v>
      </c>
      <c r="N16" s="21" cm="1">
        <f t="array" ref="N16">IF($A16=N$1,0,_xlfn.XLOOKUP($A16&amp;N$1,Flow3!$A:$A&amp;Flow3!$B:$B,Flow3!$D:$D))</f>
        <v>234673.36</v>
      </c>
      <c r="O16" s="21" cm="1">
        <f t="array" ref="O16">IF($A16=O$1,0,_xlfn.XLOOKUP($A16&amp;O$1,Flow3!$A:$A&amp;Flow3!$B:$B,Flow3!$D:$D))</f>
        <v>38011.760000000002</v>
      </c>
      <c r="P16" s="21" cm="1">
        <f t="array" ref="P16">IF($A16=P$1,0,_xlfn.XLOOKUP($A16&amp;P$1,Flow3!$A:$A&amp;Flow3!$B:$B,Flow3!$D:$D))</f>
        <v>0</v>
      </c>
      <c r="Q16" s="21" cm="1">
        <f t="array" ref="Q16">IF($A16=Q$1,0,_xlfn.XLOOKUP($A16&amp;Q$1,Flow3!$A:$A&amp;Flow3!$B:$B,Flow3!$D:$D))</f>
        <v>8529.2800000000007</v>
      </c>
      <c r="R16" s="21" cm="1">
        <f t="array" ref="R16">IF($A16=R$1,0,_xlfn.XLOOKUP($A16&amp;R$1,Flow3!$A:$A&amp;Flow3!$B:$B,Flow3!$D:$D))</f>
        <v>38891.32</v>
      </c>
      <c r="S16" s="21" cm="1">
        <f t="array" ref="S16">IF($A16=S$1,0,_xlfn.XLOOKUP($A16&amp;S$1,Flow3!$A:$A&amp;Flow3!$B:$B,Flow3!$D:$D))</f>
        <v>2629.56</v>
      </c>
      <c r="T16" s="21" cm="1">
        <f t="array" ref="T16">IF($A16=T$1,0,_xlfn.XLOOKUP($A16&amp;T$1,Flow3!$A:$A&amp;Flow3!$B:$B,Flow3!$D:$D))</f>
        <v>62735.56</v>
      </c>
      <c r="U16" s="21" cm="1">
        <f t="array" ref="U16">IF($A16=U$1,0,_xlfn.XLOOKUP($A16&amp;U$1,Flow3!$A:$A&amp;Flow3!$B:$B,Flow3!$D:$D))</f>
        <v>37672.04</v>
      </c>
      <c r="V16" s="21" cm="1">
        <f t="array" ref="V16">IF($A16=V$1,0,_xlfn.XLOOKUP($A16&amp;V$1,Flow3!$A:$A&amp;Flow3!$B:$B,Flow3!$D:$D))</f>
        <v>19963.080000000002</v>
      </c>
      <c r="W16" s="21" cm="1">
        <f t="array" ref="W16">IF($A16=W$1,0,_xlfn.XLOOKUP($A16&amp;W$1,Flow3!$A:$A&amp;Flow3!$B:$B,Flow3!$D:$D))</f>
        <v>21429.119999999999</v>
      </c>
      <c r="X16" s="21" cm="1">
        <f t="array" ref="X16">IF($A16=X$1,0,_xlfn.XLOOKUP($A16&amp;X$1,Flow3!$A:$A&amp;Flow3!$B:$B,Flow3!$D:$D))</f>
        <v>1457.88</v>
      </c>
      <c r="Y16" s="21" cm="1">
        <f t="array" ref="Y16">IF($A16=Y$1,0,_xlfn.XLOOKUP($A16&amp;Y$1,Flow3!$A:$A&amp;Flow3!$B:$B,Flow3!$D:$D))</f>
        <v>11890.32</v>
      </c>
    </row>
    <row r="17" spans="1:25" ht="15.75" thickBot="1" x14ac:dyDescent="0.3">
      <c r="A17" s="3" t="s">
        <v>49</v>
      </c>
      <c r="B17" s="21" cm="1">
        <f t="array" ref="B17">IF($A17=B$1,0,_xlfn.XLOOKUP($A17&amp;B$1,Flow3!$A:$A&amp;Flow3!$B:$B,Flow3!$D:$D))</f>
        <v>1396.36</v>
      </c>
      <c r="C17" s="21" cm="1">
        <f t="array" ref="C17">IF($A17=C$1,0,_xlfn.XLOOKUP($A17&amp;C$1,Flow3!$A:$A&amp;Flow3!$B:$B,Flow3!$D:$D))</f>
        <v>2918.0512842012035</v>
      </c>
      <c r="D17" s="21" cm="1">
        <f t="array" ref="D17">IF($A17=D$1,0,_xlfn.XLOOKUP($A17&amp;D$1,Flow3!$A:$A&amp;Flow3!$B:$B,Flow3!$D:$D))</f>
        <v>2785.32</v>
      </c>
      <c r="E17" s="21" cm="1">
        <f t="array" ref="E17">IF($A17=E$1,0,_xlfn.XLOOKUP($A17&amp;E$1,Flow3!$A:$A&amp;Flow3!$B:$B,Flow3!$D:$D))</f>
        <v>3971.08</v>
      </c>
      <c r="F17" s="21" cm="1">
        <f t="array" ref="F17">IF($A17=F$1,0,_xlfn.XLOOKUP($A17&amp;F$1,Flow3!$A:$A&amp;Flow3!$B:$B,Flow3!$D:$D))</f>
        <v>568.55999999999995</v>
      </c>
      <c r="G17" s="21" cm="1">
        <f t="array" ref="G17">IF($A17=G$1,0,_xlfn.XLOOKUP($A17&amp;G$1,Flow3!$A:$A&amp;Flow3!$B:$B,Flow3!$D:$D))</f>
        <v>5332.24</v>
      </c>
      <c r="H17" s="21" cm="1">
        <f t="array" ref="H17">IF($A17=H$1,0,_xlfn.XLOOKUP($A17&amp;H$1,Flow3!$A:$A&amp;Flow3!$B:$B,Flow3!$D:$D))</f>
        <v>4122</v>
      </c>
      <c r="I17" s="21" cm="1">
        <f t="array" ref="I17">IF($A17=I$1,0,_xlfn.XLOOKUP($A17&amp;I$1,Flow3!$A:$A&amp;Flow3!$B:$B,Flow3!$D:$D))</f>
        <v>6491.48</v>
      </c>
      <c r="J17" s="21" cm="1">
        <f t="array" ref="J17">IF($A17=J$1,0,_xlfn.XLOOKUP($A17&amp;J$1,Flow3!$A:$A&amp;Flow3!$B:$B,Flow3!$D:$D))</f>
        <v>1756.3487157987972</v>
      </c>
      <c r="K17" s="21" cm="1">
        <f t="array" ref="K17">IF($A17=K$1,0,_xlfn.XLOOKUP($A17&amp;K$1,Flow3!$A:$A&amp;Flow3!$B:$B,Flow3!$D:$D))</f>
        <v>4117.08</v>
      </c>
      <c r="L17" s="21" cm="1">
        <f t="array" ref="L17">IF($A17=L$1,0,_xlfn.XLOOKUP($A17&amp;L$1,Flow3!$A:$A&amp;Flow3!$B:$B,Flow3!$D:$D))</f>
        <v>3476.84</v>
      </c>
      <c r="M17" s="21" cm="1">
        <f t="array" ref="M17">IF($A17=M$1,0,_xlfn.XLOOKUP($A17&amp;M$1,Flow3!$A:$A&amp;Flow3!$B:$B,Flow3!$D:$D))</f>
        <v>14338.28</v>
      </c>
      <c r="N17" s="21" cm="1">
        <f t="array" ref="N17">IF($A17=N$1,0,_xlfn.XLOOKUP($A17&amp;N$1,Flow3!$A:$A&amp;Flow3!$B:$B,Flow3!$D:$D))</f>
        <v>16594.919999999998</v>
      </c>
      <c r="O17" s="21" cm="1">
        <f t="array" ref="O17">IF($A17=O$1,0,_xlfn.XLOOKUP($A17&amp;O$1,Flow3!$A:$A&amp;Flow3!$B:$B,Flow3!$D:$D))</f>
        <v>1577</v>
      </c>
      <c r="P17" s="21" cm="1">
        <f t="array" ref="P17">IF($A17=P$1,0,_xlfn.XLOOKUP($A17&amp;P$1,Flow3!$A:$A&amp;Flow3!$B:$B,Flow3!$D:$D))</f>
        <v>20220.080000000002</v>
      </c>
      <c r="Q17" s="21" cm="1">
        <f t="array" ref="Q17">IF($A17=Q$1,0,_xlfn.XLOOKUP($A17&amp;Q$1,Flow3!$A:$A&amp;Flow3!$B:$B,Flow3!$D:$D))</f>
        <v>0</v>
      </c>
      <c r="R17" s="21" cm="1">
        <f t="array" ref="R17">IF($A17=R$1,0,_xlfn.XLOOKUP($A17&amp;R$1,Flow3!$A:$A&amp;Flow3!$B:$B,Flow3!$D:$D))</f>
        <v>22867.040000000001</v>
      </c>
      <c r="S17" s="21" cm="1">
        <f t="array" ref="S17">IF($A17=S$1,0,_xlfn.XLOOKUP($A17&amp;S$1,Flow3!$A:$A&amp;Flow3!$B:$B,Flow3!$D:$D))</f>
        <v>1298.04</v>
      </c>
      <c r="T17" s="21" cm="1">
        <f t="array" ref="T17">IF($A17=T$1,0,_xlfn.XLOOKUP($A17&amp;T$1,Flow3!$A:$A&amp;Flow3!$B:$B,Flow3!$D:$D))</f>
        <v>3307.12</v>
      </c>
      <c r="U17" s="21" cm="1">
        <f t="array" ref="U17">IF($A17=U$1,0,_xlfn.XLOOKUP($A17&amp;U$1,Flow3!$A:$A&amp;Flow3!$B:$B,Flow3!$D:$D))</f>
        <v>5121.96</v>
      </c>
      <c r="V17" s="21" cm="1">
        <f t="array" ref="V17">IF($A17=V$1,0,_xlfn.XLOOKUP($A17&amp;V$1,Flow3!$A:$A&amp;Flow3!$B:$B,Flow3!$D:$D))</f>
        <v>2483.84</v>
      </c>
      <c r="W17" s="21" cm="1">
        <f t="array" ref="W17">IF($A17=W$1,0,_xlfn.XLOOKUP($A17&amp;W$1,Flow3!$A:$A&amp;Flow3!$B:$B,Flow3!$D:$D))</f>
        <v>7072.6</v>
      </c>
      <c r="X17" s="21" cm="1">
        <f t="array" ref="X17">IF($A17=X$1,0,_xlfn.XLOOKUP($A17&amp;X$1,Flow3!$A:$A&amp;Flow3!$B:$B,Flow3!$D:$D))</f>
        <v>323.16000000000003</v>
      </c>
      <c r="Y17" s="21" cm="1">
        <f t="array" ref="Y17">IF($A17=Y$1,0,_xlfn.XLOOKUP($A17&amp;Y$1,Flow3!$A:$A&amp;Flow3!$B:$B,Flow3!$D:$D))</f>
        <v>2754.2</v>
      </c>
    </row>
    <row r="18" spans="1:25" ht="15.75" thickBot="1" x14ac:dyDescent="0.3">
      <c r="A18" s="3" t="s">
        <v>50</v>
      </c>
      <c r="B18" s="21" cm="1">
        <f t="array" ref="B18">IF($A18=B$1,0,_xlfn.XLOOKUP($A18&amp;B$1,Flow3!$A:$A&amp;Flow3!$B:$B,Flow3!$D:$D))</f>
        <v>9557.92</v>
      </c>
      <c r="C18" s="21" cm="1">
        <f t="array" ref="C18">IF($A18=C$1,0,_xlfn.XLOOKUP($A18&amp;C$1,Flow3!$A:$A&amp;Flow3!$B:$B,Flow3!$D:$D))</f>
        <v>19168.521169779793</v>
      </c>
      <c r="D18" s="21" cm="1">
        <f t="array" ref="D18">IF($A18=D$1,0,_xlfn.XLOOKUP($A18&amp;D$1,Flow3!$A:$A&amp;Flow3!$B:$B,Flow3!$D:$D))</f>
        <v>19779.84</v>
      </c>
      <c r="E18" s="21" cm="1">
        <f t="array" ref="E18">IF($A18=E$1,0,_xlfn.XLOOKUP($A18&amp;E$1,Flow3!$A:$A&amp;Flow3!$B:$B,Flow3!$D:$D))</f>
        <v>23145.599999999999</v>
      </c>
      <c r="F18" s="21" cm="1">
        <f t="array" ref="F18">IF($A18=F$1,0,_xlfn.XLOOKUP($A18&amp;F$1,Flow3!$A:$A&amp;Flow3!$B:$B,Flow3!$D:$D))</f>
        <v>3814.56</v>
      </c>
      <c r="G18" s="21" cm="1">
        <f t="array" ref="G18">IF($A18=G$1,0,_xlfn.XLOOKUP($A18&amp;G$1,Flow3!$A:$A&amp;Flow3!$B:$B,Flow3!$D:$D))</f>
        <v>34534.68</v>
      </c>
      <c r="H18" s="21" cm="1">
        <f t="array" ref="H18">IF($A18=H$1,0,_xlfn.XLOOKUP($A18&amp;H$1,Flow3!$A:$A&amp;Flow3!$B:$B,Flow3!$D:$D))</f>
        <v>29904.720000000001</v>
      </c>
      <c r="I18" s="21" cm="1">
        <f t="array" ref="I18">IF($A18=I$1,0,_xlfn.XLOOKUP($A18&amp;I$1,Flow3!$A:$A&amp;Flow3!$B:$B,Flow3!$D:$D))</f>
        <v>42490.8</v>
      </c>
      <c r="J18" s="21" cm="1">
        <f t="array" ref="J18">IF($A18=J$1,0,_xlfn.XLOOKUP($A18&amp;J$1,Flow3!$A:$A&amp;Flow3!$B:$B,Flow3!$D:$D))</f>
        <v>11067.678830220208</v>
      </c>
      <c r="K18" s="21" cm="1">
        <f t="array" ref="K18">IF($A18=K$1,0,_xlfn.XLOOKUP($A18&amp;K$1,Flow3!$A:$A&amp;Flow3!$B:$B,Flow3!$D:$D))</f>
        <v>26872.2</v>
      </c>
      <c r="L18" s="21" cm="1">
        <f t="array" ref="L18">IF($A18=L$1,0,_xlfn.XLOOKUP($A18&amp;L$1,Flow3!$A:$A&amp;Flow3!$B:$B,Flow3!$D:$D))</f>
        <v>23459.52</v>
      </c>
      <c r="M18" s="21" cm="1">
        <f t="array" ref="M18">IF($A18=M$1,0,_xlfn.XLOOKUP($A18&amp;M$1,Flow3!$A:$A&amp;Flow3!$B:$B,Flow3!$D:$D))</f>
        <v>94997.36</v>
      </c>
      <c r="N18" s="21" cm="1">
        <f t="array" ref="N18">IF($A18=N$1,0,_xlfn.XLOOKUP($A18&amp;N$1,Flow3!$A:$A&amp;Flow3!$B:$B,Flow3!$D:$D))</f>
        <v>109456.16</v>
      </c>
      <c r="O18" s="21" cm="1">
        <f t="array" ref="O18">IF($A18=O$1,0,_xlfn.XLOOKUP($A18&amp;O$1,Flow3!$A:$A&amp;Flow3!$B:$B,Flow3!$D:$D))</f>
        <v>10424.4</v>
      </c>
      <c r="P18" s="21" cm="1">
        <f t="array" ref="P18">IF($A18=P$1,0,_xlfn.XLOOKUP($A18&amp;P$1,Flow3!$A:$A&amp;Flow3!$B:$B,Flow3!$D:$D))</f>
        <v>140325.07999999999</v>
      </c>
      <c r="Q18" s="21" cm="1">
        <f t="array" ref="Q18">IF($A18=Q$1,0,_xlfn.XLOOKUP($A18&amp;Q$1,Flow3!$A:$A&amp;Flow3!$B:$B,Flow3!$D:$D))</f>
        <v>38365.360000000001</v>
      </c>
      <c r="R18" s="21" cm="1">
        <f t="array" ref="R18">IF($A18=R$1,0,_xlfn.XLOOKUP($A18&amp;R$1,Flow3!$A:$A&amp;Flow3!$B:$B,Flow3!$D:$D))</f>
        <v>0</v>
      </c>
      <c r="S18" s="21" cm="1">
        <f t="array" ref="S18">IF($A18=S$1,0,_xlfn.XLOOKUP($A18&amp;S$1,Flow3!$A:$A&amp;Flow3!$B:$B,Flow3!$D:$D))</f>
        <v>10674.96</v>
      </c>
      <c r="T18" s="21" cm="1">
        <f t="array" ref="T18">IF($A18=T$1,0,_xlfn.XLOOKUP($A18&amp;T$1,Flow3!$A:$A&amp;Flow3!$B:$B,Flow3!$D:$D))</f>
        <v>34343.480000000003</v>
      </c>
      <c r="U18" s="21" cm="1">
        <f t="array" ref="U18">IF($A18=U$1,0,_xlfn.XLOOKUP($A18&amp;U$1,Flow3!$A:$A&amp;Flow3!$B:$B,Flow3!$D:$D))</f>
        <v>42197.96</v>
      </c>
      <c r="V18" s="21" cm="1">
        <f t="array" ref="V18">IF($A18=V$1,0,_xlfn.XLOOKUP($A18&amp;V$1,Flow3!$A:$A&amp;Flow3!$B:$B,Flow3!$D:$D))</f>
        <v>18615.8</v>
      </c>
      <c r="W18" s="21" cm="1">
        <f t="array" ref="W18">IF($A18=W$1,0,_xlfn.XLOOKUP($A18&amp;W$1,Flow3!$A:$A&amp;Flow3!$B:$B,Flow3!$D:$D))</f>
        <v>39774.6</v>
      </c>
      <c r="X18" s="21" cm="1">
        <f t="array" ref="X18">IF($A18=X$1,0,_xlfn.XLOOKUP($A18&amp;X$1,Flow3!$A:$A&amp;Flow3!$B:$B,Flow3!$D:$D))</f>
        <v>2650.96</v>
      </c>
      <c r="Y18" s="21" cm="1">
        <f t="array" ref="Y18">IF($A18=Y$1,0,_xlfn.XLOOKUP($A18&amp;Y$1,Flow3!$A:$A&amp;Flow3!$B:$B,Flow3!$D:$D))</f>
        <v>24102.48</v>
      </c>
    </row>
    <row r="19" spans="1:25" ht="15.75" thickBot="1" x14ac:dyDescent="0.3">
      <c r="A19" s="3" t="s">
        <v>51</v>
      </c>
      <c r="B19" s="21" cm="1">
        <f t="array" ref="B19">IF($A19=B$1,0,_xlfn.XLOOKUP($A19&amp;B$1,Flow3!$A:$A&amp;Flow3!$B:$B,Flow3!$D:$D))</f>
        <v>532.55999999999995</v>
      </c>
      <c r="C19" s="21" cm="1">
        <f t="array" ref="C19">IF($A19=C$1,0,_xlfn.XLOOKUP($A19&amp;C$1,Flow3!$A:$A&amp;Flow3!$B:$B,Flow3!$D:$D))</f>
        <v>3138.7592205824899</v>
      </c>
      <c r="D19" s="21" cm="1">
        <f t="array" ref="D19">IF($A19=D$1,0,_xlfn.XLOOKUP($A19&amp;D$1,Flow3!$A:$A&amp;Flow3!$B:$B,Flow3!$D:$D))</f>
        <v>674.56</v>
      </c>
      <c r="E19" s="21" cm="1">
        <f t="array" ref="E19">IF($A19=E$1,0,_xlfn.XLOOKUP($A19&amp;E$1,Flow3!$A:$A&amp;Flow3!$B:$B,Flow3!$D:$D))</f>
        <v>1413.28</v>
      </c>
      <c r="F19" s="21" cm="1">
        <f t="array" ref="F19">IF($A19=F$1,0,_xlfn.XLOOKUP($A19&amp;F$1,Flow3!$A:$A&amp;Flow3!$B:$B,Flow3!$D:$D))</f>
        <v>185.28</v>
      </c>
      <c r="G19" s="21" cm="1">
        <f t="array" ref="G19">IF($A19=G$1,0,_xlfn.XLOOKUP($A19&amp;G$1,Flow3!$A:$A&amp;Flow3!$B:$B,Flow3!$D:$D))</f>
        <v>1969.64</v>
      </c>
      <c r="H19" s="21" cm="1">
        <f t="array" ref="H19">IF($A19=H$1,0,_xlfn.XLOOKUP($A19&amp;H$1,Flow3!$A:$A&amp;Flow3!$B:$B,Flow3!$D:$D))</f>
        <v>935.16</v>
      </c>
      <c r="I19" s="21" cm="1">
        <f t="array" ref="I19">IF($A19=I$1,0,_xlfn.XLOOKUP($A19&amp;I$1,Flow3!$A:$A&amp;Flow3!$B:$B,Flow3!$D:$D))</f>
        <v>2016.96</v>
      </c>
      <c r="J19" s="21" cm="1">
        <f t="array" ref="J19">IF($A19=J$1,0,_xlfn.XLOOKUP($A19&amp;J$1,Flow3!$A:$A&amp;Flow3!$B:$B,Flow3!$D:$D))</f>
        <v>1771.5207794175099</v>
      </c>
      <c r="K19" s="21" cm="1">
        <f t="array" ref="K19">IF($A19=K$1,0,_xlfn.XLOOKUP($A19&amp;K$1,Flow3!$A:$A&amp;Flow3!$B:$B,Flow3!$D:$D))</f>
        <v>1401.6</v>
      </c>
      <c r="L19" s="21" cm="1">
        <f t="array" ref="L19">IF($A19=L$1,0,_xlfn.XLOOKUP($A19&amp;L$1,Flow3!$A:$A&amp;Flow3!$B:$B,Flow3!$D:$D))</f>
        <v>1111.5999999999999</v>
      </c>
      <c r="M19" s="21" cm="1">
        <f t="array" ref="M19">IF($A19=M$1,0,_xlfn.XLOOKUP($A19&amp;M$1,Flow3!$A:$A&amp;Flow3!$B:$B,Flow3!$D:$D))</f>
        <v>4000.84</v>
      </c>
      <c r="N19" s="21" cm="1">
        <f t="array" ref="N19">IF($A19=N$1,0,_xlfn.XLOOKUP($A19&amp;N$1,Flow3!$A:$A&amp;Flow3!$B:$B,Flow3!$D:$D))</f>
        <v>4996.6000000000004</v>
      </c>
      <c r="O19" s="21" cm="1">
        <f t="array" ref="O19">IF($A19=O$1,0,_xlfn.XLOOKUP($A19&amp;O$1,Flow3!$A:$A&amp;Flow3!$B:$B,Flow3!$D:$D))</f>
        <v>434</v>
      </c>
      <c r="P19" s="21" cm="1">
        <f t="array" ref="P19">IF($A19=P$1,0,_xlfn.XLOOKUP($A19&amp;P$1,Flow3!$A:$A&amp;Flow3!$B:$B,Flow3!$D:$D))</f>
        <v>5484.04</v>
      </c>
      <c r="Q19" s="21" cm="1">
        <f t="array" ref="Q19">IF($A19=Q$1,0,_xlfn.XLOOKUP($A19&amp;Q$1,Flow3!$A:$A&amp;Flow3!$B:$B,Flow3!$D:$D))</f>
        <v>1206.56</v>
      </c>
      <c r="R19" s="21" cm="1">
        <f t="array" ref="R19">IF($A19=R$1,0,_xlfn.XLOOKUP($A19&amp;R$1,Flow3!$A:$A&amp;Flow3!$B:$B,Flow3!$D:$D))</f>
        <v>6022.48</v>
      </c>
      <c r="S19" s="21" cm="1">
        <f t="array" ref="S19">IF($A19=S$1,0,_xlfn.XLOOKUP($A19&amp;S$1,Flow3!$A:$A&amp;Flow3!$B:$B,Flow3!$D:$D))</f>
        <v>0</v>
      </c>
      <c r="T19" s="21" cm="1">
        <f t="array" ref="T19">IF($A19=T$1,0,_xlfn.XLOOKUP($A19&amp;T$1,Flow3!$A:$A&amp;Flow3!$B:$B,Flow3!$D:$D))</f>
        <v>1003.48</v>
      </c>
      <c r="U19" s="21" cm="1">
        <f t="array" ref="U19">IF($A19=U$1,0,_xlfn.XLOOKUP($A19&amp;U$1,Flow3!$A:$A&amp;Flow3!$B:$B,Flow3!$D:$D))</f>
        <v>1652.4</v>
      </c>
      <c r="V19" s="21" cm="1">
        <f t="array" ref="V19">IF($A19=V$1,0,_xlfn.XLOOKUP($A19&amp;V$1,Flow3!$A:$A&amp;Flow3!$B:$B,Flow3!$D:$D))</f>
        <v>912.72</v>
      </c>
      <c r="W19" s="21" cm="1">
        <f t="array" ref="W19">IF($A19=W$1,0,_xlfn.XLOOKUP($A19&amp;W$1,Flow3!$A:$A&amp;Flow3!$B:$B,Flow3!$D:$D))</f>
        <v>1423.8</v>
      </c>
      <c r="X19" s="21" cm="1">
        <f t="array" ref="X19">IF($A19=X$1,0,_xlfn.XLOOKUP($A19&amp;X$1,Flow3!$A:$A&amp;Flow3!$B:$B,Flow3!$D:$D))</f>
        <v>179.76</v>
      </c>
      <c r="Y19" s="21" cm="1">
        <f t="array" ref="Y19">IF($A19=Y$1,0,_xlfn.XLOOKUP($A19&amp;Y$1,Flow3!$A:$A&amp;Flow3!$B:$B,Flow3!$D:$D))</f>
        <v>1224</v>
      </c>
    </row>
    <row r="20" spans="1:25" ht="15.75" thickBot="1" x14ac:dyDescent="0.3">
      <c r="A20" s="3" t="s">
        <v>52</v>
      </c>
      <c r="B20" s="21" cm="1">
        <f t="array" ref="B20">IF($A20=B$1,0,_xlfn.XLOOKUP($A20&amp;B$1,Flow3!$A:$A&amp;Flow3!$B:$B,Flow3!$D:$D))</f>
        <v>2743.84</v>
      </c>
      <c r="C20" s="21" cm="1">
        <f t="array" ref="C20">IF($A20=C$1,0,_xlfn.XLOOKUP($A20&amp;C$1,Flow3!$A:$A&amp;Flow3!$B:$B,Flow3!$D:$D))</f>
        <v>1521.9861963331111</v>
      </c>
      <c r="D20" s="21" cm="1">
        <f t="array" ref="D20">IF($A20=D$1,0,_xlfn.XLOOKUP($A20&amp;D$1,Flow3!$A:$A&amp;Flow3!$B:$B,Flow3!$D:$D))</f>
        <v>1912.4</v>
      </c>
      <c r="E20" s="21" cm="1">
        <f t="array" ref="E20">IF($A20=E$1,0,_xlfn.XLOOKUP($A20&amp;E$1,Flow3!$A:$A&amp;Flow3!$B:$B,Flow3!$D:$D))</f>
        <v>8370.32</v>
      </c>
      <c r="F20" s="21" cm="1">
        <f t="array" ref="F20">IF($A20=F$1,0,_xlfn.XLOOKUP($A20&amp;F$1,Flow3!$A:$A&amp;Flow3!$B:$B,Flow3!$D:$D))</f>
        <v>2901.68</v>
      </c>
      <c r="G20" s="21" cm="1">
        <f t="array" ref="G20">IF($A20=G$1,0,_xlfn.XLOOKUP($A20&amp;G$1,Flow3!$A:$A&amp;Flow3!$B:$B,Flow3!$D:$D))</f>
        <v>6658.56</v>
      </c>
      <c r="H20" s="21" cm="1">
        <f t="array" ref="H20">IF($A20=H$1,0,_xlfn.XLOOKUP($A20&amp;H$1,Flow3!$A:$A&amp;Flow3!$B:$B,Flow3!$D:$D))</f>
        <v>2519.2399999999998</v>
      </c>
      <c r="I20" s="21" cm="1">
        <f t="array" ref="I20">IF($A20=I$1,0,_xlfn.XLOOKUP($A20&amp;I$1,Flow3!$A:$A&amp;Flow3!$B:$B,Flow3!$D:$D))</f>
        <v>21592.400000000001</v>
      </c>
      <c r="J20" s="21" cm="1">
        <f t="array" ref="J20">IF($A20=J$1,0,_xlfn.XLOOKUP($A20&amp;J$1,Flow3!$A:$A&amp;Flow3!$B:$B,Flow3!$D:$D))</f>
        <v>2193.2538036668893</v>
      </c>
      <c r="K20" s="21" cm="1">
        <f t="array" ref="K20">IF($A20=K$1,0,_xlfn.XLOOKUP($A20&amp;K$1,Flow3!$A:$A&amp;Flow3!$B:$B,Flow3!$D:$D))</f>
        <v>9437.44</v>
      </c>
      <c r="L20" s="21" cm="1">
        <f t="array" ref="L20">IF($A20=L$1,0,_xlfn.XLOOKUP($A20&amp;L$1,Flow3!$A:$A&amp;Flow3!$B:$B,Flow3!$D:$D))</f>
        <v>4805.96</v>
      </c>
      <c r="M20" s="21" cm="1">
        <f t="array" ref="M20">IF($A20=M$1,0,_xlfn.XLOOKUP($A20&amp;M$1,Flow3!$A:$A&amp;Flow3!$B:$B,Flow3!$D:$D))</f>
        <v>14625.8</v>
      </c>
      <c r="N20" s="21" cm="1">
        <f t="array" ref="N20">IF($A20=N$1,0,_xlfn.XLOOKUP($A20&amp;N$1,Flow3!$A:$A&amp;Flow3!$B:$B,Flow3!$D:$D))</f>
        <v>22212.16</v>
      </c>
      <c r="O20" s="21" cm="1">
        <f t="array" ref="O20">IF($A20=O$1,0,_xlfn.XLOOKUP($A20&amp;O$1,Flow3!$A:$A&amp;Flow3!$B:$B,Flow3!$D:$D))</f>
        <v>1541.6</v>
      </c>
      <c r="P20" s="21" cm="1">
        <f t="array" ref="P20">IF($A20=P$1,0,_xlfn.XLOOKUP($A20&amp;P$1,Flow3!$A:$A&amp;Flow3!$B:$B,Flow3!$D:$D))</f>
        <v>16023.76</v>
      </c>
      <c r="Q20" s="21" cm="1">
        <f t="array" ref="Q20">IF($A20=Q$1,0,_xlfn.XLOOKUP($A20&amp;Q$1,Flow3!$A:$A&amp;Flow3!$B:$B,Flow3!$D:$D))</f>
        <v>2183.2800000000002</v>
      </c>
      <c r="R20" s="21" cm="1">
        <f t="array" ref="R20">IF($A20=R$1,0,_xlfn.XLOOKUP($A20&amp;R$1,Flow3!$A:$A&amp;Flow3!$B:$B,Flow3!$D:$D))</f>
        <v>14374.04</v>
      </c>
      <c r="S20" s="21" cm="1">
        <f t="array" ref="S20">IF($A20=S$1,0,_xlfn.XLOOKUP($A20&amp;S$1,Flow3!$A:$A&amp;Flow3!$B:$B,Flow3!$D:$D))</f>
        <v>732.12</v>
      </c>
      <c r="T20" s="21" cm="1">
        <f t="array" ref="T20">IF($A20=T$1,0,_xlfn.XLOOKUP($A20&amp;T$1,Flow3!$A:$A&amp;Flow3!$B:$B,Flow3!$D:$D))</f>
        <v>0</v>
      </c>
      <c r="U20" s="21" cm="1">
        <f t="array" ref="U20">IF($A20=U$1,0,_xlfn.XLOOKUP($A20&amp;U$1,Flow3!$A:$A&amp;Flow3!$B:$B,Flow3!$D:$D))</f>
        <v>4569.6400000000003</v>
      </c>
      <c r="V20" s="21" cm="1">
        <f t="array" ref="V20">IF($A20=V$1,0,_xlfn.XLOOKUP($A20&amp;V$1,Flow3!$A:$A&amp;Flow3!$B:$B,Flow3!$D:$D))</f>
        <v>3067.28</v>
      </c>
      <c r="W20" s="21" cm="1">
        <f t="array" ref="W20">IF($A20=W$1,0,_xlfn.XLOOKUP($A20&amp;W$1,Flow3!$A:$A&amp;Flow3!$B:$B,Flow3!$D:$D))</f>
        <v>3065.12</v>
      </c>
      <c r="X20" s="21" cm="1">
        <f t="array" ref="X20">IF($A20=X$1,0,_xlfn.XLOOKUP($A20&amp;X$1,Flow3!$A:$A&amp;Flow3!$B:$B,Flow3!$D:$D))</f>
        <v>294.2</v>
      </c>
      <c r="Y20" s="21" cm="1">
        <f t="array" ref="Y20">IF($A20=Y$1,0,_xlfn.XLOOKUP($A20&amp;Y$1,Flow3!$A:$A&amp;Flow3!$B:$B,Flow3!$D:$D))</f>
        <v>2489.2800000000002</v>
      </c>
    </row>
    <row r="21" spans="1:25" ht="15.75" thickBot="1" x14ac:dyDescent="0.3">
      <c r="A21" s="3" t="s">
        <v>53</v>
      </c>
      <c r="B21" s="21" cm="1">
        <f t="array" ref="B21">IF($A21=B$1,0,_xlfn.XLOOKUP($A21&amp;B$1,Flow3!$A:$A&amp;Flow3!$B:$B,Flow3!$D:$D))</f>
        <v>3915.4</v>
      </c>
      <c r="C21" s="21" cm="1">
        <f t="array" ref="C21">IF($A21=C$1,0,_xlfn.XLOOKUP($A21&amp;C$1,Flow3!$A:$A&amp;Flow3!$B:$B,Flow3!$D:$D))</f>
        <v>3564.8668550328889</v>
      </c>
      <c r="D21" s="21" cm="1">
        <f t="array" ref="D21">IF($A21=D$1,0,_xlfn.XLOOKUP($A21&amp;D$1,Flow3!$A:$A&amp;Flow3!$B:$B,Flow3!$D:$D))</f>
        <v>8240</v>
      </c>
      <c r="E21" s="21" cm="1">
        <f t="array" ref="E21">IF($A21=E$1,0,_xlfn.XLOOKUP($A21&amp;E$1,Flow3!$A:$A&amp;Flow3!$B:$B,Flow3!$D:$D))</f>
        <v>7625.56</v>
      </c>
      <c r="F21" s="21" cm="1">
        <f t="array" ref="F21">IF($A21=F$1,0,_xlfn.XLOOKUP($A21&amp;F$1,Flow3!$A:$A&amp;Flow3!$B:$B,Flow3!$D:$D))</f>
        <v>1786</v>
      </c>
      <c r="G21" s="21" cm="1">
        <f t="array" ref="G21">IF($A21=G$1,0,_xlfn.XLOOKUP($A21&amp;G$1,Flow3!$A:$A&amp;Flow3!$B:$B,Flow3!$D:$D))</f>
        <v>13844.44</v>
      </c>
      <c r="H21" s="21" cm="1">
        <f t="array" ref="H21">IF($A21=H$1,0,_xlfn.XLOOKUP($A21&amp;H$1,Flow3!$A:$A&amp;Flow3!$B:$B,Flow3!$D:$D))</f>
        <v>9905.68</v>
      </c>
      <c r="I21" s="21" cm="1">
        <f t="array" ref="I21">IF($A21=I$1,0,_xlfn.XLOOKUP($A21&amp;I$1,Flow3!$A:$A&amp;Flow3!$B:$B,Flow3!$D:$D))</f>
        <v>19429.04</v>
      </c>
      <c r="J21" s="21" cm="1">
        <f t="array" ref="J21">IF($A21=J$1,0,_xlfn.XLOOKUP($A21&amp;J$1,Flow3!$A:$A&amp;Flow3!$B:$B,Flow3!$D:$D))</f>
        <v>4373.5331449671112</v>
      </c>
      <c r="K21" s="21" cm="1">
        <f t="array" ref="K21">IF($A21=K$1,0,_xlfn.XLOOKUP($A21&amp;K$1,Flow3!$A:$A&amp;Flow3!$B:$B,Flow3!$D:$D))</f>
        <v>10738.48</v>
      </c>
      <c r="L21" s="21" cm="1">
        <f t="array" ref="L21">IF($A21=L$1,0,_xlfn.XLOOKUP($A21&amp;L$1,Flow3!$A:$A&amp;Flow3!$B:$B,Flow3!$D:$D))</f>
        <v>10047.879999999999</v>
      </c>
      <c r="M21" s="21" cm="1">
        <f t="array" ref="M21">IF($A21=M$1,0,_xlfn.XLOOKUP($A21&amp;M$1,Flow3!$A:$A&amp;Flow3!$B:$B,Flow3!$D:$D))</f>
        <v>52584.88</v>
      </c>
      <c r="N21" s="21" cm="1">
        <f t="array" ref="N21">IF($A21=N$1,0,_xlfn.XLOOKUP($A21&amp;N$1,Flow3!$A:$A&amp;Flow3!$B:$B,Flow3!$D:$D))</f>
        <v>54368.68</v>
      </c>
      <c r="O21" s="21" cm="1">
        <f t="array" ref="O21">IF($A21=O$1,0,_xlfn.XLOOKUP($A21&amp;O$1,Flow3!$A:$A&amp;Flow3!$B:$B,Flow3!$D:$D))</f>
        <v>5501.44</v>
      </c>
      <c r="P21" s="21" cm="1">
        <f t="array" ref="P21">IF($A21=P$1,0,_xlfn.XLOOKUP($A21&amp;P$1,Flow3!$A:$A&amp;Flow3!$B:$B,Flow3!$D:$D))</f>
        <v>69955.92</v>
      </c>
      <c r="Q21" s="21" cm="1">
        <f t="array" ref="Q21">IF($A21=Q$1,0,_xlfn.XLOOKUP($A21&amp;Q$1,Flow3!$A:$A&amp;Flow3!$B:$B,Flow3!$D:$D))</f>
        <v>4856.16</v>
      </c>
      <c r="R21" s="21" cm="1">
        <f t="array" ref="R21">IF($A21=R$1,0,_xlfn.XLOOKUP($A21&amp;R$1,Flow3!$A:$A&amp;Flow3!$B:$B,Flow3!$D:$D))</f>
        <v>25965.119999999999</v>
      </c>
      <c r="S21" s="21" cm="1">
        <f t="array" ref="S21">IF($A21=S$1,0,_xlfn.XLOOKUP($A21&amp;S$1,Flow3!$A:$A&amp;Flow3!$B:$B,Flow3!$D:$D))</f>
        <v>1582.48</v>
      </c>
      <c r="T21" s="21" cm="1">
        <f t="array" ref="T21">IF($A21=T$1,0,_xlfn.XLOOKUP($A21&amp;T$1,Flow3!$A:$A&amp;Flow3!$B:$B,Flow3!$D:$D))</f>
        <v>6841.6</v>
      </c>
      <c r="U21" s="21" cm="1">
        <f t="array" ref="U21">IF($A21=U$1,0,_xlfn.XLOOKUP($A21&amp;U$1,Flow3!$A:$A&amp;Flow3!$B:$B,Flow3!$D:$D))</f>
        <v>0</v>
      </c>
      <c r="V21" s="21" cm="1">
        <f t="array" ref="V21">IF($A21=V$1,0,_xlfn.XLOOKUP($A21&amp;V$1,Flow3!$A:$A&amp;Flow3!$B:$B,Flow3!$D:$D))</f>
        <v>13174.6</v>
      </c>
      <c r="W21" s="21" cm="1">
        <f t="array" ref="W21">IF($A21=W$1,0,_xlfn.XLOOKUP($A21&amp;W$1,Flow3!$A:$A&amp;Flow3!$B:$B,Flow3!$D:$D))</f>
        <v>9211.32</v>
      </c>
      <c r="X21" s="21" cm="1">
        <f t="array" ref="X21">IF($A21=X$1,0,_xlfn.XLOOKUP($A21&amp;X$1,Flow3!$A:$A&amp;Flow3!$B:$B,Flow3!$D:$D))</f>
        <v>1167.72</v>
      </c>
      <c r="Y21" s="21" cm="1">
        <f t="array" ref="Y21">IF($A21=Y$1,0,_xlfn.XLOOKUP($A21&amp;Y$1,Flow3!$A:$A&amp;Flow3!$B:$B,Flow3!$D:$D))</f>
        <v>13688.84</v>
      </c>
    </row>
    <row r="22" spans="1:25" ht="15.75" thickBot="1" x14ac:dyDescent="0.3">
      <c r="A22" s="3" t="s">
        <v>54</v>
      </c>
      <c r="B22" s="21" cm="1">
        <f t="array" ref="B22">IF($A22=B$1,0,_xlfn.XLOOKUP($A22&amp;B$1,Flow3!$A:$A&amp;Flow3!$B:$B,Flow3!$D:$D))</f>
        <v>3298.92</v>
      </c>
      <c r="C22" s="21" cm="1">
        <f t="array" ref="C22">IF($A22=C$1,0,_xlfn.XLOOKUP($A22&amp;C$1,Flow3!$A:$A&amp;Flow3!$B:$B,Flow3!$D:$D))</f>
        <v>1679.634271409084</v>
      </c>
      <c r="D22" s="21" cm="1">
        <f t="array" ref="D22">IF($A22=D$1,0,_xlfn.XLOOKUP($A22&amp;D$1,Flow3!$A:$A&amp;Flow3!$B:$B,Flow3!$D:$D))</f>
        <v>2857.96</v>
      </c>
      <c r="E22" s="21" cm="1">
        <f t="array" ref="E22">IF($A22=E$1,0,_xlfn.XLOOKUP($A22&amp;E$1,Flow3!$A:$A&amp;Flow3!$B:$B,Flow3!$D:$D))</f>
        <v>5676.84</v>
      </c>
      <c r="F22" s="21" cm="1">
        <f t="array" ref="F22">IF($A22=F$1,0,_xlfn.XLOOKUP($A22&amp;F$1,Flow3!$A:$A&amp;Flow3!$B:$B,Flow3!$D:$D))</f>
        <v>1302.4000000000001</v>
      </c>
      <c r="G22" s="21" cm="1">
        <f t="array" ref="G22">IF($A22=G$1,0,_xlfn.XLOOKUP($A22&amp;G$1,Flow3!$A:$A&amp;Flow3!$B:$B,Flow3!$D:$D))</f>
        <v>9510.24</v>
      </c>
      <c r="H22" s="21" cm="1">
        <f t="array" ref="H22">IF($A22=H$1,0,_xlfn.XLOOKUP($A22&amp;H$1,Flow3!$A:$A&amp;Flow3!$B:$B,Flow3!$D:$D))</f>
        <v>3415.52</v>
      </c>
      <c r="I22" s="21" cm="1">
        <f t="array" ref="I22">IF($A22=I$1,0,_xlfn.XLOOKUP($A22&amp;I$1,Flow3!$A:$A&amp;Flow3!$B:$B,Flow3!$D:$D))</f>
        <v>15738.24</v>
      </c>
      <c r="J22" s="21" cm="1">
        <f t="array" ref="J22">IF($A22=J$1,0,_xlfn.XLOOKUP($A22&amp;J$1,Flow3!$A:$A&amp;Flow3!$B:$B,Flow3!$D:$D))</f>
        <v>3637.1657285909164</v>
      </c>
      <c r="K22" s="21" cm="1">
        <f t="array" ref="K22">IF($A22=K$1,0,_xlfn.XLOOKUP($A22&amp;K$1,Flow3!$A:$A&amp;Flow3!$B:$B,Flow3!$D:$D))</f>
        <v>9738.9599999999991</v>
      </c>
      <c r="L22" s="21" cm="1">
        <f t="array" ref="L22">IF($A22=L$1,0,_xlfn.XLOOKUP($A22&amp;L$1,Flow3!$A:$A&amp;Flow3!$B:$B,Flow3!$D:$D))</f>
        <v>7137.88</v>
      </c>
      <c r="M22" s="21" cm="1">
        <f t="array" ref="M22">IF($A22=M$1,0,_xlfn.XLOOKUP($A22&amp;M$1,Flow3!$A:$A&amp;Flow3!$B:$B,Flow3!$D:$D))</f>
        <v>26959.48</v>
      </c>
      <c r="N22" s="21" cm="1">
        <f t="array" ref="N22">IF($A22=N$1,0,_xlfn.XLOOKUP($A22&amp;N$1,Flow3!$A:$A&amp;Flow3!$B:$B,Flow3!$D:$D))</f>
        <v>35081.519999999997</v>
      </c>
      <c r="O22" s="21" cm="1">
        <f t="array" ref="O22">IF($A22=O$1,0,_xlfn.XLOOKUP($A22&amp;O$1,Flow3!$A:$A&amp;Flow3!$B:$B,Flow3!$D:$D))</f>
        <v>2755</v>
      </c>
      <c r="P22" s="21" cm="1">
        <f t="array" ref="P22">IF($A22=P$1,0,_xlfn.XLOOKUP($A22&amp;P$1,Flow3!$A:$A&amp;Flow3!$B:$B,Flow3!$D:$D))</f>
        <v>28096.959999999999</v>
      </c>
      <c r="Q22" s="21" cm="1">
        <f t="array" ref="Q22">IF($A22=Q$1,0,_xlfn.XLOOKUP($A22&amp;Q$1,Flow3!$A:$A&amp;Flow3!$B:$B,Flow3!$D:$D))</f>
        <v>1764</v>
      </c>
      <c r="R22" s="21" cm="1">
        <f t="array" ref="R22">IF($A22=R$1,0,_xlfn.XLOOKUP($A22&amp;R$1,Flow3!$A:$A&amp;Flow3!$B:$B,Flow3!$D:$D))</f>
        <v>8339.4</v>
      </c>
      <c r="S22" s="21" cm="1">
        <f t="array" ref="S22">IF($A22=S$1,0,_xlfn.XLOOKUP($A22&amp;S$1,Flow3!$A:$A&amp;Flow3!$B:$B,Flow3!$D:$D))</f>
        <v>664.36</v>
      </c>
      <c r="T22" s="21" cm="1">
        <f t="array" ref="T22">IF($A22=T$1,0,_xlfn.XLOOKUP($A22&amp;T$1,Flow3!$A:$A&amp;Flow3!$B:$B,Flow3!$D:$D))</f>
        <v>4006.08</v>
      </c>
      <c r="U22" s="21" cm="1">
        <f t="array" ref="U22">IF($A22=U$1,0,_xlfn.XLOOKUP($A22&amp;U$1,Flow3!$A:$A&amp;Flow3!$B:$B,Flow3!$D:$D))</f>
        <v>10607.92</v>
      </c>
      <c r="V22" s="21" cm="1">
        <f t="array" ref="V22">IF($A22=V$1,0,_xlfn.XLOOKUP($A22&amp;V$1,Flow3!$A:$A&amp;Flow3!$B:$B,Flow3!$D:$D))</f>
        <v>0</v>
      </c>
      <c r="W22" s="21" cm="1">
        <f t="array" ref="W22">IF($A22=W$1,0,_xlfn.XLOOKUP($A22&amp;W$1,Flow3!$A:$A&amp;Flow3!$B:$B,Flow3!$D:$D))</f>
        <v>3631.28</v>
      </c>
      <c r="X22" s="21" cm="1">
        <f t="array" ref="X22">IF($A22=X$1,0,_xlfn.XLOOKUP($A22&amp;X$1,Flow3!$A:$A&amp;Flow3!$B:$B,Flow3!$D:$D))</f>
        <v>604.96</v>
      </c>
      <c r="Y22" s="21" cm="1">
        <f t="array" ref="Y22">IF($A22=Y$1,0,_xlfn.XLOOKUP($A22&amp;Y$1,Flow3!$A:$A&amp;Flow3!$B:$B,Flow3!$D:$D))</f>
        <v>4032.44</v>
      </c>
    </row>
    <row r="23" spans="1:25" ht="15.75" thickBot="1" x14ac:dyDescent="0.3">
      <c r="A23" s="3" t="s">
        <v>55</v>
      </c>
      <c r="B23" s="21" cm="1">
        <f t="array" ref="B23">IF($A23=B$1,0,_xlfn.XLOOKUP($A23&amp;B$1,Flow3!$A:$A&amp;Flow3!$B:$B,Flow3!$D:$D))</f>
        <v>2284.36</v>
      </c>
      <c r="C23" s="21" cm="1">
        <f t="array" ref="C23">IF($A23=C$1,0,_xlfn.XLOOKUP($A23&amp;C$1,Flow3!$A:$A&amp;Flow3!$B:$B,Flow3!$D:$D))</f>
        <v>3287.4205713315869</v>
      </c>
      <c r="D23" s="21" cm="1">
        <f t="array" ref="D23">IF($A23=D$1,0,_xlfn.XLOOKUP($A23&amp;D$1,Flow3!$A:$A&amp;Flow3!$B:$B,Flow3!$D:$D))</f>
        <v>6230.28</v>
      </c>
      <c r="E23" s="21" cm="1">
        <f t="array" ref="E23">IF($A23=E$1,0,_xlfn.XLOOKUP($A23&amp;E$1,Flow3!$A:$A&amp;Flow3!$B:$B,Flow3!$D:$D))</f>
        <v>6443.92</v>
      </c>
      <c r="F23" s="21" cm="1">
        <f t="array" ref="F23">IF($A23=F$1,0,_xlfn.XLOOKUP($A23&amp;F$1,Flow3!$A:$A&amp;Flow3!$B:$B,Flow3!$D:$D))</f>
        <v>1107.56</v>
      </c>
      <c r="G23" s="21" cm="1">
        <f t="array" ref="G23">IF($A23=G$1,0,_xlfn.XLOOKUP($A23&amp;G$1,Flow3!$A:$A&amp;Flow3!$B:$B,Flow3!$D:$D))</f>
        <v>9485.76</v>
      </c>
      <c r="H23" s="21" cm="1">
        <f t="array" ref="H23">IF($A23=H$1,0,_xlfn.XLOOKUP($A23&amp;H$1,Flow3!$A:$A&amp;Flow3!$B:$B,Flow3!$D:$D))</f>
        <v>10450.040000000001</v>
      </c>
      <c r="I23" s="21" cm="1">
        <f t="array" ref="I23">IF($A23=I$1,0,_xlfn.XLOOKUP($A23&amp;I$1,Flow3!$A:$A&amp;Flow3!$B:$B,Flow3!$D:$D))</f>
        <v>12467.32</v>
      </c>
      <c r="J23" s="21" cm="1">
        <f t="array" ref="J23">IF($A23=J$1,0,_xlfn.XLOOKUP($A23&amp;J$1,Flow3!$A:$A&amp;Flow3!$B:$B,Flow3!$D:$D))</f>
        <v>2745.9794286684132</v>
      </c>
      <c r="K23" s="21" cm="1">
        <f t="array" ref="K23">IF($A23=K$1,0,_xlfn.XLOOKUP($A23&amp;K$1,Flow3!$A:$A&amp;Flow3!$B:$B,Flow3!$D:$D))</f>
        <v>7319</v>
      </c>
      <c r="L23" s="21" cm="1">
        <f t="array" ref="L23">IF($A23=L$1,0,_xlfn.XLOOKUP($A23&amp;L$1,Flow3!$A:$A&amp;Flow3!$B:$B,Flow3!$D:$D))</f>
        <v>6868.04</v>
      </c>
      <c r="M23" s="21" cm="1">
        <f t="array" ref="M23">IF($A23=M$1,0,_xlfn.XLOOKUP($A23&amp;M$1,Flow3!$A:$A&amp;Flow3!$B:$B,Flow3!$D:$D))</f>
        <v>28703.599999999999</v>
      </c>
      <c r="N23" s="21" cm="1">
        <f t="array" ref="N23">IF($A23=N$1,0,_xlfn.XLOOKUP($A23&amp;N$1,Flow3!$A:$A&amp;Flow3!$B:$B,Flow3!$D:$D))</f>
        <v>33017.519999999997</v>
      </c>
      <c r="O23" s="21" cm="1">
        <f t="array" ref="O23">IF($A23=O$1,0,_xlfn.XLOOKUP($A23&amp;O$1,Flow3!$A:$A&amp;Flow3!$B:$B,Flow3!$D:$D))</f>
        <v>3218.88</v>
      </c>
      <c r="P23" s="21" cm="1">
        <f t="array" ref="P23">IF($A23=P$1,0,_xlfn.XLOOKUP($A23&amp;P$1,Flow3!$A:$A&amp;Flow3!$B:$B,Flow3!$D:$D))</f>
        <v>40677.279999999999</v>
      </c>
      <c r="Q23" s="21" cm="1">
        <f t="array" ref="Q23">IF($A23=Q$1,0,_xlfn.XLOOKUP($A23&amp;Q$1,Flow3!$A:$A&amp;Flow3!$B:$B,Flow3!$D:$D))</f>
        <v>6113.92</v>
      </c>
      <c r="R23" s="21" cm="1">
        <f t="array" ref="R23">IF($A23=R$1,0,_xlfn.XLOOKUP($A23&amp;R$1,Flow3!$A:$A&amp;Flow3!$B:$B,Flow3!$D:$D))</f>
        <v>20481.599999999999</v>
      </c>
      <c r="S23" s="21" cm="1">
        <f t="array" ref="S23">IF($A23=S$1,0,_xlfn.XLOOKUP($A23&amp;S$1,Flow3!$A:$A&amp;Flow3!$B:$B,Flow3!$D:$D))</f>
        <v>1242.1199999999999</v>
      </c>
      <c r="T23" s="21" cm="1">
        <f t="array" ref="T23">IF($A23=T$1,0,_xlfn.XLOOKUP($A23&amp;T$1,Flow3!$A:$A&amp;Flow3!$B:$B,Flow3!$D:$D))</f>
        <v>3976.6</v>
      </c>
      <c r="U23" s="21" cm="1">
        <f t="array" ref="U23">IF($A23=U$1,0,_xlfn.XLOOKUP($A23&amp;U$1,Flow3!$A:$A&amp;Flow3!$B:$B,Flow3!$D:$D))</f>
        <v>7293.24</v>
      </c>
      <c r="V23" s="21" cm="1">
        <f t="array" ref="V23">IF($A23=V$1,0,_xlfn.XLOOKUP($A23&amp;V$1,Flow3!$A:$A&amp;Flow3!$B:$B,Flow3!$D:$D))</f>
        <v>3904.28</v>
      </c>
      <c r="W23" s="21" cm="1">
        <f t="array" ref="W23">IF($A23=W$1,0,_xlfn.XLOOKUP($A23&amp;W$1,Flow3!$A:$A&amp;Flow3!$B:$B,Flow3!$D:$D))</f>
        <v>0</v>
      </c>
      <c r="X23" s="21" cm="1">
        <f t="array" ref="X23">IF($A23=X$1,0,_xlfn.XLOOKUP($A23&amp;X$1,Flow3!$A:$A&amp;Flow3!$B:$B,Flow3!$D:$D))</f>
        <v>409.88</v>
      </c>
      <c r="Y23" s="21" cm="1">
        <f t="array" ref="Y23">IF($A23=Y$1,0,_xlfn.XLOOKUP($A23&amp;Y$1,Flow3!$A:$A&amp;Flow3!$B:$B,Flow3!$D:$D))</f>
        <v>3357.04</v>
      </c>
    </row>
    <row r="24" spans="1:25" ht="15.75" thickBot="1" x14ac:dyDescent="0.3">
      <c r="A24" s="3" t="s">
        <v>56</v>
      </c>
      <c r="B24" s="21" cm="1">
        <f t="array" ref="B24">IF($A24=B$1,0,_xlfn.XLOOKUP($A24&amp;B$1,Flow3!$A:$A&amp;Flow3!$B:$B,Flow3!$D:$D))</f>
        <v>554.88</v>
      </c>
      <c r="C24" s="21" cm="1">
        <f t="array" ref="C24">IF($A24=C$1,0,_xlfn.XLOOKUP($A24&amp;C$1,Flow3!$A:$A&amp;Flow3!$B:$B,Flow3!$D:$D))</f>
        <v>662.52262420607076</v>
      </c>
      <c r="D24" s="21" cm="1">
        <f t="array" ref="D24">IF($A24=D$1,0,_xlfn.XLOOKUP($A24&amp;D$1,Flow3!$A:$A&amp;Flow3!$B:$B,Flow3!$D:$D))</f>
        <v>623.91999999999996</v>
      </c>
      <c r="E24" s="21" cm="1">
        <f t="array" ref="E24">IF($A24=E$1,0,_xlfn.XLOOKUP($A24&amp;E$1,Flow3!$A:$A&amp;Flow3!$B:$B,Flow3!$D:$D))</f>
        <v>1044.8800000000001</v>
      </c>
      <c r="F24" s="21" cm="1">
        <f t="array" ref="F24">IF($A24=F$1,0,_xlfn.XLOOKUP($A24&amp;F$1,Flow3!$A:$A&amp;Flow3!$B:$B,Flow3!$D:$D))</f>
        <v>215.04</v>
      </c>
      <c r="G24" s="21" cm="1">
        <f t="array" ref="G24">IF($A24=G$1,0,_xlfn.XLOOKUP($A24&amp;G$1,Flow3!$A:$A&amp;Flow3!$B:$B,Flow3!$D:$D))</f>
        <v>1648.92</v>
      </c>
      <c r="H24" s="21" cm="1">
        <f t="array" ref="H24">IF($A24=H$1,0,_xlfn.XLOOKUP($A24&amp;H$1,Flow3!$A:$A&amp;Flow3!$B:$B,Flow3!$D:$D))</f>
        <v>763.52</v>
      </c>
      <c r="I24" s="21" cm="1">
        <f t="array" ref="I24">IF($A24=I$1,0,_xlfn.XLOOKUP($A24&amp;I$1,Flow3!$A:$A&amp;Flow3!$B:$B,Flow3!$D:$D))</f>
        <v>2510</v>
      </c>
      <c r="J24" s="21" cm="1">
        <f t="array" ref="J24">IF($A24=J$1,0,_xlfn.XLOOKUP($A24&amp;J$1,Flow3!$A:$A&amp;Flow3!$B:$B,Flow3!$D:$D))</f>
        <v>456.1173757939294</v>
      </c>
      <c r="K24" s="21" cm="1">
        <f t="array" ref="K24">IF($A24=K$1,0,_xlfn.XLOOKUP($A24&amp;K$1,Flow3!$A:$A&amp;Flow3!$B:$B,Flow3!$D:$D))</f>
        <v>1734.52</v>
      </c>
      <c r="L24" s="21" cm="1">
        <f t="array" ref="L24">IF($A24=L$1,0,_xlfn.XLOOKUP($A24&amp;L$1,Flow3!$A:$A&amp;Flow3!$B:$B,Flow3!$D:$D))</f>
        <v>1215</v>
      </c>
      <c r="M24" s="21" cm="1">
        <f t="array" ref="M24">IF($A24=M$1,0,_xlfn.XLOOKUP($A24&amp;M$1,Flow3!$A:$A&amp;Flow3!$B:$B,Flow3!$D:$D))</f>
        <v>4621.84</v>
      </c>
      <c r="N24" s="21" cm="1">
        <f t="array" ref="N24">IF($A24=N$1,0,_xlfn.XLOOKUP($A24&amp;N$1,Flow3!$A:$A&amp;Flow3!$B:$B,Flow3!$D:$D))</f>
        <v>5734.16</v>
      </c>
      <c r="O24" s="21" cm="1">
        <f t="array" ref="O24">IF($A24=O$1,0,_xlfn.XLOOKUP($A24&amp;O$1,Flow3!$A:$A&amp;Flow3!$B:$B,Flow3!$D:$D))</f>
        <v>489.88</v>
      </c>
      <c r="P24" s="21" cm="1">
        <f t="array" ref="P24">IF($A24=P$1,0,_xlfn.XLOOKUP($A24&amp;P$1,Flow3!$A:$A&amp;Flow3!$B:$B,Flow3!$D:$D))</f>
        <v>5626.88</v>
      </c>
      <c r="Q24" s="21" cm="1">
        <f t="array" ref="Q24">IF($A24=Q$1,0,_xlfn.XLOOKUP($A24&amp;Q$1,Flow3!$A:$A&amp;Flow3!$B:$B,Flow3!$D:$D))</f>
        <v>542.44000000000005</v>
      </c>
      <c r="R24" s="21" cm="1">
        <f t="array" ref="R24">IF($A24=R$1,0,_xlfn.XLOOKUP($A24&amp;R$1,Flow3!$A:$A&amp;Flow3!$B:$B,Flow3!$D:$D))</f>
        <v>2881.44</v>
      </c>
      <c r="S24" s="21" cm="1">
        <f t="array" ref="S24">IF($A24=S$1,0,_xlfn.XLOOKUP($A24&amp;S$1,Flow3!$A:$A&amp;Flow3!$B:$B,Flow3!$D:$D))</f>
        <v>306.56</v>
      </c>
      <c r="T24" s="21" cm="1">
        <f t="array" ref="T24">IF($A24=T$1,0,_xlfn.XLOOKUP($A24&amp;T$1,Flow3!$A:$A&amp;Flow3!$B:$B,Flow3!$D:$D))</f>
        <v>780.24</v>
      </c>
      <c r="U24" s="21" cm="1">
        <f t="array" ref="U24">IF($A24=U$1,0,_xlfn.XLOOKUP($A24&amp;U$1,Flow3!$A:$A&amp;Flow3!$B:$B,Flow3!$D:$D))</f>
        <v>1940.48</v>
      </c>
      <c r="V24" s="21" cm="1">
        <f t="array" ref="V24">IF($A24=V$1,0,_xlfn.XLOOKUP($A24&amp;V$1,Flow3!$A:$A&amp;Flow3!$B:$B,Flow3!$D:$D))</f>
        <v>1326.68</v>
      </c>
      <c r="W24" s="21" cm="1">
        <f t="array" ref="W24">IF($A24=W$1,0,_xlfn.XLOOKUP($A24&amp;W$1,Flow3!$A:$A&amp;Flow3!$B:$B,Flow3!$D:$D))</f>
        <v>830.56</v>
      </c>
      <c r="X24" s="21" cm="1">
        <f t="array" ref="X24">IF($A24=X$1,0,_xlfn.XLOOKUP($A24&amp;X$1,Flow3!$A:$A&amp;Flow3!$B:$B,Flow3!$D:$D))</f>
        <v>0</v>
      </c>
      <c r="Y24" s="21" cm="1">
        <f t="array" ref="Y24">IF($A24=Y$1,0,_xlfn.XLOOKUP($A24&amp;Y$1,Flow3!$A:$A&amp;Flow3!$B:$B,Flow3!$D:$D))</f>
        <v>1951.36</v>
      </c>
    </row>
    <row r="25" spans="1:25" ht="15.75" thickBot="1" x14ac:dyDescent="0.3">
      <c r="A25" s="3" t="s">
        <v>57</v>
      </c>
      <c r="B25" s="21" cm="1">
        <f t="array" ref="B25">IF($A25=B$1,0,_xlfn.XLOOKUP($A25&amp;B$1,Flow3!$A:$A&amp;Flow3!$B:$B,Flow3!$D:$D))</f>
        <v>2253.6799999999998</v>
      </c>
      <c r="C25" s="21" cm="1">
        <f t="array" ref="C25">IF($A25=C$1,0,_xlfn.XLOOKUP($A25&amp;C$1,Flow3!$A:$A&amp;Flow3!$B:$B,Flow3!$D:$D))</f>
        <v>2398.5621399110319</v>
      </c>
      <c r="D25" s="21" cm="1">
        <f t="array" ref="D25">IF($A25=D$1,0,_xlfn.XLOOKUP($A25&amp;D$1,Flow3!$A:$A&amp;Flow3!$B:$B,Flow3!$D:$D))</f>
        <v>1932.96</v>
      </c>
      <c r="E25" s="21" cm="1">
        <f t="array" ref="E25">IF($A25=E$1,0,_xlfn.XLOOKUP($A25&amp;E$1,Flow3!$A:$A&amp;Flow3!$B:$B,Flow3!$D:$D))</f>
        <v>4835.3599999999997</v>
      </c>
      <c r="F25" s="21" cm="1">
        <f t="array" ref="F25">IF($A25=F$1,0,_xlfn.XLOOKUP($A25&amp;F$1,Flow3!$A:$A&amp;Flow3!$B:$B,Flow3!$D:$D))</f>
        <v>906.92</v>
      </c>
      <c r="G25" s="21" cm="1">
        <f t="array" ref="G25">IF($A25=G$1,0,_xlfn.XLOOKUP($A25&amp;G$1,Flow3!$A:$A&amp;Flow3!$B:$B,Flow3!$D:$D))</f>
        <v>4472.8</v>
      </c>
      <c r="H25" s="21" cm="1">
        <f t="array" ref="H25">IF($A25=H$1,0,_xlfn.XLOOKUP($A25&amp;H$1,Flow3!$A:$A&amp;Flow3!$B:$B,Flow3!$D:$D))</f>
        <v>4010.08</v>
      </c>
      <c r="I25" s="21" cm="1">
        <f t="array" ref="I25">IF($A25=I$1,0,_xlfn.XLOOKUP($A25&amp;I$1,Flow3!$A:$A&amp;Flow3!$B:$B,Flow3!$D:$D))</f>
        <v>12362.4</v>
      </c>
      <c r="J25" s="21" cm="1">
        <f t="array" ref="J25">IF($A25=J$1,0,_xlfn.XLOOKUP($A25&amp;J$1,Flow3!$A:$A&amp;Flow3!$B:$B,Flow3!$D:$D))</f>
        <v>1068.3978600889679</v>
      </c>
      <c r="K25" s="21" cm="1">
        <f t="array" ref="K25">IF($A25=K$1,0,_xlfn.XLOOKUP($A25&amp;K$1,Flow3!$A:$A&amp;Flow3!$B:$B,Flow3!$D:$D))</f>
        <v>4619.68</v>
      </c>
      <c r="L25" s="21" cm="1">
        <f t="array" ref="L25">IF($A25=L$1,0,_xlfn.XLOOKUP($A25&amp;L$1,Flow3!$A:$A&amp;Flow3!$B:$B,Flow3!$D:$D))</f>
        <v>1460.24</v>
      </c>
      <c r="M25" s="21" cm="1">
        <f t="array" ref="M25">IF($A25=M$1,0,_xlfn.XLOOKUP($A25&amp;M$1,Flow3!$A:$A&amp;Flow3!$B:$B,Flow3!$D:$D))</f>
        <v>16223.88</v>
      </c>
      <c r="N25" s="21" cm="1">
        <f t="array" ref="N25">IF($A25=N$1,0,_xlfn.XLOOKUP($A25&amp;N$1,Flow3!$A:$A&amp;Flow3!$B:$B,Flow3!$D:$D))</f>
        <v>14771.84</v>
      </c>
      <c r="O25" s="21" cm="1">
        <f t="array" ref="O25">IF($A25=O$1,0,_xlfn.XLOOKUP($A25&amp;O$1,Flow3!$A:$A&amp;Flow3!$B:$B,Flow3!$D:$D))</f>
        <v>999.48</v>
      </c>
      <c r="P25" s="21" cm="1">
        <f t="array" ref="P25">IF($A25=P$1,0,_xlfn.XLOOKUP($A25&amp;P$1,Flow3!$A:$A&amp;Flow3!$B:$B,Flow3!$D:$D))</f>
        <v>21924.12</v>
      </c>
      <c r="Q25" s="21" cm="1">
        <f t="array" ref="Q25">IF($A25=Q$1,0,_xlfn.XLOOKUP($A25&amp;Q$1,Flow3!$A:$A&amp;Flow3!$B:$B,Flow3!$D:$D))</f>
        <v>2733.48</v>
      </c>
      <c r="R25" s="21" cm="1">
        <f t="array" ref="R25">IF($A25=R$1,0,_xlfn.XLOOKUP($A25&amp;R$1,Flow3!$A:$A&amp;Flow3!$B:$B,Flow3!$D:$D))</f>
        <v>22593.119999999999</v>
      </c>
      <c r="S25" s="21" cm="1">
        <f t="array" ref="S25">IF($A25=S$1,0,_xlfn.XLOOKUP($A25&amp;S$1,Flow3!$A:$A&amp;Flow3!$B:$B,Flow3!$D:$D))</f>
        <v>1369.96</v>
      </c>
      <c r="T25" s="21" cm="1">
        <f t="array" ref="T25">IF($A25=T$1,0,_xlfn.XLOOKUP($A25&amp;T$1,Flow3!$A:$A&amp;Flow3!$B:$B,Flow3!$D:$D))</f>
        <v>4125.76</v>
      </c>
      <c r="U25" s="21" cm="1">
        <f t="array" ref="U25">IF($A25=U$1,0,_xlfn.XLOOKUP($A25&amp;U$1,Flow3!$A:$A&amp;Flow3!$B:$B,Flow3!$D:$D))</f>
        <v>17274.080000000002</v>
      </c>
      <c r="V25" s="21" cm="1">
        <f t="array" ref="V25">IF($A25=V$1,0,_xlfn.XLOOKUP($A25&amp;V$1,Flow3!$A:$A&amp;Flow3!$B:$B,Flow3!$D:$D))</f>
        <v>5132.3599999999997</v>
      </c>
      <c r="W25" s="21" cm="1">
        <f t="array" ref="W25">IF($A25=W$1,0,_xlfn.XLOOKUP($A25&amp;W$1,Flow3!$A:$A&amp;Flow3!$B:$B,Flow3!$D:$D))</f>
        <v>3277.36</v>
      </c>
      <c r="X25" s="21" cm="1">
        <f t="array" ref="X25">IF($A25=X$1,0,_xlfn.XLOOKUP($A25&amp;X$1,Flow3!$A:$A&amp;Flow3!$B:$B,Flow3!$D:$D))</f>
        <v>682.6</v>
      </c>
      <c r="Y25" s="21" cm="1">
        <f t="array" ref="Y25">IF($A25=Y$1,0,_xlfn.XLOOKUP($A25&amp;Y$1,Flow3!$A:$A&amp;Flow3!$B:$B,Flow3!$D:$D))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Keterangan </vt:lpstr>
      <vt:lpstr>Flow</vt:lpstr>
      <vt:lpstr>ALokasi Pelabuhan </vt:lpstr>
      <vt:lpstr>Flow2 </vt:lpstr>
      <vt:lpstr>Flow3</vt:lpstr>
      <vt:lpstr>FlowPelabuhan(Teu)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Setiawan</dc:creator>
  <cp:lastModifiedBy>Muhammad Ihsan Ramadhan</cp:lastModifiedBy>
  <dcterms:created xsi:type="dcterms:W3CDTF">2026-04-15T01:34:11Z</dcterms:created>
  <dcterms:modified xsi:type="dcterms:W3CDTF">2026-04-20T13:15:21Z</dcterms:modified>
</cp:coreProperties>
</file>